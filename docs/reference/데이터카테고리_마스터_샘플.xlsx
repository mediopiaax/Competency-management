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카테고리_마스터" sheetId="1" state="visible" r:id="rId3"/>
    <sheet name="대분류_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<sst xmlns="http://schemas.openxmlformats.org/spreadsheetml/2006/main" count="311" uniqueCount="224">
  <si>
    <r>
      <rPr>
        <b val="true"/>
        <sz val="14"/>
        <rFont val="Noto Sans CJK SC"/>
        <family val="2"/>
      </rPr>
      <t xml:space="preserve">측정지표 데이터 카테고리 마스터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성균관대학교 기준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기존 </t>
    </r>
    <r>
      <rPr>
        <b val="true"/>
        <sz val="14"/>
        <rFont val="Arial"/>
        <family val="0"/>
        <charset val="1"/>
      </rPr>
      <t xml:space="preserve">+ SKKU </t>
    </r>
    <r>
      <rPr>
        <b val="true"/>
        <sz val="14"/>
        <rFont val="Noto Sans CJK SC"/>
        <family val="2"/>
      </rPr>
      <t xml:space="preserve">확보가능 </t>
    </r>
    <r>
      <rPr>
        <b val="true"/>
        <sz val="14"/>
        <rFont val="Arial"/>
        <family val="0"/>
        <charset val="1"/>
      </rPr>
      <t xml:space="preserve">+ </t>
    </r>
    <r>
      <rPr>
        <b val="true"/>
        <sz val="14"/>
        <rFont val="Noto Sans CJK SC"/>
        <family val="2"/>
      </rPr>
      <t xml:space="preserve">추가 제안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</si>
  <si>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color rgb="FF595959"/>
        <rFont val="Noto Sans CJK SC"/>
        <family val="2"/>
      </rPr>
      <t xml:space="preserve">범례</t>
    </r>
    <r>
      <rPr>
        <sz val="10"/>
        <color rgb="FF595959"/>
        <rFont val="Arial"/>
        <family val="0"/>
        <charset val="1"/>
      </rPr>
      <t xml:space="preserve">:  </t>
    </r>
    <r>
      <rPr>
        <sz val="10"/>
        <color rgb="FF595959"/>
        <rFont val="Noto Sans CJK SC"/>
        <family val="2"/>
      </rPr>
      <t xml:space="preserve">흰색 </t>
    </r>
    <r>
      <rPr>
        <sz val="10"/>
        <color rgb="FF595959"/>
        <rFont val="Arial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기존 데이터셋 항목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성균관대 항목과 통합된 경우 포함</t>
    </r>
    <r>
      <rPr>
        <sz val="10"/>
        <color rgb="FF595959"/>
        <rFont val="Arial"/>
        <family val="0"/>
        <charset val="1"/>
      </rPr>
      <t xml:space="preserve">)  |  </t>
    </r>
    <r>
      <rPr>
        <sz val="10"/>
        <color rgb="FF595959"/>
        <rFont val="Noto Sans CJK SC"/>
        <family val="2"/>
      </rPr>
      <t xml:space="preserve">하늘색 </t>
    </r>
    <r>
      <rPr>
        <sz val="10"/>
        <color rgb="FF595959"/>
        <rFont val="Arial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성균관대 시스템에서 새로 확보 가능  </t>
    </r>
    <r>
      <rPr>
        <sz val="10"/>
        <color rgb="FF595959"/>
        <rFont val="Arial"/>
        <family val="0"/>
        <charset val="1"/>
      </rPr>
      <t xml:space="preserve">|  </t>
    </r>
    <r>
      <rPr>
        <sz val="10"/>
        <color rgb="FF595959"/>
        <rFont val="Noto Sans CJK SC"/>
        <family val="2"/>
      </rPr>
      <t xml:space="preserve">연노랑 </t>
    </r>
    <r>
      <rPr>
        <sz val="10"/>
        <color rgb="FF595959"/>
        <rFont val="Arial"/>
        <family val="0"/>
        <charset val="1"/>
      </rPr>
      <t xml:space="preserve">= </t>
    </r>
    <r>
      <rPr>
        <sz val="10"/>
        <color rgb="FF595959"/>
        <rFont val="Noto Sans CJK SC"/>
        <family val="2"/>
      </rPr>
      <t xml:space="preserve">평가 품질을 위해 추가 제안</t>
    </r>
  </si>
  <si>
    <t xml:space="preserve">No</t>
  </si>
  <si>
    <t xml:space="preserve">대분류</t>
  </si>
  <si>
    <t xml:space="preserve">카테고리</t>
  </si>
  <si>
    <r>
      <rPr>
        <b val="true"/>
        <sz val="11"/>
        <color rgb="FFFFFFFF"/>
        <rFont val="Noto Sans CJK SC"/>
        <family val="2"/>
      </rPr>
      <t xml:space="preserve">설명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포함되는 세부 측정지표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</si>
  <si>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데이터 형태</t>
  </si>
  <si>
    <r>
      <rPr>
        <b val="true"/>
        <sz val="11"/>
        <color rgb="FFFFFFFF"/>
        <rFont val="Noto Sans CJK SC"/>
        <family val="2"/>
      </rPr>
      <t xml:space="preserve">수집 출처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시스템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</si>
  <si>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확보 구분</t>
  </si>
  <si>
    <r>
      <rPr>
        <b val="true"/>
        <sz val="11"/>
        <color rgb="FFFFFFFF"/>
        <rFont val="Noto Sans CJK SC"/>
        <family val="2"/>
      </rPr>
      <t xml:space="preserve">관련 역량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마인드맵 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</si>
  <si>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비고</t>
  </si>
  <si>
    <r>
      <rPr>
        <b val="true"/>
        <sz val="11"/>
        <rFont val="Noto Sans CJK SC"/>
        <family val="2"/>
      </rPr>
      <t xml:space="preserve">학업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교과</t>
    </r>
  </si>
  <si>
    <r>
      <rPr>
        <b val="true"/>
        <sz val="10"/>
        <rFont val="Noto Sans CJK SC"/>
        <family val="2"/>
      </rPr>
      <t xml:space="preserve">성적데이터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전공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학기별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</si>
  <si>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전공 평균성적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학기별 성적 추이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전체 평점</t>
    </r>
  </si>
  <si>
    <t xml:space="preserve">수치</t>
  </si>
  <si>
    <r>
      <rPr>
        <sz val="10"/>
        <rFont val="Noto Sans CJK SC"/>
        <family val="2"/>
      </rPr>
      <t xml:space="preserve">학사시스템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</si>
  <si>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+ SKKU </t>
    </r>
    <r>
      <rPr>
        <sz val="10"/>
        <rFont val="Noto Sans CJK SC"/>
        <family val="2"/>
      </rPr>
      <t xml:space="preserve">확보가능</t>
    </r>
  </si>
  <si>
    <r>
      <rPr>
        <sz val="10"/>
        <rFont val="Noto Sans CJK SC"/>
        <family val="2"/>
      </rPr>
      <t xml:space="preserve">학업성취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직무전문성</t>
    </r>
  </si>
  <si>
    <r>
      <rPr>
        <sz val="10"/>
        <rFont val="Arial"/>
        <family val="0"/>
        <charset val="1"/>
      </rPr>
      <t xml:space="preserve">[C] </t>
    </r>
    <r>
      <rPr>
        <sz val="10"/>
        <rFont val="Noto Sans CJK SC"/>
        <family val="2"/>
      </rPr>
      <t xml:space="preserve">전공별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학기별 성적 통합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학기별 추이로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성장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지표 추가 가능</t>
    </r>
  </si>
  <si>
    <r>
      <rPr>
        <sz val="9"/>
        <color rgb="FFFFFFFF"/>
        <rFont val="Noto Sans CJK SC"/>
        <family val="2"/>
      </rPr>
      <t xml:space="preserve">학업</t>
    </r>
    <r>
      <rPr>
        <sz val="9"/>
        <color rgb="FFFFFFFF"/>
        <rFont val="Arial"/>
        <family val="0"/>
        <charset val="1"/>
      </rPr>
      <t xml:space="preserve">·</t>
    </r>
    <r>
      <rPr>
        <sz val="9"/>
        <color rgb="FFFFFFFF"/>
        <rFont val="Noto Sans CJK SC"/>
        <family val="2"/>
      </rPr>
      <t xml:space="preserve">교과</t>
    </r>
  </si>
  <si>
    <t xml:space="preserve">수업유형별 성적</t>
  </si>
  <si>
    <r>
      <rPr>
        <sz val="10"/>
        <rFont val="Noto Sans CJK SC"/>
        <family val="2"/>
      </rPr>
      <t xml:space="preserve">발표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토론 수업성적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보고서 평가점수</t>
    </r>
  </si>
  <si>
    <r>
      <rPr>
        <sz val="10"/>
        <rFont val="Noto Sans CJK SC"/>
        <family val="2"/>
      </rPr>
      <t xml:space="preserve">수치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범주</t>
    </r>
  </si>
  <si>
    <r>
      <rPr>
        <sz val="10"/>
        <rFont val="Noto Sans CJK SC"/>
        <family val="2"/>
      </rPr>
      <t xml:space="preserve">학사시스템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과목별 성적</t>
    </r>
    <r>
      <rPr>
        <sz val="10"/>
        <rFont val="Arial"/>
        <family val="0"/>
        <charset val="1"/>
      </rPr>
      <t xml:space="preserve">) + LMS(</t>
    </r>
    <r>
      <rPr>
        <sz val="10"/>
        <rFont val="Noto Sans CJK SC"/>
        <family val="2"/>
      </rPr>
      <t xml:space="preserve">과제점수</t>
    </r>
    <r>
      <rPr>
        <sz val="10"/>
        <rFont val="Arial"/>
        <family val="0"/>
        <charset val="1"/>
      </rPr>
      <t xml:space="preserve">)</t>
    </r>
  </si>
  <si>
    <t xml:space="preserve">기존</t>
  </si>
  <si>
    <r>
      <rPr>
        <sz val="10"/>
        <rFont val="Noto Sans CJK SC"/>
        <family val="2"/>
      </rPr>
      <t xml:space="preserve">발표력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논리적사고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학업성취</t>
    </r>
  </si>
  <si>
    <r>
      <rPr>
        <sz val="10"/>
        <rFont val="Noto Sans CJK SC"/>
        <family val="2"/>
      </rPr>
      <t xml:space="preserve">과목에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발표형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토론형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태그가 있어야 자동 분류 가능</t>
    </r>
  </si>
  <si>
    <r>
      <rPr>
        <b val="true"/>
        <sz val="10"/>
        <rFont val="Noto Sans CJK SC"/>
        <family val="2"/>
      </rPr>
      <t xml:space="preserve">수강과목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심화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융합 이수</t>
    </r>
  </si>
  <si>
    <r>
      <rPr>
        <sz val="10"/>
        <rFont val="Noto Sans CJK SC"/>
        <family val="2"/>
      </rPr>
      <t xml:space="preserve">수강과목 내역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심화전공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심화과목 이수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복수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융합전공</t>
    </r>
  </si>
  <si>
    <t xml:space="preserve">범주</t>
  </si>
  <si>
    <r>
      <rPr>
        <sz val="10"/>
        <rFont val="Noto Sans CJK SC"/>
        <family val="2"/>
      </rPr>
      <t xml:space="preserve">학사시스템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수강내역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</si>
  <si>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탐구력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종합적사고력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융합적 사고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직무전문성</t>
    </r>
  </si>
  <si>
    <r>
      <rPr>
        <sz val="10"/>
        <rFont val="Noto Sans CJK SC"/>
        <family val="2"/>
      </rPr>
      <t xml:space="preserve">마인드맵의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융합 전공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기존 데이터셋에 없음 → 수강내역에서 도출</t>
    </r>
  </si>
  <si>
    <t xml:space="preserve">공학인증</t>
  </si>
  <si>
    <t xml:space="preserve">공학교육인증 프로그램 이수 여부</t>
  </si>
  <si>
    <t xml:space="preserve">학사시스템</t>
  </si>
  <si>
    <r>
      <rPr>
        <sz val="10"/>
        <rFont val="Arial"/>
        <family val="0"/>
        <charset val="1"/>
      </rPr>
      <t xml:space="preserve">SKKU </t>
    </r>
    <r>
      <rPr>
        <sz val="10"/>
        <rFont val="Noto Sans CJK SC"/>
        <family val="2"/>
      </rPr>
      <t xml:space="preserve">확보가능</t>
    </r>
  </si>
  <si>
    <t xml:space="preserve">직무전문성</t>
  </si>
  <si>
    <r>
      <rPr>
        <sz val="10"/>
        <rFont val="Noto Sans CJK SC"/>
        <family val="2"/>
      </rPr>
      <t xml:space="preserve">공학계열 한정 → 비대상 전공은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해당 없음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불이익 방지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</si>
  <si>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학습행동</t>
    </r>
    <r>
      <rPr>
        <b val="true"/>
        <sz val="11"/>
        <rFont val="Arial"/>
        <family val="0"/>
        <charset val="1"/>
      </rPr>
      <t xml:space="preserve">(LMS)</t>
    </r>
  </si>
  <si>
    <r>
      <rPr>
        <b val="true"/>
        <sz val="10"/>
        <rFont val="Arial"/>
        <family val="0"/>
        <charset val="1"/>
      </rPr>
      <t xml:space="preserve">LMS </t>
    </r>
    <r>
      <rPr>
        <b val="true"/>
        <sz val="10"/>
        <rFont val="Noto Sans CJK SC"/>
        <family val="2"/>
      </rPr>
      <t xml:space="preserve">학습데이터</t>
    </r>
  </si>
  <si>
    <r>
      <rPr>
        <sz val="10"/>
        <rFont val="Noto Sans CJK SC"/>
        <family val="2"/>
      </rPr>
      <t xml:space="preserve">출석률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과제기한준수율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로그인주기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퀴즈풀이횟수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학습계획달성률</t>
    </r>
  </si>
  <si>
    <r>
      <rPr>
        <sz val="10"/>
        <rFont val="Arial"/>
        <family val="0"/>
        <charset val="1"/>
      </rPr>
      <t xml:space="preserve">LMS(i-Campus) · </t>
    </r>
    <r>
      <rPr>
        <sz val="10"/>
        <rFont val="Noto Sans CJK SC"/>
        <family val="2"/>
      </rPr>
      <t xml:space="preserve">출석앱</t>
    </r>
  </si>
  <si>
    <r>
      <rPr>
        <sz val="10"/>
        <rFont val="Noto Sans CJK SC"/>
        <family val="2"/>
      </rPr>
      <t xml:space="preserve">자기관리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성실성</t>
    </r>
  </si>
  <si>
    <r>
      <rPr>
        <sz val="10"/>
        <rFont val="Noto Sans CJK SC"/>
        <family val="2"/>
      </rPr>
      <t xml:space="preserve">마인드맵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퀴즈 생성 주기</t>
    </r>
    <r>
      <rPr>
        <sz val="10"/>
        <rFont val="Arial"/>
        <family val="0"/>
        <charset val="1"/>
      </rPr>
      <t xml:space="preserve">' vs </t>
    </r>
    <r>
      <rPr>
        <sz val="10"/>
        <rFont val="Noto Sans CJK SC"/>
        <family val="2"/>
      </rPr>
      <t xml:space="preserve">데이터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퀴즈풀이횟수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용어 통일 필요</t>
    </r>
  </si>
  <si>
    <r>
      <rPr>
        <sz val="9"/>
        <color rgb="FFFFFFFF"/>
        <rFont val="Noto Sans CJK SC"/>
        <family val="2"/>
      </rPr>
      <t xml:space="preserve">학습행동</t>
    </r>
    <r>
      <rPr>
        <sz val="9"/>
        <color rgb="FFFFFFFF"/>
        <rFont val="Arial"/>
        <family val="0"/>
        <charset val="1"/>
      </rPr>
      <t xml:space="preserve">(LMS)</t>
    </r>
  </si>
  <si>
    <r>
      <rPr>
        <b val="true"/>
        <sz val="10"/>
        <rFont val="Noto Sans CJK SC"/>
        <family val="2"/>
      </rPr>
      <t xml:space="preserve">교수면담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학업상담</t>
    </r>
  </si>
  <si>
    <r>
      <rPr>
        <sz val="10"/>
        <rFont val="Noto Sans CJK SC"/>
        <family val="2"/>
      </rPr>
      <t xml:space="preserve">교수 면담 횟수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학업상담 이력</t>
    </r>
  </si>
  <si>
    <r>
      <rPr>
        <sz val="10"/>
        <rFont val="Noto Sans CJK SC"/>
        <family val="2"/>
      </rPr>
      <t xml:space="preserve">상담 기록 시스템 </t>
    </r>
    <r>
      <rPr>
        <sz val="10"/>
        <rFont val="Arial"/>
        <family val="0"/>
        <charset val="1"/>
      </rPr>
      <t xml:space="preserve">· LMS</t>
    </r>
  </si>
  <si>
    <r>
      <rPr>
        <sz val="10"/>
        <rFont val="Noto Sans CJK SC"/>
        <family val="2"/>
      </rPr>
      <t xml:space="preserve">성실성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수업참여도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소통능력</t>
    </r>
  </si>
  <si>
    <r>
      <rPr>
        <sz val="10"/>
        <rFont val="Noto Sans CJK SC"/>
        <family val="2"/>
      </rPr>
      <t xml:space="preserve">기존 데이터셋에선 </t>
    </r>
    <r>
      <rPr>
        <sz val="10"/>
        <rFont val="Arial"/>
        <family val="0"/>
        <charset val="1"/>
      </rPr>
      <t xml:space="preserve">LMS </t>
    </r>
    <r>
      <rPr>
        <sz val="10"/>
        <rFont val="Noto Sans CJK SC"/>
        <family val="2"/>
      </rPr>
      <t xml:space="preserve">항목 안에 섞여 있어 분리</t>
    </r>
  </si>
  <si>
    <r>
      <rPr>
        <b val="true"/>
        <sz val="10"/>
        <rFont val="Noto Sans CJK SC"/>
        <family val="2"/>
      </rPr>
      <t xml:space="preserve">토론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게시판 참여</t>
    </r>
  </si>
  <si>
    <r>
      <rPr>
        <sz val="10"/>
        <rFont val="Arial"/>
        <family val="0"/>
        <charset val="1"/>
      </rPr>
      <t xml:space="preserve">LMS </t>
    </r>
    <r>
      <rPr>
        <sz val="10"/>
        <rFont val="Noto Sans CJK SC"/>
        <family val="2"/>
      </rPr>
      <t xml:space="preserve">토론방 게시글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댓글 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질의응답 참여</t>
    </r>
  </si>
  <si>
    <t xml:space="preserve">LMS(i-Campus)</t>
  </si>
  <si>
    <t xml:space="preserve">추가 제안</t>
  </si>
  <si>
    <r>
      <rPr>
        <sz val="10"/>
        <rFont val="Noto Sans CJK SC"/>
        <family val="2"/>
      </rPr>
      <t xml:space="preserve">소통능력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수업참여도</t>
    </r>
  </si>
  <si>
    <r>
      <rPr>
        <sz val="10"/>
        <rFont val="Noto Sans CJK SC"/>
        <family val="2"/>
      </rPr>
      <t xml:space="preserve">교수 관심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소통능력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정량 근거 보강</t>
    </r>
  </si>
  <si>
    <r>
      <rPr>
        <b val="true"/>
        <sz val="11"/>
        <rFont val="Noto Sans CJK SC"/>
        <family val="2"/>
      </rPr>
      <t xml:space="preserve">연구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학술</t>
    </r>
  </si>
  <si>
    <r>
      <rPr>
        <b val="true"/>
        <sz val="10"/>
        <rFont val="Noto Sans CJK SC"/>
        <family val="2"/>
      </rPr>
      <t xml:space="preserve">학회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연구활동</t>
    </r>
  </si>
  <si>
    <r>
      <rPr>
        <sz val="10"/>
        <rFont val="Noto Sans CJK SC"/>
        <family val="2"/>
      </rPr>
      <t xml:space="preserve">학부연구생</t>
    </r>
    <r>
      <rPr>
        <sz val="10"/>
        <rFont val="Arial"/>
        <family val="0"/>
        <charset val="1"/>
      </rPr>
      <t xml:space="preserve">/URP, </t>
    </r>
    <r>
      <rPr>
        <sz val="10"/>
        <rFont val="Noto Sans CJK SC"/>
        <family val="2"/>
      </rPr>
      <t xml:space="preserve">학회 활동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연구실 인턴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팀연구프로젝트</t>
    </r>
  </si>
  <si>
    <r>
      <rPr>
        <sz val="10"/>
        <rFont val="Noto Sans CJK SC"/>
        <family val="2"/>
      </rPr>
      <t xml:space="preserve">범주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기간</t>
    </r>
  </si>
  <si>
    <r>
      <rPr>
        <sz val="10"/>
        <rFont val="Noto Sans CJK SC"/>
        <family val="2"/>
      </rPr>
      <t xml:space="preserve">비교과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연구지원 시스템</t>
    </r>
  </si>
  <si>
    <r>
      <rPr>
        <sz val="10"/>
        <rFont val="Noto Sans CJK SC"/>
        <family val="2"/>
      </rPr>
      <t xml:space="preserve">탐구력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문제해결력</t>
    </r>
  </si>
  <si>
    <r>
      <rPr>
        <sz val="10"/>
        <rFont val="Arial"/>
        <family val="0"/>
        <charset val="1"/>
      </rPr>
      <t xml:space="preserve">[B] </t>
    </r>
    <r>
      <rPr>
        <sz val="10"/>
        <rFont val="Noto Sans CJK SC"/>
        <family val="2"/>
      </rPr>
      <t xml:space="preserve">학회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연구 </t>
    </r>
    <r>
      <rPr>
        <sz val="10"/>
        <rFont val="Arial"/>
        <family val="0"/>
        <charset val="1"/>
      </rPr>
      <t xml:space="preserve">+ [C] URP·</t>
    </r>
    <r>
      <rPr>
        <sz val="10"/>
        <rFont val="Noto Sans CJK SC"/>
        <family val="2"/>
      </rPr>
      <t xml:space="preserve">팀연구프로젝트 통합</t>
    </r>
  </si>
  <si>
    <r>
      <rPr>
        <sz val="9"/>
        <color rgb="FFFFFFFF"/>
        <rFont val="Noto Sans CJK SC"/>
        <family val="2"/>
      </rPr>
      <t xml:space="preserve">연구</t>
    </r>
    <r>
      <rPr>
        <sz val="9"/>
        <color rgb="FFFFFFFF"/>
        <rFont val="Arial"/>
        <family val="0"/>
        <charset val="1"/>
      </rPr>
      <t xml:space="preserve">·</t>
    </r>
    <r>
      <rPr>
        <sz val="9"/>
        <color rgb="FFFFFFFF"/>
        <rFont val="Noto Sans CJK SC"/>
        <family val="2"/>
      </rPr>
      <t xml:space="preserve">학술</t>
    </r>
  </si>
  <si>
    <r>
      <rPr>
        <b val="true"/>
        <sz val="10"/>
        <rFont val="Noto Sans CJK SC"/>
        <family val="2"/>
      </rPr>
      <t xml:space="preserve">정보탐색 결과물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논문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보고서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</si>
  <si>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논문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게재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투고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작성 중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보고서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학술 발표자료</t>
    </r>
  </si>
  <si>
    <r>
      <rPr>
        <sz val="10"/>
        <rFont val="Noto Sans CJK SC"/>
        <family val="2"/>
      </rPr>
      <t xml:space="preserve">범주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텍스트</t>
    </r>
  </si>
  <si>
    <r>
      <rPr>
        <sz val="10"/>
        <rFont val="Noto Sans CJK SC"/>
        <family val="2"/>
      </rPr>
      <t xml:space="preserve">학생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포트폴리오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</si>
  <si>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정보기술활용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정보탐색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논리적사고</t>
    </r>
  </si>
  <si>
    <r>
      <rPr>
        <sz val="10"/>
        <rFont val="Noto Sans CJK SC"/>
        <family val="2"/>
      </rPr>
      <t xml:space="preserve">게재 수준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학술지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구분 기준 필요</t>
    </r>
  </si>
  <si>
    <r>
      <rPr>
        <b val="true"/>
        <sz val="10"/>
        <rFont val="Arial"/>
        <family val="0"/>
        <charset val="1"/>
      </rPr>
      <t xml:space="preserve">TA </t>
    </r>
    <r>
      <rPr>
        <b val="true"/>
        <sz val="10"/>
        <rFont val="Noto Sans CJK SC"/>
        <family val="2"/>
      </rPr>
      <t xml:space="preserve">활동</t>
    </r>
  </si>
  <si>
    <r>
      <rPr>
        <sz val="10"/>
        <rFont val="Noto Sans CJK SC"/>
        <family val="2"/>
      </rPr>
      <t xml:space="preserve">교과목 조교</t>
    </r>
    <r>
      <rPr>
        <sz val="10"/>
        <rFont val="Arial"/>
        <family val="0"/>
        <charset val="1"/>
      </rPr>
      <t xml:space="preserve">(TA) </t>
    </r>
    <r>
      <rPr>
        <sz val="10"/>
        <rFont val="Noto Sans CJK SC"/>
        <family val="2"/>
      </rPr>
      <t xml:space="preserve">수행 이력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기간</t>
    </r>
  </si>
  <si>
    <r>
      <rPr>
        <sz val="10"/>
        <rFont val="Noto Sans CJK SC"/>
        <family val="2"/>
      </rPr>
      <t xml:space="preserve">학사시스템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교수학습센터</t>
    </r>
  </si>
  <si>
    <r>
      <rPr>
        <sz val="10"/>
        <rFont val="Noto Sans CJK SC"/>
        <family val="2"/>
      </rPr>
      <t xml:space="preserve">직무전문성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커뮤니케이션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책임감</t>
    </r>
  </si>
  <si>
    <t xml:space="preserve">기존 데이터셋에 없는 신규 근거</t>
  </si>
  <si>
    <r>
      <rPr>
        <b val="true"/>
        <sz val="11"/>
        <rFont val="Noto Sans CJK SC"/>
        <family val="2"/>
      </rPr>
      <t xml:space="preserve">실무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진로</t>
    </r>
  </si>
  <si>
    <r>
      <rPr>
        <b val="true"/>
        <sz val="10"/>
        <rFont val="Noto Sans CJK SC"/>
        <family val="2"/>
      </rPr>
      <t xml:space="preserve">인턴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현장실습</t>
    </r>
  </si>
  <si>
    <r>
      <rPr>
        <sz val="10"/>
        <rFont val="Noto Sans CJK SC"/>
        <family val="2"/>
      </rPr>
      <t xml:space="preserve">인턴십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현장실습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연구체험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문제해결프로젝트</t>
    </r>
  </si>
  <si>
    <r>
      <rPr>
        <sz val="10"/>
        <rFont val="Noto Sans CJK SC"/>
        <family val="2"/>
      </rPr>
      <t xml:space="preserve">현장실습 지원 시스템 </t>
    </r>
    <r>
      <rPr>
        <sz val="10"/>
        <rFont val="Arial"/>
        <family val="0"/>
        <charset val="1"/>
      </rPr>
      <t xml:space="preserve">· 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인턴십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</si>
  <si>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직무전문성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커뮤니케이션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협업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</si>
  <si>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과 직무 관련성을 함께 추출</t>
    </r>
  </si>
  <si>
    <r>
      <rPr>
        <sz val="9"/>
        <color rgb="FFFFFFFF"/>
        <rFont val="Noto Sans CJK SC"/>
        <family val="2"/>
      </rPr>
      <t xml:space="preserve">실무</t>
    </r>
    <r>
      <rPr>
        <sz val="9"/>
        <color rgb="FFFFFFFF"/>
        <rFont val="Arial"/>
        <family val="0"/>
        <charset val="1"/>
      </rPr>
      <t xml:space="preserve">·</t>
    </r>
    <r>
      <rPr>
        <sz val="9"/>
        <color rgb="FFFFFFFF"/>
        <rFont val="Noto Sans CJK SC"/>
        <family val="2"/>
      </rPr>
      <t xml:space="preserve">진로</t>
    </r>
  </si>
  <si>
    <t xml:space="preserve">아르바이트경험</t>
  </si>
  <si>
    <r>
      <rPr>
        <sz val="10"/>
        <rFont val="Noto Sans CJK SC"/>
        <family val="2"/>
      </rPr>
      <t xml:space="preserve">아르바이트 근무 이력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기간</t>
    </r>
  </si>
  <si>
    <r>
      <rPr>
        <sz val="10"/>
        <rFont val="Noto Sans CJK SC"/>
        <family val="2"/>
      </rPr>
      <t xml:space="preserve">텍스트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기간</t>
    </r>
  </si>
  <si>
    <r>
      <rPr>
        <sz val="10"/>
        <rFont val="Noto Sans CJK SC"/>
        <family val="2"/>
      </rPr>
      <t xml:space="preserve">학생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고용보험 자격이력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</si>
  <si>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커뮤니케이션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책임감</t>
    </r>
  </si>
  <si>
    <t xml:space="preserve">증빙 신뢰도 낮음 → 기간 위주 정량화 권장</t>
  </si>
  <si>
    <r>
      <rPr>
        <b val="true"/>
        <sz val="10"/>
        <rFont val="Noto Sans CJK SC"/>
        <family val="2"/>
      </rPr>
      <t xml:space="preserve">진로설계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취업상담</t>
    </r>
  </si>
  <si>
    <r>
      <rPr>
        <sz val="10"/>
        <rFont val="Noto Sans CJK SC"/>
        <family val="2"/>
      </rPr>
      <t xml:space="preserve">진로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취업 상담 이력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진로 목표 설정 기록</t>
    </r>
  </si>
  <si>
    <r>
      <rPr>
        <sz val="10"/>
        <rFont val="Noto Sans CJK SC"/>
        <family val="2"/>
      </rPr>
      <t xml:space="preserve">텍스트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수치</t>
    </r>
  </si>
  <si>
    <r>
      <rPr>
        <sz val="10"/>
        <rFont val="Noto Sans CJK SC"/>
        <family val="2"/>
      </rPr>
      <t xml:space="preserve">경력개발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상담 시스템</t>
    </r>
  </si>
  <si>
    <r>
      <rPr>
        <sz val="10"/>
        <rFont val="Noto Sans CJK SC"/>
        <family val="2"/>
      </rPr>
      <t xml:space="preserve">자기관리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계획 수립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직무전문성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</si>
  <si>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계획 수립 및 실행 능력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근거가 </t>
    </r>
    <r>
      <rPr>
        <sz val="10"/>
        <rFont val="Arial"/>
        <family val="0"/>
        <charset val="1"/>
      </rPr>
      <t xml:space="preserve">LMS </t>
    </r>
    <r>
      <rPr>
        <sz val="10"/>
        <rFont val="Noto Sans CJK SC"/>
        <family val="2"/>
      </rPr>
      <t xml:space="preserve">하나뿐인 공백 보완</t>
    </r>
  </si>
  <si>
    <r>
      <rPr>
        <b val="true"/>
        <sz val="11"/>
        <rFont val="Noto Sans CJK SC"/>
        <family val="2"/>
      </rPr>
      <t xml:space="preserve">창의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도전</t>
    </r>
  </si>
  <si>
    <r>
      <rPr>
        <b val="true"/>
        <sz val="10"/>
        <rFont val="Noto Sans CJK SC"/>
        <family val="2"/>
      </rPr>
      <t xml:space="preserve">공모전 참가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수상</t>
    </r>
  </si>
  <si>
    <r>
      <rPr>
        <sz val="10"/>
        <rFont val="Noto Sans CJK SC"/>
        <family val="2"/>
      </rPr>
      <t xml:space="preserve">각종 공모전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경진대회 참가 및 수상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주관 수준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</si>
  <si>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비교과 시스템 </t>
    </r>
    <r>
      <rPr>
        <sz val="10"/>
        <rFont val="Arial"/>
        <family val="0"/>
        <charset val="1"/>
      </rPr>
      <t xml:space="preserve">· 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창의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</si>
  <si>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창의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종합적사고력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문제해결력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도전정신</t>
    </r>
  </si>
  <si>
    <r>
      <rPr>
        <sz val="10"/>
        <rFont val="Noto Sans CJK SC"/>
        <family val="2"/>
      </rPr>
      <t xml:space="preserve">수상 등급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주관 수준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국제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매핑 필요</t>
    </r>
  </si>
  <si>
    <r>
      <rPr>
        <sz val="9"/>
        <color rgb="FFFFFFFF"/>
        <rFont val="Noto Sans CJK SC"/>
        <family val="2"/>
      </rPr>
      <t xml:space="preserve">창의</t>
    </r>
    <r>
      <rPr>
        <sz val="9"/>
        <color rgb="FFFFFFFF"/>
        <rFont val="Arial"/>
        <family val="0"/>
        <charset val="1"/>
      </rPr>
      <t xml:space="preserve">·</t>
    </r>
    <r>
      <rPr>
        <sz val="9"/>
        <color rgb="FFFFFFFF"/>
        <rFont val="Noto Sans CJK SC"/>
        <family val="2"/>
      </rPr>
      <t xml:space="preserve">도전</t>
    </r>
  </si>
  <si>
    <t xml:space="preserve">창업활동</t>
  </si>
  <si>
    <r>
      <rPr>
        <sz val="10"/>
        <rFont val="Noto Sans CJK SC"/>
        <family val="2"/>
      </rPr>
      <t xml:space="preserve">창업 교과목 이수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창업 경진대회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사업자등록</t>
    </r>
  </si>
  <si>
    <r>
      <rPr>
        <sz val="10"/>
        <rFont val="Noto Sans CJK SC"/>
        <family val="2"/>
      </rPr>
      <t xml:space="preserve">학사시스템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창업지원 </t>
    </r>
    <r>
      <rPr>
        <sz val="10"/>
        <rFont val="Arial"/>
        <family val="0"/>
        <charset val="1"/>
      </rPr>
      <t xml:space="preserve">· 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창의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</si>
  <si>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창의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도전정신</t>
    </r>
  </si>
  <si>
    <r>
      <rPr>
        <b val="true"/>
        <sz val="10"/>
        <rFont val="Noto Sans CJK SC"/>
        <family val="2"/>
      </rPr>
      <t xml:space="preserve">특허출원</t>
    </r>
    <r>
      <rPr>
        <b val="true"/>
        <sz val="10"/>
        <rFont val="Arial"/>
        <family val="0"/>
        <charset val="1"/>
      </rPr>
      <t xml:space="preserve">·SW </t>
    </r>
    <r>
      <rPr>
        <b val="true"/>
        <sz val="10"/>
        <rFont val="Noto Sans CJK SC"/>
        <family val="2"/>
      </rPr>
      <t xml:space="preserve">등록</t>
    </r>
  </si>
  <si>
    <r>
      <rPr>
        <sz val="10"/>
        <rFont val="Noto Sans CJK SC"/>
        <family val="2"/>
      </rPr>
      <t xml:space="preserve">특허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실용신안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디자인 출원</t>
    </r>
    <r>
      <rPr>
        <sz val="10"/>
        <rFont val="Arial"/>
        <family val="0"/>
        <charset val="1"/>
      </rPr>
      <t xml:space="preserve">, SW </t>
    </r>
    <r>
      <rPr>
        <sz val="10"/>
        <rFont val="Noto Sans CJK SC"/>
        <family val="2"/>
      </rPr>
      <t xml:space="preserve">프로그램 등록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</si>
  <si>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창의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인증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학생 등록</t>
    </r>
  </si>
  <si>
    <r>
      <rPr>
        <sz val="10"/>
        <rFont val="Noto Sans CJK SC"/>
        <family val="2"/>
      </rPr>
      <t xml:space="preserve">창의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도전정신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직무전문성</t>
    </r>
  </si>
  <si>
    <t xml:space="preserve">글로벌</t>
  </si>
  <si>
    <r>
      <rPr>
        <b val="true"/>
        <sz val="10"/>
        <rFont val="Noto Sans CJK SC"/>
        <family val="2"/>
      </rPr>
      <t xml:space="preserve">교환학생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해외경험</t>
    </r>
  </si>
  <si>
    <r>
      <rPr>
        <sz val="10"/>
        <rFont val="Noto Sans CJK SC"/>
        <family val="2"/>
      </rPr>
      <t xml:space="preserve">교환학생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어학연수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해외봉사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국제연구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국제문화체험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해외학습</t>
    </r>
  </si>
  <si>
    <r>
      <rPr>
        <sz val="10"/>
        <rFont val="Noto Sans CJK SC"/>
        <family val="2"/>
      </rPr>
      <t xml:space="preserve">국제처 </t>
    </r>
    <r>
      <rPr>
        <sz val="10"/>
        <rFont val="Arial"/>
        <family val="0"/>
        <charset val="1"/>
      </rPr>
      <t xml:space="preserve">· 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글로벌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</si>
  <si>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글로벌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문화적 수용능력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</si>
  <si>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[C] </t>
    </r>
    <r>
      <rPr>
        <sz val="10"/>
        <rFont val="Noto Sans CJK SC"/>
        <family val="2"/>
      </rPr>
      <t xml:space="preserve">국제연구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국제문화체험 항목 추가</t>
    </r>
  </si>
  <si>
    <t xml:space="preserve">외국어 수업 이수</t>
  </si>
  <si>
    <r>
      <rPr>
        <sz val="10"/>
        <rFont val="Noto Sans CJK SC"/>
        <family val="2"/>
      </rPr>
      <t xml:space="preserve">국제어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외국어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강의 이수 과목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학점</t>
    </r>
  </si>
  <si>
    <r>
      <rPr>
        <sz val="10"/>
        <rFont val="Noto Sans CJK SC"/>
        <family val="2"/>
      </rPr>
      <t xml:space="preserve">글로벌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외국어 능력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</si>
  <si>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마인드맵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기업 관심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글로벌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있으나 기존 데이터셋에 없음</t>
    </r>
  </si>
  <si>
    <r>
      <rPr>
        <b val="true"/>
        <sz val="11"/>
        <rFont val="Noto Sans CJK SC"/>
        <family val="2"/>
      </rPr>
      <t xml:space="preserve">디지털</t>
    </r>
    <r>
      <rPr>
        <b val="true"/>
        <sz val="11"/>
        <rFont val="Arial"/>
        <family val="0"/>
        <charset val="1"/>
      </rPr>
      <t xml:space="preserve">·AI</t>
    </r>
  </si>
  <si>
    <r>
      <rPr>
        <b val="true"/>
        <sz val="10"/>
        <rFont val="Arial"/>
        <family val="0"/>
        <charset val="1"/>
      </rPr>
      <t xml:space="preserve">AI</t>
    </r>
    <r>
      <rPr>
        <b val="true"/>
        <sz val="10"/>
        <rFont val="Noto Sans CJK SC"/>
        <family val="2"/>
      </rPr>
      <t xml:space="preserve">교육 이수내역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</si>
  <si>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교과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비교과 교육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생성형 </t>
    </r>
    <r>
      <rPr>
        <sz val="10"/>
        <rFont val="Arial"/>
        <family val="0"/>
        <charset val="1"/>
      </rPr>
      <t xml:space="preserve">AI·</t>
    </r>
    <r>
      <rPr>
        <sz val="10"/>
        <rFont val="Noto Sans CJK SC"/>
        <family val="2"/>
      </rPr>
      <t xml:space="preserve">바이브 코딩 교육</t>
    </r>
  </si>
  <si>
    <r>
      <rPr>
        <sz val="10"/>
        <rFont val="Noto Sans CJK SC"/>
        <family val="2"/>
      </rPr>
      <t xml:space="preserve">범주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</si>
  <si>
    <r>
      <rPr>
        <sz val="10"/>
        <rFont val="Noto Sans CJK SC"/>
        <family val="2"/>
      </rPr>
      <t xml:space="preserve">학사시스템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비교과 </t>
    </r>
    <r>
      <rPr>
        <sz val="10"/>
        <rFont val="Arial"/>
        <family val="0"/>
        <charset val="1"/>
      </rPr>
      <t xml:space="preserve">· 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(AI)</t>
    </r>
  </si>
  <si>
    <r>
      <rPr>
        <sz val="10"/>
        <rFont val="Noto Sans CJK SC"/>
        <family val="2"/>
      </rPr>
      <t xml:space="preserve">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정보기술활용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디지털리터러시</t>
    </r>
  </si>
  <si>
    <r>
      <rPr>
        <sz val="10"/>
        <rFont val="Noto Sans CJK SC"/>
        <family val="2"/>
      </rPr>
      <t xml:space="preserve">이수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시간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까지 받으면 정량화 쉬워짐</t>
    </r>
  </si>
  <si>
    <r>
      <rPr>
        <sz val="9"/>
        <color rgb="FFFFFFFF"/>
        <rFont val="Noto Sans CJK SC"/>
        <family val="2"/>
      </rPr>
      <t xml:space="preserve">디지털</t>
    </r>
    <r>
      <rPr>
        <sz val="9"/>
        <color rgb="FFFFFFFF"/>
        <rFont val="Arial"/>
        <family val="0"/>
        <charset val="1"/>
      </rPr>
      <t xml:space="preserve">·AI</t>
    </r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</si>
  <si>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프로젝트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대회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</si>
  <si>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캡스톤 프로젝트</t>
    </r>
    <r>
      <rPr>
        <sz val="10"/>
        <rFont val="Arial"/>
        <family val="0"/>
        <charset val="1"/>
      </rPr>
      <t xml:space="preserve">, AI </t>
    </r>
    <r>
      <rPr>
        <sz val="10"/>
        <rFont val="Noto Sans CJK SC"/>
        <family val="2"/>
      </rPr>
      <t xml:space="preserve">대회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공모전</t>
    </r>
  </si>
  <si>
    <r>
      <rPr>
        <sz val="10"/>
        <rFont val="Noto Sans CJK SC"/>
        <family val="2"/>
      </rPr>
      <t xml:space="preserve">학사시스템 </t>
    </r>
    <r>
      <rPr>
        <sz val="10"/>
        <rFont val="Arial"/>
        <family val="0"/>
        <charset val="1"/>
      </rPr>
      <t xml:space="preserve">· 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(AI)</t>
    </r>
  </si>
  <si>
    <r>
      <rPr>
        <sz val="10"/>
        <rFont val="Noto Sans CJK SC"/>
        <family val="2"/>
      </rPr>
      <t xml:space="preserve">디지털리터러시</t>
    </r>
    <r>
      <rPr>
        <sz val="10"/>
        <rFont val="Arial"/>
        <family val="0"/>
        <charset val="1"/>
      </rPr>
      <t xml:space="preserve">(AI </t>
    </r>
    <r>
      <rPr>
        <sz val="10"/>
        <rFont val="Noto Sans CJK SC"/>
        <family val="2"/>
      </rPr>
      <t xml:space="preserve">활용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문제해결력</t>
    </r>
  </si>
  <si>
    <t xml:space="preserve">공모전 항목과 중복 가산되지 않게 분리</t>
  </si>
  <si>
    <t xml:space="preserve">협업툴 활용경험</t>
  </si>
  <si>
    <r>
      <rPr>
        <sz val="10"/>
        <rFont val="Noto Sans CJK SC"/>
        <family val="2"/>
      </rPr>
      <t xml:space="preserve">노션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슬랙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깃허브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피그마 등 활용 경험</t>
    </r>
  </si>
  <si>
    <t xml:space="preserve">텍스트</t>
  </si>
  <si>
    <t xml:space="preserve">학생 등록</t>
  </si>
  <si>
    <r>
      <rPr>
        <sz val="10"/>
        <rFont val="Noto Sans CJK SC"/>
        <family val="2"/>
      </rPr>
      <t xml:space="preserve">자기 서술 위주 → 정성 판단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낮은 가중치 권장</t>
    </r>
  </si>
  <si>
    <r>
      <rPr>
        <b val="true"/>
        <sz val="11"/>
        <rFont val="Noto Sans CJK SC"/>
        <family val="2"/>
      </rPr>
      <t xml:space="preserve">공동체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리더십</t>
    </r>
  </si>
  <si>
    <r>
      <rPr>
        <b val="true"/>
        <sz val="10"/>
        <rFont val="Noto Sans CJK SC"/>
        <family val="2"/>
      </rPr>
      <t xml:space="preserve">동아리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학생회 활동</t>
    </r>
  </si>
  <si>
    <r>
      <rPr>
        <sz val="10"/>
        <rFont val="Noto Sans CJK SC"/>
        <family val="2"/>
      </rPr>
      <t xml:space="preserve">동아리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학생회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학회 활동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직책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활동 기간</t>
    </r>
  </si>
  <si>
    <r>
      <rPr>
        <sz val="10"/>
        <rFont val="Noto Sans CJK SC"/>
        <family val="2"/>
      </rPr>
      <t xml:space="preserve">비교과 시스템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학생 등록</t>
    </r>
  </si>
  <si>
    <r>
      <rPr>
        <sz val="10"/>
        <rFont val="Noto Sans CJK SC"/>
        <family val="2"/>
      </rPr>
      <t xml:space="preserve">대인관계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리더십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커뮤니케이션</t>
    </r>
  </si>
  <si>
    <r>
      <rPr>
        <sz val="10"/>
        <rFont val="Noto Sans CJK SC"/>
        <family val="2"/>
      </rPr>
      <t xml:space="preserve">직책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총무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부원</t>
    </r>
    <r>
      <rPr>
        <sz val="10"/>
        <rFont val="Arial"/>
        <family val="0"/>
        <charset val="1"/>
      </rPr>
      <t xml:space="preserve">) × </t>
    </r>
    <r>
      <rPr>
        <sz val="10"/>
        <rFont val="Noto Sans CJK SC"/>
        <family val="2"/>
      </rPr>
      <t xml:space="preserve">기간으로 정량화</t>
    </r>
  </si>
  <si>
    <r>
      <rPr>
        <sz val="9"/>
        <color rgb="FFFFFFFF"/>
        <rFont val="Noto Sans CJK SC"/>
        <family val="2"/>
      </rPr>
      <t xml:space="preserve">공동체</t>
    </r>
    <r>
      <rPr>
        <sz val="9"/>
        <color rgb="FFFFFFFF"/>
        <rFont val="Arial"/>
        <family val="0"/>
        <charset val="1"/>
      </rPr>
      <t xml:space="preserve">·</t>
    </r>
    <r>
      <rPr>
        <sz val="9"/>
        <color rgb="FFFFFFFF"/>
        <rFont val="Noto Sans CJK SC"/>
        <family val="2"/>
      </rPr>
      <t xml:space="preserve">리더십</t>
    </r>
  </si>
  <si>
    <t xml:space="preserve">봉사활동</t>
  </si>
  <si>
    <r>
      <rPr>
        <sz val="10"/>
        <rFont val="Noto Sans CJK SC"/>
        <family val="2"/>
      </rPr>
      <t xml:space="preserve">교내외 봉사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국내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국외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유학생 봉사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봉사 시간</t>
    </r>
  </si>
  <si>
    <r>
      <rPr>
        <sz val="10"/>
        <rFont val="Arial"/>
        <family val="0"/>
        <charset val="1"/>
      </rPr>
      <t xml:space="preserve">1365 · 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</si>
  <si>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대인관계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리더십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문화적수용능력</t>
    </r>
  </si>
  <si>
    <r>
      <rPr>
        <sz val="10"/>
        <rFont val="Noto Sans CJK SC"/>
        <family val="2"/>
      </rPr>
      <t xml:space="preserve">학년 보정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학기당 시간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필요</t>
    </r>
  </si>
  <si>
    <r>
      <rPr>
        <b val="true"/>
        <sz val="10"/>
        <rFont val="Noto Sans CJK SC"/>
        <family val="2"/>
      </rPr>
      <t xml:space="preserve">멘토링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학습공동체</t>
    </r>
  </si>
  <si>
    <r>
      <rPr>
        <sz val="10"/>
        <rFont val="Noto Sans CJK SC"/>
        <family val="2"/>
      </rPr>
      <t xml:space="preserve">튜터링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멘토링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스터디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학습공동체 참여</t>
    </r>
  </si>
  <si>
    <t xml:space="preserve">교수학습센터</t>
  </si>
  <si>
    <r>
      <rPr>
        <sz val="10"/>
        <rFont val="Noto Sans CJK SC"/>
        <family val="2"/>
      </rPr>
      <t xml:space="preserve">소통능력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대인관계</t>
    </r>
  </si>
  <si>
    <r>
      <rPr>
        <sz val="10"/>
        <rFont val="Noto Sans CJK SC"/>
        <family val="2"/>
      </rPr>
      <t xml:space="preserve">교수 관심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소통능력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스터디 참여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근거 확보</t>
    </r>
  </si>
  <si>
    <t xml:space="preserve">팀프로젝트 동료평가</t>
  </si>
  <si>
    <r>
      <rPr>
        <sz val="10"/>
        <rFont val="Noto Sans CJK SC"/>
        <family val="2"/>
      </rPr>
      <t xml:space="preserve">팀 과제 동료평가 점수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코멘트</t>
    </r>
  </si>
  <si>
    <r>
      <rPr>
        <sz val="10"/>
        <rFont val="Noto Sans CJK SC"/>
        <family val="2"/>
      </rPr>
      <t xml:space="preserve">수치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텍스트</t>
    </r>
  </si>
  <si>
    <r>
      <rPr>
        <sz val="10"/>
        <rFont val="Noto Sans CJK SC"/>
        <family val="2"/>
      </rPr>
      <t xml:space="preserve">커뮤니케이션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협업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대인관계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리더십</t>
    </r>
  </si>
  <si>
    <r>
      <rPr>
        <sz val="10"/>
        <rFont val="Noto Sans CJK SC"/>
        <family val="2"/>
      </rPr>
      <t xml:space="preserve">대인관계 역량을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활동 여부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아닌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평판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측정할 수 있는 유일한 근거</t>
    </r>
  </si>
  <si>
    <r>
      <rPr>
        <b val="true"/>
        <sz val="11"/>
        <rFont val="Noto Sans CJK SC"/>
        <family val="2"/>
      </rPr>
      <t xml:space="preserve">자격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인증</t>
    </r>
  </si>
  <si>
    <r>
      <rPr>
        <b val="true"/>
        <sz val="10"/>
        <rFont val="Noto Sans CJK SC"/>
        <family val="2"/>
      </rPr>
      <t xml:space="preserve">자격증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어학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</si>
  <si>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TOEIC, TOEFL, TOEIC Speaking, OPIc, HSK, JPT, DELF </t>
    </r>
    <r>
      <rPr>
        <sz val="10"/>
        <rFont val="Noto Sans CJK SC"/>
        <family val="2"/>
      </rPr>
      <t xml:space="preserve">등</t>
    </r>
  </si>
  <si>
    <r>
      <rPr>
        <sz val="10"/>
        <rFont val="Noto Sans CJK SC"/>
        <family val="2"/>
      </rPr>
      <t xml:space="preserve">학생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성적표</t>
    </r>
    <r>
      <rPr>
        <sz val="10"/>
        <rFont val="Arial"/>
        <family val="0"/>
        <charset val="1"/>
      </rPr>
      <t xml:space="preserve">) · 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글로벌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</si>
  <si>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글로벌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언어 사용능력</t>
    </r>
    <r>
      <rPr>
        <sz val="10"/>
        <rFont val="Arial"/>
        <family val="0"/>
        <charset val="1"/>
      </rPr>
      <t xml:space="preserve">)</t>
    </r>
  </si>
  <si>
    <t xml:space="preserve">시험별 공통 척도 환산표 필요</t>
  </si>
  <si>
    <r>
      <rPr>
        <sz val="9"/>
        <color rgb="FFFFFFFF"/>
        <rFont val="Noto Sans CJK SC"/>
        <family val="2"/>
      </rPr>
      <t xml:space="preserve">자격</t>
    </r>
    <r>
      <rPr>
        <sz val="9"/>
        <color rgb="FFFFFFFF"/>
        <rFont val="Arial"/>
        <family val="0"/>
        <charset val="1"/>
      </rPr>
      <t xml:space="preserve">·</t>
    </r>
    <r>
      <rPr>
        <sz val="9"/>
        <color rgb="FFFFFFFF"/>
        <rFont val="Noto Sans CJK SC"/>
        <family val="2"/>
      </rPr>
      <t xml:space="preserve">인증</t>
    </r>
  </si>
  <si>
    <r>
      <rPr>
        <b val="true"/>
        <sz val="10"/>
        <rFont val="Noto Sans CJK SC"/>
        <family val="2"/>
      </rPr>
      <t xml:space="preserve">자격증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기타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전공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</si>
  <si>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컴퓨터활용능력</t>
    </r>
    <r>
      <rPr>
        <sz val="10"/>
        <rFont val="Arial"/>
        <family val="0"/>
        <charset val="1"/>
      </rPr>
      <t xml:space="preserve">, MOS, ADSP, SQLD, </t>
    </r>
    <r>
      <rPr>
        <sz val="10"/>
        <rFont val="Noto Sans CJK SC"/>
        <family val="2"/>
      </rPr>
      <t xml:space="preserve">기사 등</t>
    </r>
  </si>
  <si>
    <r>
      <rPr>
        <sz val="10"/>
        <rFont val="Noto Sans CJK SC"/>
        <family val="2"/>
      </rPr>
      <t xml:space="preserve">학생 등록 </t>
    </r>
    <r>
      <rPr>
        <sz val="10"/>
        <rFont val="Arial"/>
        <family val="0"/>
        <charset val="1"/>
      </rPr>
      <t xml:space="preserve">· 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창의</t>
    </r>
    <r>
      <rPr>
        <sz val="10"/>
        <rFont val="Arial"/>
        <family val="0"/>
        <charset val="1"/>
      </rPr>
      <t xml:space="preserve">-IT </t>
    </r>
    <r>
      <rPr>
        <sz val="10"/>
        <rFont val="Noto Sans CJK SC"/>
        <family val="2"/>
      </rPr>
      <t xml:space="preserve">활용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</si>
  <si>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정보기술활용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직무전문성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디지털리터러시</t>
    </r>
  </si>
  <si>
    <r>
      <rPr>
        <sz val="10"/>
        <rFont val="Noto Sans CJK SC"/>
        <family val="2"/>
      </rPr>
      <t xml:space="preserve">자격증별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난이도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매핑표 필요</t>
    </r>
  </si>
  <si>
    <r>
      <rPr>
        <b val="true"/>
        <sz val="10"/>
        <rFont val="Noto Sans CJK SC"/>
        <family val="2"/>
      </rPr>
      <t xml:space="preserve">전문직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공직 시험</t>
    </r>
  </si>
  <si>
    <r>
      <rPr>
        <sz val="10"/>
        <rFont val="Noto Sans CJK SC"/>
        <family val="2"/>
      </rPr>
      <t xml:space="preserve">공개경쟁시험</t>
    </r>
    <r>
      <rPr>
        <sz val="10"/>
        <rFont val="Arial"/>
        <family val="0"/>
        <charset val="1"/>
      </rPr>
      <t xml:space="preserve">·5</t>
    </r>
    <r>
      <rPr>
        <sz val="10"/>
        <rFont val="Noto Sans CJK SC"/>
        <family val="2"/>
      </rPr>
      <t xml:space="preserve">급 공채 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회계사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세무사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관세사 등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</si>
  <si>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창의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진로개발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인증</t>
    </r>
  </si>
  <si>
    <r>
      <rPr>
        <sz val="10"/>
        <rFont val="Noto Sans CJK SC"/>
        <family val="2"/>
      </rPr>
      <t xml:space="preserve">직무전문성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도전정신</t>
    </r>
  </si>
  <si>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구분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</si>
  <si>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품인증 취득현황</t>
    </r>
  </si>
  <si>
    <r>
      <rPr>
        <sz val="10"/>
        <rFont val="Noto Sans CJK SC"/>
        <family val="2"/>
      </rPr>
      <t xml:space="preserve">인성품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글로벌품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창의품</t>
    </r>
    <r>
      <rPr>
        <sz val="10"/>
        <rFont val="Arial"/>
        <family val="0"/>
        <charset val="1"/>
      </rPr>
      <t xml:space="preserve">(AI·</t>
    </r>
    <r>
      <rPr>
        <sz val="10"/>
        <rFont val="Noto Sans CJK SC"/>
        <family val="2"/>
      </rPr>
      <t xml:space="preserve">인턴십 영역 포함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취득 여부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</si>
  <si>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품인증 시스템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</si>
  <si>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복수 역량 종합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</si>
  <si>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하위 활동과 중복 가산 위험 → 가산점이 아닌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참고 지표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권장</t>
    </r>
  </si>
  <si>
    <t xml:space="preserve">비교과 이수시간</t>
  </si>
  <si>
    <r>
      <rPr>
        <sz val="10"/>
        <rFont val="Noto Sans CJK SC"/>
        <family val="2"/>
      </rPr>
      <t xml:space="preserve">비교과 프로그램 누적 이수시간 </t>
    </r>
    <r>
      <rPr>
        <sz val="10"/>
        <rFont val="Arial"/>
        <family val="0"/>
        <charset val="1"/>
      </rPr>
      <t xml:space="preserve">(90</t>
    </r>
    <r>
      <rPr>
        <sz val="10"/>
        <rFont val="Noto Sans CJK SC"/>
        <family val="2"/>
      </rPr>
      <t xml:space="preserve">시간 기준 등</t>
    </r>
    <r>
      <rPr>
        <sz val="10"/>
        <rFont val="Arial"/>
        <family val="0"/>
        <charset val="1"/>
      </rPr>
      <t xml:space="preserve">)</t>
    </r>
  </si>
  <si>
    <t xml:space="preserve">비교과 시스템</t>
  </si>
  <si>
    <r>
      <rPr>
        <sz val="10"/>
        <rFont val="Noto Sans CJK SC"/>
        <family val="2"/>
      </rPr>
      <t xml:space="preserve">자기관리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종합적사고력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융합적 사고</t>
    </r>
    <r>
      <rPr>
        <sz val="10"/>
        <rFont val="Arial"/>
        <family val="0"/>
        <charset val="1"/>
      </rPr>
      <t xml:space="preserve">)</t>
    </r>
  </si>
  <si>
    <t xml:space="preserve">학년 보정 필요</t>
  </si>
  <si>
    <r>
      <rPr>
        <b val="true"/>
        <sz val="11"/>
        <rFont val="Noto Sans CJK SC"/>
        <family val="2"/>
      </rPr>
      <t xml:space="preserve">진단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자기평가</t>
    </r>
  </si>
  <si>
    <r>
      <rPr>
        <b val="true"/>
        <sz val="10"/>
        <rFont val="Arial"/>
        <family val="0"/>
        <charset val="1"/>
      </rPr>
      <t xml:space="preserve">SSCA </t>
    </r>
    <r>
      <rPr>
        <b val="true"/>
        <sz val="10"/>
        <rFont val="Noto Sans CJK SC"/>
        <family val="2"/>
      </rPr>
      <t xml:space="preserve">학생성공역량진단</t>
    </r>
  </si>
  <si>
    <r>
      <rPr>
        <sz val="10"/>
        <rFont val="Arial"/>
        <family val="0"/>
        <charset val="1"/>
      </rPr>
      <t xml:space="preserve">SSCA </t>
    </r>
    <r>
      <rPr>
        <sz val="10"/>
        <rFont val="Noto Sans CJK SC"/>
        <family val="2"/>
      </rPr>
      <t xml:space="preserve">검사 결과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역량별 자기진단 점수</t>
    </r>
    <r>
      <rPr>
        <sz val="10"/>
        <rFont val="Arial"/>
        <family val="0"/>
        <charset val="1"/>
      </rPr>
      <t xml:space="preserve">)</t>
    </r>
  </si>
  <si>
    <t xml:space="preserve">학생성공 게이트웨이</t>
  </si>
  <si>
    <r>
      <rPr>
        <sz val="10"/>
        <rFont val="Noto Sans CJK SC"/>
        <family val="2"/>
      </rPr>
      <t xml:space="preserve">전 역량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자기인식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</si>
  <si>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객관 점수에 합산하지 말고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자기평가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데이터 평가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비교용으로 별도 표시</t>
    </r>
  </si>
  <si>
    <r>
      <rPr>
        <sz val="9"/>
        <color rgb="FFFFFFFF"/>
        <rFont val="Noto Sans CJK SC"/>
        <family val="2"/>
      </rPr>
      <t xml:space="preserve">진단</t>
    </r>
    <r>
      <rPr>
        <sz val="9"/>
        <color rgb="FFFFFFFF"/>
        <rFont val="Arial"/>
        <family val="0"/>
        <charset val="1"/>
      </rPr>
      <t xml:space="preserve">·</t>
    </r>
    <r>
      <rPr>
        <sz val="9"/>
        <color rgb="FFFFFFFF"/>
        <rFont val="Noto Sans CJK SC"/>
        <family val="2"/>
      </rPr>
      <t xml:space="preserve">자기평가</t>
    </r>
  </si>
  <si>
    <t xml:space="preserve">학습경험진단</t>
  </si>
  <si>
    <t xml:space="preserve">학습경험 설문 결과</t>
  </si>
  <si>
    <r>
      <rPr>
        <sz val="10"/>
        <rFont val="Noto Sans CJK SC"/>
        <family val="2"/>
      </rPr>
      <t xml:space="preserve">자기관리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학업성취</t>
    </r>
  </si>
  <si>
    <r>
      <rPr>
        <sz val="10"/>
        <rFont val="Arial"/>
        <family val="0"/>
        <charset val="1"/>
      </rPr>
      <t xml:space="preserve">SSCA</t>
    </r>
    <r>
      <rPr>
        <sz val="10"/>
        <rFont val="Noto Sans CJK SC"/>
        <family val="2"/>
      </rPr>
      <t xml:space="preserve">와 동일하게 비교용 권장</t>
    </r>
  </si>
  <si>
    <r>
      <rPr>
        <b val="true"/>
        <sz val="10"/>
        <rFont val="Noto Sans CJK SC"/>
        <family val="2"/>
      </rPr>
      <t xml:space="preserve">활동 성찰 기록</t>
    </r>
    <r>
      <rPr>
        <b val="true"/>
        <sz val="10"/>
        <rFont val="Arial"/>
        <family val="0"/>
        <charset val="1"/>
      </rPr>
      <t xml:space="preserve">(STAR)</t>
    </r>
  </si>
  <si>
    <r>
      <rPr>
        <sz val="10"/>
        <rFont val="Noto Sans CJK SC"/>
        <family val="2"/>
      </rPr>
      <t xml:space="preserve">주요 활동별 상황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역할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결과 서술</t>
    </r>
  </si>
  <si>
    <r>
      <rPr>
        <sz val="10"/>
        <rFont val="Noto Sans CJK SC"/>
        <family val="2"/>
      </rPr>
      <t xml:space="preserve">학생 입력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포트폴리오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</si>
  <si>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리더십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문제해결력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커뮤니케이션 등 정성 역량</t>
    </r>
  </si>
  <si>
    <r>
      <rPr>
        <sz val="10"/>
        <rFont val="Noto Sans CJK SC"/>
        <family val="2"/>
      </rPr>
      <t xml:space="preserve">정성 루브릭이 판단할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질적 근거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현재 거의 없음 → 가장 우선 확보 권장</t>
    </r>
  </si>
  <si>
    <t xml:space="preserve">교수 관찰 코멘트</t>
  </si>
  <si>
    <r>
      <rPr>
        <sz val="10"/>
        <rFont val="Noto Sans CJK SC"/>
        <family val="2"/>
      </rPr>
      <t xml:space="preserve">지도교수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수업 교수의 관찰 의견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</si>
  <si>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t xml:space="preserve">교수 입력</t>
  </si>
  <si>
    <t xml:space="preserve">교수 관심 역량 전반</t>
  </si>
  <si>
    <t xml:space="preserve">입력 부담 고려해 선택 항목으로</t>
  </si>
  <si>
    <r>
      <rPr>
        <i val="true"/>
        <sz val="9"/>
        <color rgb="FF7F7F7F"/>
        <rFont val="Noto Sans CJK SC"/>
        <family val="2"/>
      </rPr>
      <t xml:space="preserve">※ 출처 시스템명</t>
    </r>
    <r>
      <rPr>
        <i val="true"/>
        <sz val="9"/>
        <color rgb="FF7F7F7F"/>
        <rFont val="Arial"/>
        <family val="0"/>
        <charset val="1"/>
      </rPr>
      <t xml:space="preserve">(i-Campus, </t>
    </r>
    <r>
      <rPr>
        <i val="true"/>
        <sz val="9"/>
        <color rgb="FF7F7F7F"/>
        <rFont val="Noto Sans CJK SC"/>
        <family val="2"/>
      </rPr>
      <t xml:space="preserve">학생성공 게이트웨이 등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은 공개 정보 기준이며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실제 연동 가능 여부는 학교 담당 부서 확인이 필요합니다</t>
    </r>
    <r>
      <rPr>
        <i val="true"/>
        <sz val="9"/>
        <color rgb="FF7F7F7F"/>
        <rFont val="Arial"/>
        <family val="0"/>
        <charset val="1"/>
      </rPr>
      <t xml:space="preserve">.</t>
    </r>
  </si>
  <si>
    <t xml:space="preserve">대분류별 항목 수</t>
  </si>
  <si>
    <t xml:space="preserve">항목 수</t>
  </si>
  <si>
    <t xml:space="preserve">기존 포함</t>
  </si>
  <si>
    <r>
      <rPr>
        <b val="true"/>
        <sz val="11"/>
        <color rgb="FFFFFFFF"/>
        <rFont val="Arial"/>
        <family val="0"/>
        <charset val="1"/>
      </rPr>
      <t xml:space="preserve">SKKU </t>
    </r>
    <r>
      <rPr>
        <b val="true"/>
        <sz val="11"/>
        <color rgb="FFFFFFFF"/>
        <rFont val="Noto Sans CJK SC"/>
        <family val="2"/>
      </rPr>
      <t xml:space="preserve">확보가능 포함</t>
    </r>
  </si>
  <si>
    <r>
      <rPr>
        <sz val="10"/>
        <rFont val="Noto Sans CJK SC"/>
        <family val="2"/>
      </rPr>
      <t xml:space="preserve">학업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교과</t>
    </r>
  </si>
  <si>
    <r>
      <rPr>
        <sz val="10"/>
        <rFont val="Noto Sans CJK SC"/>
        <family val="2"/>
      </rPr>
      <t xml:space="preserve">학습행동</t>
    </r>
    <r>
      <rPr>
        <sz val="10"/>
        <rFont val="Arial"/>
        <family val="0"/>
        <charset val="1"/>
      </rPr>
      <t xml:space="preserve">(LMS)</t>
    </r>
  </si>
  <si>
    <r>
      <rPr>
        <sz val="10"/>
        <rFont val="Noto Sans CJK SC"/>
        <family val="2"/>
      </rPr>
      <t xml:space="preserve">연구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학술</t>
    </r>
  </si>
  <si>
    <r>
      <rPr>
        <sz val="10"/>
        <rFont val="Noto Sans CJK SC"/>
        <family val="2"/>
      </rPr>
      <t xml:space="preserve">실무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진로</t>
    </r>
  </si>
  <si>
    <r>
      <rPr>
        <sz val="10"/>
        <rFont val="Noto Sans CJK SC"/>
        <family val="2"/>
      </rPr>
      <t xml:space="preserve">창의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도전</t>
    </r>
  </si>
  <si>
    <r>
      <rPr>
        <sz val="10"/>
        <rFont val="Noto Sans CJK SC"/>
        <family val="2"/>
      </rPr>
      <t xml:space="preserve">디지털</t>
    </r>
    <r>
      <rPr>
        <sz val="10"/>
        <rFont val="Arial"/>
        <family val="0"/>
        <charset val="1"/>
      </rPr>
      <t xml:space="preserve">·AI</t>
    </r>
  </si>
  <si>
    <r>
      <rPr>
        <sz val="10"/>
        <rFont val="Noto Sans CJK SC"/>
        <family val="2"/>
      </rPr>
      <t xml:space="preserve">공동체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리더십</t>
    </r>
  </si>
  <si>
    <r>
      <rPr>
        <sz val="10"/>
        <rFont val="Noto Sans CJK SC"/>
        <family val="2"/>
      </rPr>
      <t xml:space="preserve">자격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인증</t>
    </r>
  </si>
  <si>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자기평가</t>
    </r>
  </si>
  <si>
    <t xml:space="preserve">합계</t>
  </si>
  <si>
    <r>
      <rPr>
        <i val="true"/>
        <sz val="9"/>
        <color rgb="FF7F7F7F"/>
        <rFont val="Noto Sans CJK SC"/>
        <family val="2"/>
      </rPr>
      <t xml:space="preserve">※ 숨김 열 </t>
    </r>
    <r>
      <rPr>
        <i val="true"/>
        <sz val="9"/>
        <color rgb="FF7F7F7F"/>
        <rFont val="Arial"/>
        <family val="0"/>
        <charset val="1"/>
      </rPr>
      <t xml:space="preserve">J(</t>
    </r>
    <r>
      <rPr>
        <i val="true"/>
        <sz val="9"/>
        <color rgb="FF7F7F7F"/>
        <rFont val="Noto Sans CJK SC"/>
        <family val="2"/>
      </rPr>
      <t xml:space="preserve">대분류 라벨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를 기준으로 집계 — 마스터 시트의 </t>
    </r>
    <r>
      <rPr>
        <i val="true"/>
        <sz val="9"/>
        <color rgb="FF7F7F7F"/>
        <rFont val="Arial"/>
        <family val="0"/>
        <charset val="1"/>
      </rPr>
      <t xml:space="preserve">B</t>
    </r>
    <r>
      <rPr>
        <i val="true"/>
        <sz val="9"/>
        <color rgb="FF7F7F7F"/>
        <rFont val="Noto Sans CJK SC"/>
        <family val="2"/>
      </rPr>
      <t xml:space="preserve">열은 병합되어 있어 별도 라벨 사용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</si>
</sst>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sz val="9"/>
      <color rgb="FFFFFFFF"/>
      <name val="Noto Sans CJK SC"/>
      <family val="2"/>
    </font>
    <font>
      <sz val="9"/>
      <color rgb="FFFFFFFF"/>
      <name val="Arial"/>
      <family val="0"/>
      <charset val="1"/>
    </font>
    <font>
      <i val="true"/>
      <sz val="9"/>
      <color rgb="FF7F7F7F"/>
      <name val="Noto Sans CJK SC"/>
      <family val="2"/>
    </font>
    <font>
      <i val="true"/>
      <sz val="9"/>
      <color rgb="FF7F7F7F"/>
      <name val="Arial"/>
      <family val="0"/>
      <charset val="1"/>
    </font>
    <font>
      <b val="true"/>
      <sz val="12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2F4A8A"/>
        <bgColor rgb="FF595959"/>
      </patternFill>
    </fill>
    <fill>
      <patternFill patternType="solid">
        <fgColor rgb="FFE7EAF3"/>
        <bgColor rgb="FFDDEBF7"/>
      </patternFill>
    </fill>
    <fill>
      <patternFill patternType="solid">
        <fgColor rgb="FFDDEBF7"/>
        <bgColor rgb="FFE7EAF3"/>
      </patternFill>
    </fill>
    <fill>
      <patternFill patternType="solid">
        <fgColor rgb="FFFFF2CC"/>
        <bgColor rgb="FFE7EA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A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4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7"/>
    <col collapsed="false" customWidth="true" hidden="false" outlineLevel="0" max="8" min="8" style="0" width="34"/>
    <col collapsed="false" customWidth="true" hidden="false" outlineLevel="0" max="9" min="9" style="0" width="44"/>
    <col collapsed="false" customWidth="true" hidden="true" outlineLevel="0" max="10" min="10" style="0" width="13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29.85" hidden="false" customHeight="true" outlineLevel="0" collapsed="false">
      <c r="A5" s="5" t="n">
        <v>1</v>
      </c>
      <c r="B5" s="6" t="s">
        <v>11</v>
      </c>
      <c r="C5" s="7" t="s">
        <v>12</v>
      </c>
      <c r="D5" s="8" t="s">
        <v>13</v>
      </c>
      <c r="E5" s="9" t="s">
        <v>14</v>
      </c>
      <c r="F5" s="8" t="s">
        <v>15</v>
      </c>
      <c r="G5" s="9" t="s">
        <v>16</v>
      </c>
      <c r="H5" s="8" t="s">
        <v>17</v>
      </c>
      <c r="I5" s="10" t="s">
        <v>18</v>
      </c>
      <c r="J5" s="11" t="s">
        <v>19</v>
      </c>
    </row>
    <row r="6" customFormat="false" ht="29.85" hidden="false" customHeight="false" outlineLevel="0" collapsed="false">
      <c r="A6" s="5" t="n">
        <v>2</v>
      </c>
      <c r="B6" s="6"/>
      <c r="C6" s="7" t="s">
        <v>20</v>
      </c>
      <c r="D6" s="8" t="s">
        <v>21</v>
      </c>
      <c r="E6" s="9" t="s">
        <v>22</v>
      </c>
      <c r="F6" s="8" t="s">
        <v>23</v>
      </c>
      <c r="G6" s="9" t="s">
        <v>24</v>
      </c>
      <c r="H6" s="8" t="s">
        <v>25</v>
      </c>
      <c r="I6" s="8" t="s">
        <v>26</v>
      </c>
      <c r="J6" s="11" t="s">
        <v>19</v>
      </c>
    </row>
    <row r="7" customFormat="false" ht="29.85" hidden="false" customHeight="false" outlineLevel="0" collapsed="false">
      <c r="A7" s="5" t="n">
        <v>3</v>
      </c>
      <c r="B7" s="6"/>
      <c r="C7" s="7" t="s">
        <v>27</v>
      </c>
      <c r="D7" s="8" t="s">
        <v>28</v>
      </c>
      <c r="E7" s="9" t="s">
        <v>29</v>
      </c>
      <c r="F7" s="8" t="s">
        <v>30</v>
      </c>
      <c r="G7" s="9" t="s">
        <v>16</v>
      </c>
      <c r="H7" s="8" t="s">
        <v>31</v>
      </c>
      <c r="I7" s="8" t="s">
        <v>32</v>
      </c>
      <c r="J7" s="11" t="s">
        <v>19</v>
      </c>
    </row>
    <row r="8" customFormat="false" ht="29.85" hidden="false" customHeight="false" outlineLevel="0" collapsed="false">
      <c r="A8" s="5" t="n">
        <v>4</v>
      </c>
      <c r="B8" s="6"/>
      <c r="C8" s="12" t="s">
        <v>33</v>
      </c>
      <c r="D8" s="13" t="s">
        <v>34</v>
      </c>
      <c r="E8" s="14" t="s">
        <v>29</v>
      </c>
      <c r="F8" s="13" t="s">
        <v>35</v>
      </c>
      <c r="G8" s="15" t="s">
        <v>36</v>
      </c>
      <c r="H8" s="13" t="s">
        <v>37</v>
      </c>
      <c r="I8" s="13" t="s">
        <v>38</v>
      </c>
      <c r="J8" s="11" t="s">
        <v>19</v>
      </c>
    </row>
    <row r="9" customFormat="false" ht="29.85" hidden="false" customHeight="true" outlineLevel="0" collapsed="false">
      <c r="A9" s="5" t="n">
        <v>5</v>
      </c>
      <c r="B9" s="6" t="s">
        <v>39</v>
      </c>
      <c r="C9" s="16" t="s">
        <v>40</v>
      </c>
      <c r="D9" s="8" t="s">
        <v>41</v>
      </c>
      <c r="E9" s="9" t="s">
        <v>14</v>
      </c>
      <c r="F9" s="10" t="s">
        <v>42</v>
      </c>
      <c r="G9" s="9" t="s">
        <v>24</v>
      </c>
      <c r="H9" s="8" t="s">
        <v>43</v>
      </c>
      <c r="I9" s="8" t="s">
        <v>44</v>
      </c>
      <c r="J9" s="11" t="s">
        <v>45</v>
      </c>
    </row>
    <row r="10" customFormat="false" ht="15" hidden="false" customHeight="false" outlineLevel="0" collapsed="false">
      <c r="A10" s="5" t="n">
        <v>6</v>
      </c>
      <c r="B10" s="6"/>
      <c r="C10" s="7" t="s">
        <v>46</v>
      </c>
      <c r="D10" s="8" t="s">
        <v>47</v>
      </c>
      <c r="E10" s="9" t="s">
        <v>14</v>
      </c>
      <c r="F10" s="8" t="s">
        <v>48</v>
      </c>
      <c r="G10" s="9" t="s">
        <v>24</v>
      </c>
      <c r="H10" s="8" t="s">
        <v>49</v>
      </c>
      <c r="I10" s="8" t="s">
        <v>50</v>
      </c>
      <c r="J10" s="11" t="s">
        <v>45</v>
      </c>
    </row>
    <row r="11" customFormat="false" ht="15" hidden="false" customHeight="false" outlineLevel="0" collapsed="false">
      <c r="A11" s="5" t="n">
        <v>7</v>
      </c>
      <c r="B11" s="6"/>
      <c r="C11" s="17" t="s">
        <v>51</v>
      </c>
      <c r="D11" s="18" t="s">
        <v>52</v>
      </c>
      <c r="E11" s="19" t="s">
        <v>14</v>
      </c>
      <c r="F11" s="18" t="s">
        <v>53</v>
      </c>
      <c r="G11" s="19" t="s">
        <v>54</v>
      </c>
      <c r="H11" s="20" t="s">
        <v>55</v>
      </c>
      <c r="I11" s="20" t="s">
        <v>56</v>
      </c>
      <c r="J11" s="11" t="s">
        <v>45</v>
      </c>
    </row>
    <row r="12" customFormat="false" ht="29.85" hidden="false" customHeight="true" outlineLevel="0" collapsed="false">
      <c r="A12" s="5" t="n">
        <v>8</v>
      </c>
      <c r="B12" s="6" t="s">
        <v>57</v>
      </c>
      <c r="C12" s="7" t="s">
        <v>58</v>
      </c>
      <c r="D12" s="8" t="s">
        <v>59</v>
      </c>
      <c r="E12" s="9" t="s">
        <v>60</v>
      </c>
      <c r="F12" s="8" t="s">
        <v>61</v>
      </c>
      <c r="G12" s="9" t="s">
        <v>16</v>
      </c>
      <c r="H12" s="8" t="s">
        <v>62</v>
      </c>
      <c r="I12" s="10" t="s">
        <v>63</v>
      </c>
      <c r="J12" s="11" t="s">
        <v>64</v>
      </c>
    </row>
    <row r="13" customFormat="false" ht="15" hidden="false" customHeight="false" outlineLevel="0" collapsed="false">
      <c r="A13" s="5" t="n">
        <v>9</v>
      </c>
      <c r="B13" s="6"/>
      <c r="C13" s="7" t="s">
        <v>65</v>
      </c>
      <c r="D13" s="8" t="s">
        <v>66</v>
      </c>
      <c r="E13" s="9" t="s">
        <v>67</v>
      </c>
      <c r="F13" s="8" t="s">
        <v>68</v>
      </c>
      <c r="G13" s="9" t="s">
        <v>24</v>
      </c>
      <c r="H13" s="8" t="s">
        <v>69</v>
      </c>
      <c r="I13" s="8" t="s">
        <v>70</v>
      </c>
      <c r="J13" s="11" t="s">
        <v>64</v>
      </c>
    </row>
    <row r="14" customFormat="false" ht="15" hidden="false" customHeight="false" outlineLevel="0" collapsed="false">
      <c r="A14" s="5" t="n">
        <v>10</v>
      </c>
      <c r="B14" s="6"/>
      <c r="C14" s="21" t="s">
        <v>71</v>
      </c>
      <c r="D14" s="13" t="s">
        <v>72</v>
      </c>
      <c r="E14" s="14" t="s">
        <v>60</v>
      </c>
      <c r="F14" s="13" t="s">
        <v>73</v>
      </c>
      <c r="G14" s="15" t="s">
        <v>36</v>
      </c>
      <c r="H14" s="13" t="s">
        <v>74</v>
      </c>
      <c r="I14" s="13" t="s">
        <v>75</v>
      </c>
      <c r="J14" s="11" t="s">
        <v>64</v>
      </c>
    </row>
    <row r="15" customFormat="false" ht="29.85" hidden="false" customHeight="true" outlineLevel="0" collapsed="false">
      <c r="A15" s="5" t="n">
        <v>11</v>
      </c>
      <c r="B15" s="6" t="s">
        <v>76</v>
      </c>
      <c r="C15" s="7" t="s">
        <v>77</v>
      </c>
      <c r="D15" s="8" t="s">
        <v>78</v>
      </c>
      <c r="E15" s="9" t="s">
        <v>60</v>
      </c>
      <c r="F15" s="8" t="s">
        <v>79</v>
      </c>
      <c r="G15" s="9" t="s">
        <v>16</v>
      </c>
      <c r="H15" s="8" t="s">
        <v>80</v>
      </c>
      <c r="I15" s="8" t="s">
        <v>81</v>
      </c>
      <c r="J15" s="11" t="s">
        <v>82</v>
      </c>
    </row>
    <row r="16" customFormat="false" ht="15" hidden="false" customHeight="false" outlineLevel="0" collapsed="false">
      <c r="A16" s="5" t="n">
        <v>12</v>
      </c>
      <c r="B16" s="6"/>
      <c r="C16" s="7" t="s">
        <v>83</v>
      </c>
      <c r="D16" s="8" t="s">
        <v>84</v>
      </c>
      <c r="E16" s="9" t="s">
        <v>85</v>
      </c>
      <c r="F16" s="8" t="s">
        <v>86</v>
      </c>
      <c r="G16" s="9" t="s">
        <v>24</v>
      </c>
      <c r="H16" s="8" t="s">
        <v>87</v>
      </c>
      <c r="I16" s="8" t="s">
        <v>88</v>
      </c>
      <c r="J16" s="11" t="s">
        <v>82</v>
      </c>
    </row>
    <row r="17" customFormat="false" ht="15" hidden="false" customHeight="false" outlineLevel="0" collapsed="false">
      <c r="A17" s="5" t="n">
        <v>13</v>
      </c>
      <c r="B17" s="6"/>
      <c r="C17" s="17" t="s">
        <v>89</v>
      </c>
      <c r="D17" s="20" t="s">
        <v>90</v>
      </c>
      <c r="E17" s="19" t="s">
        <v>91</v>
      </c>
      <c r="F17" s="20" t="s">
        <v>92</v>
      </c>
      <c r="G17" s="19" t="s">
        <v>54</v>
      </c>
      <c r="H17" s="20" t="s">
        <v>93</v>
      </c>
      <c r="I17" s="18" t="s">
        <v>94</v>
      </c>
      <c r="J17" s="11" t="s">
        <v>82</v>
      </c>
    </row>
    <row r="18" customFormat="false" ht="29.85" hidden="false" customHeight="true" outlineLevel="0" collapsed="false">
      <c r="A18" s="5" t="n">
        <v>14</v>
      </c>
      <c r="B18" s="6" t="s">
        <v>95</v>
      </c>
      <c r="C18" s="7" t="s">
        <v>96</v>
      </c>
      <c r="D18" s="8" t="s">
        <v>97</v>
      </c>
      <c r="E18" s="9" t="s">
        <v>29</v>
      </c>
      <c r="F18" s="8" t="s">
        <v>98</v>
      </c>
      <c r="G18" s="9" t="s">
        <v>16</v>
      </c>
      <c r="H18" s="8" t="s">
        <v>99</v>
      </c>
      <c r="I18" s="8" t="s">
        <v>100</v>
      </c>
      <c r="J18" s="11" t="s">
        <v>101</v>
      </c>
    </row>
    <row r="19" customFormat="false" ht="29.85" hidden="false" customHeight="false" outlineLevel="0" collapsed="false">
      <c r="A19" s="5" t="n">
        <v>15</v>
      </c>
      <c r="B19" s="6"/>
      <c r="C19" s="7" t="s">
        <v>102</v>
      </c>
      <c r="D19" s="8" t="s">
        <v>103</v>
      </c>
      <c r="E19" s="9" t="s">
        <v>29</v>
      </c>
      <c r="F19" s="8" t="s">
        <v>104</v>
      </c>
      <c r="G19" s="9" t="s">
        <v>16</v>
      </c>
      <c r="H19" s="8" t="s">
        <v>105</v>
      </c>
      <c r="I19" s="10"/>
      <c r="J19" s="11" t="s">
        <v>101</v>
      </c>
    </row>
    <row r="20" customFormat="false" ht="15" hidden="false" customHeight="false" outlineLevel="0" collapsed="false">
      <c r="A20" s="5" t="n">
        <v>16</v>
      </c>
      <c r="B20" s="6"/>
      <c r="C20" s="12" t="s">
        <v>106</v>
      </c>
      <c r="D20" s="13" t="s">
        <v>107</v>
      </c>
      <c r="E20" s="14" t="s">
        <v>29</v>
      </c>
      <c r="F20" s="22" t="s">
        <v>108</v>
      </c>
      <c r="G20" s="15" t="s">
        <v>36</v>
      </c>
      <c r="H20" s="13" t="s">
        <v>109</v>
      </c>
      <c r="I20" s="13" t="s">
        <v>75</v>
      </c>
      <c r="J20" s="11" t="s">
        <v>101</v>
      </c>
    </row>
    <row r="21" customFormat="false" ht="29.85" hidden="false" customHeight="true" outlineLevel="0" collapsed="false">
      <c r="A21" s="5" t="n">
        <v>17</v>
      </c>
      <c r="B21" s="6" t="s">
        <v>110</v>
      </c>
      <c r="C21" s="7" t="s">
        <v>111</v>
      </c>
      <c r="D21" s="8" t="s">
        <v>112</v>
      </c>
      <c r="E21" s="9" t="s">
        <v>60</v>
      </c>
      <c r="F21" s="8" t="s">
        <v>113</v>
      </c>
      <c r="G21" s="9" t="s">
        <v>16</v>
      </c>
      <c r="H21" s="8" t="s">
        <v>114</v>
      </c>
      <c r="I21" s="10" t="s">
        <v>115</v>
      </c>
      <c r="J21" s="11" t="s">
        <v>110</v>
      </c>
    </row>
    <row r="22" customFormat="false" ht="15" hidden="false" customHeight="false" outlineLevel="0" collapsed="false">
      <c r="A22" s="5" t="n">
        <v>18</v>
      </c>
      <c r="B22" s="6"/>
      <c r="C22" s="12" t="s">
        <v>116</v>
      </c>
      <c r="D22" s="13" t="s">
        <v>117</v>
      </c>
      <c r="E22" s="14" t="s">
        <v>14</v>
      </c>
      <c r="F22" s="13" t="s">
        <v>30</v>
      </c>
      <c r="G22" s="15" t="s">
        <v>36</v>
      </c>
      <c r="H22" s="13" t="s">
        <v>118</v>
      </c>
      <c r="I22" s="13" t="s">
        <v>119</v>
      </c>
      <c r="J22" s="11" t="s">
        <v>110</v>
      </c>
    </row>
    <row r="23" customFormat="false" ht="29.85" hidden="false" customHeight="true" outlineLevel="0" collapsed="false">
      <c r="A23" s="5" t="n">
        <v>19</v>
      </c>
      <c r="B23" s="6" t="s">
        <v>120</v>
      </c>
      <c r="C23" s="16" t="s">
        <v>121</v>
      </c>
      <c r="D23" s="10" t="s">
        <v>122</v>
      </c>
      <c r="E23" s="9" t="s">
        <v>123</v>
      </c>
      <c r="F23" s="8" t="s">
        <v>124</v>
      </c>
      <c r="G23" s="9" t="s">
        <v>16</v>
      </c>
      <c r="H23" s="8" t="s">
        <v>125</v>
      </c>
      <c r="I23" s="8" t="s">
        <v>126</v>
      </c>
      <c r="J23" s="11" t="s">
        <v>127</v>
      </c>
    </row>
    <row r="24" customFormat="false" ht="15" hidden="false" customHeight="false" outlineLevel="0" collapsed="false">
      <c r="A24" s="5" t="n">
        <v>20</v>
      </c>
      <c r="B24" s="6"/>
      <c r="C24" s="21" t="s">
        <v>128</v>
      </c>
      <c r="D24" s="22" t="s">
        <v>129</v>
      </c>
      <c r="E24" s="14" t="s">
        <v>29</v>
      </c>
      <c r="F24" s="13" t="s">
        <v>130</v>
      </c>
      <c r="G24" s="15" t="s">
        <v>36</v>
      </c>
      <c r="H24" s="13" t="s">
        <v>131</v>
      </c>
      <c r="I24" s="13" t="s">
        <v>132</v>
      </c>
      <c r="J24" s="11" t="s">
        <v>127</v>
      </c>
    </row>
    <row r="25" customFormat="false" ht="15" hidden="false" customHeight="false" outlineLevel="0" collapsed="false">
      <c r="A25" s="5" t="n">
        <v>21</v>
      </c>
      <c r="B25" s="6"/>
      <c r="C25" s="7" t="s">
        <v>133</v>
      </c>
      <c r="D25" s="8" t="s">
        <v>134</v>
      </c>
      <c r="E25" s="9" t="s">
        <v>135</v>
      </c>
      <c r="F25" s="8" t="s">
        <v>136</v>
      </c>
      <c r="G25" s="9" t="s">
        <v>24</v>
      </c>
      <c r="H25" s="8" t="s">
        <v>125</v>
      </c>
      <c r="I25" s="8" t="s">
        <v>137</v>
      </c>
      <c r="J25" s="11" t="s">
        <v>127</v>
      </c>
    </row>
    <row r="26" customFormat="false" ht="29.85" hidden="false" customHeight="true" outlineLevel="0" collapsed="false">
      <c r="A26" s="5" t="n">
        <v>22</v>
      </c>
      <c r="B26" s="6" t="s">
        <v>138</v>
      </c>
      <c r="C26" s="7" t="s">
        <v>139</v>
      </c>
      <c r="D26" s="8" t="s">
        <v>140</v>
      </c>
      <c r="E26" s="9" t="s">
        <v>60</v>
      </c>
      <c r="F26" s="8" t="s">
        <v>141</v>
      </c>
      <c r="G26" s="9" t="s">
        <v>16</v>
      </c>
      <c r="H26" s="8" t="s">
        <v>142</v>
      </c>
      <c r="I26" s="8" t="s">
        <v>143</v>
      </c>
      <c r="J26" s="11" t="s">
        <v>144</v>
      </c>
    </row>
    <row r="27" customFormat="false" ht="29.85" hidden="false" customHeight="false" outlineLevel="0" collapsed="false">
      <c r="A27" s="5" t="n">
        <v>23</v>
      </c>
      <c r="B27" s="6"/>
      <c r="C27" s="7" t="s">
        <v>145</v>
      </c>
      <c r="D27" s="8" t="s">
        <v>146</v>
      </c>
      <c r="E27" s="9" t="s">
        <v>22</v>
      </c>
      <c r="F27" s="10" t="s">
        <v>147</v>
      </c>
      <c r="G27" s="9" t="s">
        <v>16</v>
      </c>
      <c r="H27" s="8" t="s">
        <v>148</v>
      </c>
      <c r="I27" s="8" t="s">
        <v>149</v>
      </c>
      <c r="J27" s="11" t="s">
        <v>144</v>
      </c>
    </row>
    <row r="28" customFormat="false" ht="15" hidden="false" customHeight="false" outlineLevel="0" collapsed="false">
      <c r="A28" s="5" t="n">
        <v>24</v>
      </c>
      <c r="B28" s="6"/>
      <c r="C28" s="17" t="s">
        <v>150</v>
      </c>
      <c r="D28" s="20" t="s">
        <v>151</v>
      </c>
      <c r="E28" s="19" t="s">
        <v>60</v>
      </c>
      <c r="F28" s="20" t="s">
        <v>152</v>
      </c>
      <c r="G28" s="19" t="s">
        <v>54</v>
      </c>
      <c r="H28" s="20" t="s">
        <v>153</v>
      </c>
      <c r="I28" s="20" t="s">
        <v>154</v>
      </c>
      <c r="J28" s="11" t="s">
        <v>144</v>
      </c>
    </row>
    <row r="29" customFormat="false" ht="29.85" hidden="false" customHeight="false" outlineLevel="0" collapsed="false">
      <c r="A29" s="5" t="n">
        <v>25</v>
      </c>
      <c r="B29" s="6"/>
      <c r="C29" s="17" t="s">
        <v>155</v>
      </c>
      <c r="D29" s="20" t="s">
        <v>156</v>
      </c>
      <c r="E29" s="19" t="s">
        <v>157</v>
      </c>
      <c r="F29" s="18" t="s">
        <v>53</v>
      </c>
      <c r="G29" s="19" t="s">
        <v>54</v>
      </c>
      <c r="H29" s="20" t="s">
        <v>158</v>
      </c>
      <c r="I29" s="20" t="s">
        <v>159</v>
      </c>
      <c r="J29" s="11" t="s">
        <v>144</v>
      </c>
    </row>
    <row r="30" customFormat="false" ht="29.85" hidden="false" customHeight="true" outlineLevel="0" collapsed="false">
      <c r="A30" s="5" t="n">
        <v>26</v>
      </c>
      <c r="B30" s="6" t="s">
        <v>160</v>
      </c>
      <c r="C30" s="7" t="s">
        <v>161</v>
      </c>
      <c r="D30" s="10" t="s">
        <v>162</v>
      </c>
      <c r="E30" s="9" t="s">
        <v>22</v>
      </c>
      <c r="F30" s="8" t="s">
        <v>163</v>
      </c>
      <c r="G30" s="9" t="s">
        <v>16</v>
      </c>
      <c r="H30" s="8" t="s">
        <v>164</v>
      </c>
      <c r="I30" s="8" t="s">
        <v>165</v>
      </c>
      <c r="J30" s="11" t="s">
        <v>166</v>
      </c>
    </row>
    <row r="31" customFormat="false" ht="29.85" hidden="false" customHeight="false" outlineLevel="0" collapsed="false">
      <c r="A31" s="5" t="n">
        <v>27</v>
      </c>
      <c r="B31" s="6"/>
      <c r="C31" s="7" t="s">
        <v>167</v>
      </c>
      <c r="D31" s="8" t="s">
        <v>168</v>
      </c>
      <c r="E31" s="9" t="s">
        <v>29</v>
      </c>
      <c r="F31" s="8" t="s">
        <v>169</v>
      </c>
      <c r="G31" s="9" t="s">
        <v>16</v>
      </c>
      <c r="H31" s="8" t="s">
        <v>170</v>
      </c>
      <c r="I31" s="8" t="s">
        <v>171</v>
      </c>
      <c r="J31" s="11" t="s">
        <v>166</v>
      </c>
    </row>
    <row r="32" customFormat="false" ht="15" hidden="false" customHeight="false" outlineLevel="0" collapsed="false">
      <c r="A32" s="5" t="n">
        <v>28</v>
      </c>
      <c r="B32" s="6"/>
      <c r="C32" s="12" t="s">
        <v>172</v>
      </c>
      <c r="D32" s="13" t="s">
        <v>173</v>
      </c>
      <c r="E32" s="14" t="s">
        <v>29</v>
      </c>
      <c r="F32" s="22" t="s">
        <v>174</v>
      </c>
      <c r="G32" s="15" t="s">
        <v>36</v>
      </c>
      <c r="H32" s="13" t="s">
        <v>175</v>
      </c>
      <c r="I32" s="13" t="s">
        <v>176</v>
      </c>
      <c r="J32" s="11" t="s">
        <v>166</v>
      </c>
    </row>
    <row r="33" customFormat="false" ht="29.85" hidden="false" customHeight="false" outlineLevel="0" collapsed="false">
      <c r="A33" s="5" t="n">
        <v>29</v>
      </c>
      <c r="B33" s="6"/>
      <c r="C33" s="21" t="s">
        <v>177</v>
      </c>
      <c r="D33" s="13" t="s">
        <v>178</v>
      </c>
      <c r="E33" s="14" t="s">
        <v>29</v>
      </c>
      <c r="F33" s="22" t="s">
        <v>179</v>
      </c>
      <c r="G33" s="15" t="s">
        <v>36</v>
      </c>
      <c r="H33" s="22" t="s">
        <v>180</v>
      </c>
      <c r="I33" s="13" t="s">
        <v>181</v>
      </c>
      <c r="J33" s="11" t="s">
        <v>166</v>
      </c>
    </row>
    <row r="34" customFormat="false" ht="15" hidden="false" customHeight="false" outlineLevel="0" collapsed="false">
      <c r="A34" s="5" t="n">
        <v>30</v>
      </c>
      <c r="B34" s="6"/>
      <c r="C34" s="12" t="s">
        <v>182</v>
      </c>
      <c r="D34" s="13" t="s">
        <v>183</v>
      </c>
      <c r="E34" s="14" t="s">
        <v>14</v>
      </c>
      <c r="F34" s="13" t="s">
        <v>184</v>
      </c>
      <c r="G34" s="15" t="s">
        <v>36</v>
      </c>
      <c r="H34" s="13" t="s">
        <v>185</v>
      </c>
      <c r="I34" s="13" t="s">
        <v>186</v>
      </c>
      <c r="J34" s="11" t="s">
        <v>166</v>
      </c>
    </row>
    <row r="35" customFormat="false" ht="29.85" hidden="false" customHeight="true" outlineLevel="0" collapsed="false">
      <c r="A35" s="5" t="n">
        <v>31</v>
      </c>
      <c r="B35" s="6" t="s">
        <v>187</v>
      </c>
      <c r="C35" s="21" t="s">
        <v>188</v>
      </c>
      <c r="D35" s="22" t="s">
        <v>189</v>
      </c>
      <c r="E35" s="14" t="s">
        <v>14</v>
      </c>
      <c r="F35" s="13" t="s">
        <v>190</v>
      </c>
      <c r="G35" s="15" t="s">
        <v>36</v>
      </c>
      <c r="H35" s="13" t="s">
        <v>191</v>
      </c>
      <c r="I35" s="13" t="s">
        <v>192</v>
      </c>
      <c r="J35" s="11" t="s">
        <v>193</v>
      </c>
    </row>
    <row r="36" customFormat="false" ht="15" hidden="false" customHeight="false" outlineLevel="0" collapsed="false">
      <c r="A36" s="5" t="n">
        <v>32</v>
      </c>
      <c r="B36" s="6"/>
      <c r="C36" s="12" t="s">
        <v>194</v>
      </c>
      <c r="D36" s="13" t="s">
        <v>195</v>
      </c>
      <c r="E36" s="14" t="s">
        <v>14</v>
      </c>
      <c r="F36" s="13" t="s">
        <v>190</v>
      </c>
      <c r="G36" s="15" t="s">
        <v>36</v>
      </c>
      <c r="H36" s="13" t="s">
        <v>196</v>
      </c>
      <c r="I36" s="22" t="s">
        <v>197</v>
      </c>
      <c r="J36" s="11" t="s">
        <v>193</v>
      </c>
    </row>
    <row r="37" customFormat="false" ht="29.85" hidden="false" customHeight="false" outlineLevel="0" collapsed="false">
      <c r="A37" s="5" t="n">
        <v>33</v>
      </c>
      <c r="B37" s="6"/>
      <c r="C37" s="17" t="s">
        <v>198</v>
      </c>
      <c r="D37" s="20" t="s">
        <v>199</v>
      </c>
      <c r="E37" s="19" t="s">
        <v>135</v>
      </c>
      <c r="F37" s="20" t="s">
        <v>200</v>
      </c>
      <c r="G37" s="19" t="s">
        <v>54</v>
      </c>
      <c r="H37" s="20" t="s">
        <v>201</v>
      </c>
      <c r="I37" s="20" t="s">
        <v>202</v>
      </c>
      <c r="J37" s="11" t="s">
        <v>193</v>
      </c>
    </row>
    <row r="38" customFormat="false" ht="15" hidden="false" customHeight="false" outlineLevel="0" collapsed="false">
      <c r="A38" s="5" t="n">
        <v>34</v>
      </c>
      <c r="B38" s="6"/>
      <c r="C38" s="17" t="s">
        <v>203</v>
      </c>
      <c r="D38" s="20" t="s">
        <v>204</v>
      </c>
      <c r="E38" s="19" t="s">
        <v>135</v>
      </c>
      <c r="F38" s="20" t="s">
        <v>205</v>
      </c>
      <c r="G38" s="19" t="s">
        <v>54</v>
      </c>
      <c r="H38" s="20" t="s">
        <v>206</v>
      </c>
      <c r="I38" s="20" t="s">
        <v>207</v>
      </c>
      <c r="J38" s="11" t="s">
        <v>193</v>
      </c>
    </row>
    <row r="40" customFormat="false" ht="15" hidden="false" customHeight="false" outlineLevel="0" collapsed="false">
      <c r="A40" s="23" t="s">
        <v>208</v>
      </c>
    </row>
  </sheetData>
  <mergeCells count="10">
    <mergeCell ref="B5:B8"/>
    <mergeCell ref="B9:B11"/>
    <mergeCell ref="B12:B14"/>
    <mergeCell ref="B15:B17"/>
    <mergeCell ref="B18:B20"/>
    <mergeCell ref="B21:B22"/>
    <mergeCell ref="B23:B25"/>
    <mergeCell ref="B26:B29"/>
    <mergeCell ref="B30:B34"/>
    <mergeCell ref="B35:B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24" t="s">
        <v>209</v>
      </c>
    </row>
    <row r="3" customFormat="false" ht="17.15" hidden="false" customHeight="false" outlineLevel="0" collapsed="false">
      <c r="A3" s="25" t="s">
        <v>3</v>
      </c>
      <c r="B3" s="25" t="s">
        <v>210</v>
      </c>
      <c r="C3" s="25" t="s">
        <v>211</v>
      </c>
      <c r="D3" s="26" t="s">
        <v>212</v>
      </c>
      <c r="E3" s="25" t="s">
        <v>54</v>
      </c>
    </row>
    <row r="4" customFormat="false" ht="15" hidden="false" customHeight="false" outlineLevel="0" collapsed="false">
      <c r="A4" s="27" t="s">
        <v>213</v>
      </c>
      <c r="B4" s="27" t="n">
        <f aca="false">COUNTIF(데이터카테고리_마스터!$J$5:$J$38,A4)</f>
        <v>4</v>
      </c>
      <c r="C4" s="27" t="n">
        <f aca="false">SUMPRODUCT(--(데이터카테고리_마스터!$J$5:$J$38=A4),--ISNUMBER(SEARCH("기존",데이터카테고리_마스터!$G$5:$G$38)))</f>
        <v>3</v>
      </c>
      <c r="D4" s="27" t="n">
        <f aca="false">SUMPRODUCT(--(데이터카테고리_마스터!$J$5:$J$38=A4),--ISNUMBER(SEARCH("SKKU",데이터카테고리_마스터!$G$5:$G$38)))</f>
        <v>3</v>
      </c>
      <c r="E4" s="27" t="n">
        <f aca="false">SUMPRODUCT(--(데이터카테고리_마스터!$J$5:$J$38=A4),--ISNUMBER(SEARCH("추가",데이터카테고리_마스터!$G$5:$G$38)))</f>
        <v>0</v>
      </c>
    </row>
    <row r="5" customFormat="false" ht="15" hidden="false" customHeight="false" outlineLevel="0" collapsed="false">
      <c r="A5" s="27" t="s">
        <v>214</v>
      </c>
      <c r="B5" s="27" t="n">
        <f aca="false">COUNTIF(데이터카테고리_마스터!$J$5:$J$38,A5)</f>
        <v>3</v>
      </c>
      <c r="C5" s="27" t="n">
        <f aca="false">SUMPRODUCT(--(데이터카테고리_마스터!$J$5:$J$38=A5),--ISNUMBER(SEARCH("기존",데이터카테고리_마스터!$G$5:$G$38)))</f>
        <v>2</v>
      </c>
      <c r="D5" s="27" t="n">
        <f aca="false">SUMPRODUCT(--(데이터카테고리_마스터!$J$5:$J$38=A5),--ISNUMBER(SEARCH("SKKU",데이터카테고리_마스터!$G$5:$G$38)))</f>
        <v>0</v>
      </c>
      <c r="E5" s="27" t="n">
        <f aca="false">SUMPRODUCT(--(데이터카테고리_마스터!$J$5:$J$38=A5),--ISNUMBER(SEARCH("추가",데이터카테고리_마스터!$G$5:$G$38)))</f>
        <v>1</v>
      </c>
    </row>
    <row r="6" customFormat="false" ht="15" hidden="false" customHeight="false" outlineLevel="0" collapsed="false">
      <c r="A6" s="27" t="s">
        <v>215</v>
      </c>
      <c r="B6" s="27" t="n">
        <f aca="false">COUNTIF(데이터카테고리_마스터!$J$5:$J$38,A6)</f>
        <v>3</v>
      </c>
      <c r="C6" s="27" t="n">
        <f aca="false">SUMPRODUCT(--(데이터카테고리_마스터!$J$5:$J$38=A6),--ISNUMBER(SEARCH("기존",데이터카테고리_마스터!$G$5:$G$38)))</f>
        <v>2</v>
      </c>
      <c r="D6" s="27" t="n">
        <f aca="false">SUMPRODUCT(--(데이터카테고리_마스터!$J$5:$J$38=A6),--ISNUMBER(SEARCH("SKKU",데이터카테고리_마스터!$G$5:$G$38)))</f>
        <v>2</v>
      </c>
      <c r="E6" s="27" t="n">
        <f aca="false">SUMPRODUCT(--(데이터카테고리_마스터!$J$5:$J$38=A6),--ISNUMBER(SEARCH("추가",데이터카테고리_마스터!$G$5:$G$38)))</f>
        <v>0</v>
      </c>
    </row>
    <row r="7" customFormat="false" ht="15" hidden="false" customHeight="false" outlineLevel="0" collapsed="false">
      <c r="A7" s="27" t="s">
        <v>216</v>
      </c>
      <c r="B7" s="27" t="n">
        <f aca="false">COUNTIF(데이터카테고리_마스터!$J$5:$J$38,A7)</f>
        <v>3</v>
      </c>
      <c r="C7" s="27" t="n">
        <f aca="false">SUMPRODUCT(--(데이터카테고리_마스터!$J$5:$J$38=A7),--ISNUMBER(SEARCH("기존",데이터카테고리_마스터!$G$5:$G$38)))</f>
        <v>2</v>
      </c>
      <c r="D7" s="27" t="n">
        <f aca="false">SUMPRODUCT(--(데이터카테고리_마스터!$J$5:$J$38=A7),--ISNUMBER(SEARCH("SKKU",데이터카테고리_마스터!$G$5:$G$38)))</f>
        <v>1</v>
      </c>
      <c r="E7" s="27" t="n">
        <f aca="false">SUMPRODUCT(--(데이터카테고리_마스터!$J$5:$J$38=A7),--ISNUMBER(SEARCH("추가",데이터카테고리_마스터!$G$5:$G$38)))</f>
        <v>1</v>
      </c>
    </row>
    <row r="8" customFormat="false" ht="15" hidden="false" customHeight="false" outlineLevel="0" collapsed="false">
      <c r="A8" s="27" t="s">
        <v>217</v>
      </c>
      <c r="B8" s="27" t="n">
        <f aca="false">COUNTIF(데이터카테고리_마스터!$J$5:$J$38,A8)</f>
        <v>3</v>
      </c>
      <c r="C8" s="27" t="n">
        <f aca="false">SUMPRODUCT(--(데이터카테고리_마스터!$J$5:$J$38=A8),--ISNUMBER(SEARCH("기존",데이터카테고리_마스터!$G$5:$G$38)))</f>
        <v>2</v>
      </c>
      <c r="D8" s="27" t="n">
        <f aca="false">SUMPRODUCT(--(데이터카테고리_마스터!$J$5:$J$38=A8),--ISNUMBER(SEARCH("SKKU",데이터카테고리_마스터!$G$5:$G$38)))</f>
        <v>3</v>
      </c>
      <c r="E8" s="27" t="n">
        <f aca="false">SUMPRODUCT(--(데이터카테고리_마스터!$J$5:$J$38=A8),--ISNUMBER(SEARCH("추가",데이터카테고리_마스터!$G$5:$G$38)))</f>
        <v>0</v>
      </c>
    </row>
    <row r="9" customFormat="false" ht="15" hidden="false" customHeight="false" outlineLevel="0" collapsed="false">
      <c r="A9" s="27" t="s">
        <v>110</v>
      </c>
      <c r="B9" s="27" t="n">
        <f aca="false">COUNTIF(데이터카테고리_마스터!$J$5:$J$38,A9)</f>
        <v>2</v>
      </c>
      <c r="C9" s="27" t="n">
        <f aca="false">SUMPRODUCT(--(데이터카테고리_마스터!$J$5:$J$38=A9),--ISNUMBER(SEARCH("기존",데이터카테고리_마스터!$G$5:$G$38)))</f>
        <v>1</v>
      </c>
      <c r="D9" s="27" t="n">
        <f aca="false">SUMPRODUCT(--(데이터카테고리_마스터!$J$5:$J$38=A9),--ISNUMBER(SEARCH("SKKU",데이터카테고리_마스터!$G$5:$G$38)))</f>
        <v>2</v>
      </c>
      <c r="E9" s="27" t="n">
        <f aca="false">SUMPRODUCT(--(데이터카테고리_마스터!$J$5:$J$38=A9),--ISNUMBER(SEARCH("추가",데이터카테고리_마스터!$G$5:$G$38)))</f>
        <v>0</v>
      </c>
    </row>
    <row r="10" customFormat="false" ht="15" hidden="false" customHeight="false" outlineLevel="0" collapsed="false">
      <c r="A10" s="27" t="s">
        <v>218</v>
      </c>
      <c r="B10" s="27" t="n">
        <f aca="false">COUNTIF(데이터카테고리_마스터!$J$5:$J$38,A10)</f>
        <v>3</v>
      </c>
      <c r="C10" s="27" t="n">
        <f aca="false">SUMPRODUCT(--(데이터카테고리_마스터!$J$5:$J$38=A10),--ISNUMBER(SEARCH("기존",데이터카테고리_마스터!$G$5:$G$38)))</f>
        <v>2</v>
      </c>
      <c r="D10" s="27" t="n">
        <f aca="false">SUMPRODUCT(--(데이터카테고리_마스터!$J$5:$J$38=A10),--ISNUMBER(SEARCH("SKKU",데이터카테고리_마스터!$G$5:$G$38)))</f>
        <v>2</v>
      </c>
      <c r="E10" s="27" t="n">
        <f aca="false">SUMPRODUCT(--(데이터카테고리_마스터!$J$5:$J$38=A10),--ISNUMBER(SEARCH("추가",데이터카테고리_마스터!$G$5:$G$38)))</f>
        <v>0</v>
      </c>
    </row>
    <row r="11" customFormat="false" ht="15" hidden="false" customHeight="false" outlineLevel="0" collapsed="false">
      <c r="A11" s="27" t="s">
        <v>219</v>
      </c>
      <c r="B11" s="27" t="n">
        <f aca="false">COUNTIF(데이터카테고리_마스터!$J$5:$J$38,A11)</f>
        <v>4</v>
      </c>
      <c r="C11" s="27" t="n">
        <f aca="false">SUMPRODUCT(--(데이터카테고리_마스터!$J$5:$J$38=A11),--ISNUMBER(SEARCH("기존",데이터카테고리_마스터!$G$5:$G$38)))</f>
        <v>2</v>
      </c>
      <c r="D11" s="27" t="n">
        <f aca="false">SUMPRODUCT(--(데이터카테고리_마스터!$J$5:$J$38=A11),--ISNUMBER(SEARCH("SKKU",데이터카테고리_마스터!$G$5:$G$38)))</f>
        <v>2</v>
      </c>
      <c r="E11" s="27" t="n">
        <f aca="false">SUMPRODUCT(--(데이터카테고리_마스터!$J$5:$J$38=A11),--ISNUMBER(SEARCH("추가",데이터카테고리_마스터!$G$5:$G$38)))</f>
        <v>2</v>
      </c>
    </row>
    <row r="12" customFormat="false" ht="15" hidden="false" customHeight="false" outlineLevel="0" collapsed="false">
      <c r="A12" s="27" t="s">
        <v>220</v>
      </c>
      <c r="B12" s="27" t="n">
        <f aca="false">COUNTIF(데이터카테고리_마스터!$J$5:$J$38,A12)</f>
        <v>5</v>
      </c>
      <c r="C12" s="27" t="n">
        <f aca="false">SUMPRODUCT(--(데이터카테고리_마스터!$J$5:$J$38=A12),--ISNUMBER(SEARCH("기존",데이터카테고리_마스터!$G$5:$G$38)))</f>
        <v>2</v>
      </c>
      <c r="D12" s="27" t="n">
        <f aca="false">SUMPRODUCT(--(데이터카테고리_마스터!$J$5:$J$38=A12),--ISNUMBER(SEARCH("SKKU",데이터카테고리_마스터!$G$5:$G$38)))</f>
        <v>5</v>
      </c>
      <c r="E12" s="27" t="n">
        <f aca="false">SUMPRODUCT(--(데이터카테고리_마스터!$J$5:$J$38=A12),--ISNUMBER(SEARCH("추가",데이터카테고리_마스터!$G$5:$G$38)))</f>
        <v>0</v>
      </c>
    </row>
    <row r="13" customFormat="false" ht="15" hidden="false" customHeight="false" outlineLevel="0" collapsed="false">
      <c r="A13" s="27" t="s">
        <v>221</v>
      </c>
      <c r="B13" s="27" t="n">
        <f aca="false">COUNTIF(데이터카테고리_마스터!$J$5:$J$38,A13)</f>
        <v>4</v>
      </c>
      <c r="C13" s="27" t="n">
        <f aca="false">SUMPRODUCT(--(데이터카테고리_마스터!$J$5:$J$38=A13),--ISNUMBER(SEARCH("기존",데이터카테고리_마스터!$G$5:$G$38)))</f>
        <v>0</v>
      </c>
      <c r="D13" s="27" t="n">
        <f aca="false">SUMPRODUCT(--(데이터카테고리_마스터!$J$5:$J$38=A13),--ISNUMBER(SEARCH("SKKU",데이터카테고리_마스터!$G$5:$G$38)))</f>
        <v>2</v>
      </c>
      <c r="E13" s="27" t="n">
        <f aca="false">SUMPRODUCT(--(데이터카테고리_마스터!$J$5:$J$38=A13),--ISNUMBER(SEARCH("추가",데이터카테고리_마스터!$G$5:$G$38)))</f>
        <v>2</v>
      </c>
    </row>
    <row r="14" customFormat="false" ht="15" hidden="false" customHeight="false" outlineLevel="0" collapsed="false">
      <c r="A14" s="28" t="s">
        <v>222</v>
      </c>
      <c r="B14" s="28" t="n">
        <f aca="false">SUM(B4:B13)</f>
        <v>34</v>
      </c>
      <c r="C14" s="28" t="n">
        <f aca="false">SUM(C4:C13)</f>
        <v>18</v>
      </c>
      <c r="D14" s="28" t="n">
        <f aca="false">SUM(D4:D13)</f>
        <v>22</v>
      </c>
      <c r="E14" s="28" t="n">
        <f aca="false">SUM(E4:E13)</f>
        <v>6</v>
      </c>
    </row>
    <row r="16" customFormat="false" ht="15" hidden="false" customHeight="false" outlineLevel="0" collapsed="false">
      <c r="A16" s="2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2026-10-01T05:17:56Z</dcterms:created>
  <dc:creator>openpyxl</dc:creator>
  <dc:description/>
  <dc:language>en-US</dc:language>
  <cp:lastModifiedBy/>
  <dcterms:modified xsi:type="dcterms:W3CDTF">2026-10-01T05:17:56Z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