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작성안내" sheetId="1" r:id="rId5"/>
    <sheet state="visible" name="01_학생목록" sheetId="2" r:id="rId6"/>
    <sheet state="visible" name="02_수집현황" sheetId="3" r:id="rId7"/>
    <sheet state="visible" name="10_빈양식" sheetId="4" r:id="rId8"/>
    <sheet state="visible" name="11_작성예시" sheetId="5" r:id="rId9"/>
    <sheet state="visible" name="S01_김민준" sheetId="6" r:id="rId10"/>
    <sheet state="visible" name="S02_이서연" sheetId="7" r:id="rId11"/>
    <sheet state="visible" name="S03_박지호" sheetId="8" r:id="rId12"/>
    <sheet state="visible" name="S04_최유진" sheetId="9" r:id="rId13"/>
    <sheet state="visible" name="S05_정하늘" sheetId="10" r:id="rId14"/>
    <sheet state="visible" name="S06_한도윤" sheetId="11" r:id="rId15"/>
    <sheet state="visible" name="코드표" sheetId="12" r:id="rId16"/>
    <sheet state="visible" name="데이터카테고리_마스터" sheetId="13" r:id="rId17"/>
    <sheet state="visible" name="대분류_요약" sheetId="14" r:id="rId18"/>
  </sheets>
  <definedNames/>
  <calcPr/>
</workbook>
</file>

<file path=xl/sharedStrings.xml><?xml version="1.0" encoding="utf-8"?>
<sst xmlns="http://schemas.openxmlformats.org/spreadsheetml/2006/main" count="6444" uniqueCount="2689">
  <si>
    <t>학생 역량 데이터 수집 템플릿</t>
  </si>
  <si>
    <r>
      <rPr>
        <rFont val="Noto Sans CJK SC"/>
        <b/>
        <color rgb="FF2F4A8A"/>
        <sz val="14.0"/>
      </rPr>
      <t xml:space="preserve">학생 목록 — 학사 명부와 수집 시트 대조 </t>
    </r>
    <r>
      <rPr>
        <rFont val="맑은 고딕"/>
        <b/>
        <color rgb="FF2F4A8A"/>
        <sz val="14.0"/>
      </rPr>
      <t xml:space="preserve">· </t>
    </r>
    <r>
      <rPr>
        <rFont val="Noto Sans CJK SC"/>
        <b/>
        <color rgb="FF2F4A8A"/>
        <sz val="14.0"/>
      </rPr>
      <t>수집 현황 요약</t>
    </r>
  </si>
  <si>
    <r>
      <rPr>
        <rFont val="맑은 고딕"/>
        <color rgb="FF595959"/>
        <sz val="9.0"/>
      </rPr>
      <t>D~I</t>
    </r>
    <r>
      <rPr>
        <rFont val="Noto Sans CJK SC"/>
        <color rgb="FF595959"/>
        <sz val="9.0"/>
      </rPr>
      <t>열</t>
    </r>
    <r>
      <rPr>
        <rFont val="맑은 고딕"/>
        <color rgb="FF595959"/>
        <sz val="9.0"/>
      </rPr>
      <t>(</t>
    </r>
    <r>
      <rPr>
        <rFont val="Noto Sans CJK SC"/>
        <color rgb="FF595959"/>
        <sz val="9.0"/>
      </rPr>
      <t>학사 명부</t>
    </r>
    <r>
      <rPr>
        <rFont val="맑은 고딕"/>
        <color rgb="FF595959"/>
        <sz val="9.0"/>
      </rPr>
      <t>)</t>
    </r>
    <r>
      <rPr>
        <rFont val="Noto Sans CJK SC"/>
        <color rgb="FF595959"/>
        <sz val="9.0"/>
      </rPr>
      <t>은 학사시스템에서 받은 기준값이고</t>
    </r>
    <r>
      <rPr>
        <rFont val="맑은 고딕"/>
        <color rgb="FF595959"/>
        <sz val="9.0"/>
      </rPr>
      <t>, J~K</t>
    </r>
    <r>
      <rPr>
        <rFont val="Noto Sans CJK SC"/>
        <color rgb="FF595959"/>
        <sz val="9.0"/>
      </rPr>
      <t>열은 각 학생 시트에 입력된 값입니다</t>
    </r>
    <r>
      <rPr>
        <rFont val="맑은 고딕"/>
        <color rgb="FF595959"/>
        <sz val="9.0"/>
      </rPr>
      <t xml:space="preserve">. </t>
    </r>
    <r>
      <rPr>
        <rFont val="Noto Sans CJK SC"/>
        <color rgb="FF595959"/>
        <sz val="9.0"/>
      </rPr>
      <t xml:space="preserve">두 값이 다르면 </t>
    </r>
    <r>
      <rPr>
        <rFont val="맑은 고딕"/>
        <color rgb="FF595959"/>
        <sz val="9.0"/>
      </rPr>
      <t>L</t>
    </r>
    <r>
      <rPr>
        <rFont val="Noto Sans CJK SC"/>
        <color rgb="FF595959"/>
        <sz val="9.0"/>
      </rPr>
      <t>열에 ⚠가 뜨며</t>
    </r>
    <r>
      <rPr>
        <rFont val="맑은 고딕"/>
        <color rgb="FF595959"/>
        <sz val="9.0"/>
      </rPr>
      <t xml:space="preserve">, </t>
    </r>
    <r>
      <rPr>
        <rFont val="Noto Sans CJK SC"/>
        <color rgb="FF595959"/>
        <sz val="9.0"/>
      </rPr>
      <t xml:space="preserve">평가 시 </t>
    </r>
    <r>
      <rPr>
        <rFont val="맑은 고딕"/>
        <color rgb="FF595959"/>
        <sz val="9.0"/>
      </rPr>
      <t>'</t>
    </r>
    <r>
      <rPr>
        <rFont val="Noto Sans CJK SC"/>
        <color rgb="FF595959"/>
        <sz val="9.0"/>
      </rPr>
      <t>데이터 불일치 경고</t>
    </r>
    <r>
      <rPr>
        <rFont val="맑은 고딕"/>
        <color rgb="FF595959"/>
        <sz val="9.0"/>
      </rPr>
      <t>'</t>
    </r>
    <r>
      <rPr>
        <rFont val="Noto Sans CJK SC"/>
        <color rgb="FF595959"/>
        <sz val="9.0"/>
      </rPr>
      <t>로 처리합니다</t>
    </r>
    <r>
      <rPr>
        <rFont val="맑은 고딕"/>
        <color rgb="FF595959"/>
        <sz val="9.0"/>
      </rPr>
      <t>. M~S</t>
    </r>
    <r>
      <rPr>
        <rFont val="Noto Sans CJK SC"/>
        <color rgb="FF595959"/>
        <sz val="9.0"/>
      </rPr>
      <t xml:space="preserve">열은 </t>
    </r>
    <r>
      <rPr>
        <rFont val="맑은 고딕"/>
        <color rgb="FF595959"/>
        <sz val="9.0"/>
      </rPr>
      <t>02_</t>
    </r>
    <r>
      <rPr>
        <rFont val="Noto Sans CJK SC"/>
        <color rgb="FF595959"/>
        <sz val="9.0"/>
      </rPr>
      <t>수집현황에서 자동 집계됩니다</t>
    </r>
    <r>
      <rPr>
        <rFont val="맑은 고딕"/>
        <color rgb="FF595959"/>
        <sz val="9.0"/>
      </rPr>
      <t>.</t>
    </r>
  </si>
  <si>
    <r>
      <rPr>
        <rFont val="맑은 고딕"/>
        <color rgb="FFFFFFFF"/>
        <sz val="11.0"/>
      </rPr>
      <t xml:space="preserve">1. </t>
    </r>
    <r>
      <rPr>
        <rFont val="Noto Sans CJK SC"/>
        <color rgb="FFFFFFFF"/>
        <sz val="11.0"/>
      </rPr>
      <t>시트 구성</t>
    </r>
  </si>
  <si>
    <t>샘플 정보</t>
  </si>
  <si>
    <r>
      <rPr>
        <rFont val="Noto Sans CJK SC"/>
        <b/>
        <color rgb="FF2F4A8A"/>
        <sz val="14.0"/>
      </rPr>
      <t xml:space="preserve">수집현황 매트릭스 — 카테고리 </t>
    </r>
    <r>
      <rPr>
        <rFont val="맑은 고딕"/>
        <b/>
        <color rgb="FF2F4A8A"/>
        <sz val="14.0"/>
      </rPr>
      <t xml:space="preserve">× </t>
    </r>
    <r>
      <rPr>
        <rFont val="Noto Sans CJK SC"/>
        <b/>
        <color rgb="FF2F4A8A"/>
        <sz val="14.0"/>
      </rPr>
      <t xml:space="preserve">학생 데이터 상태 </t>
    </r>
    <r>
      <rPr>
        <rFont val="맑은 고딕"/>
        <b/>
        <color rgb="FF2F4A8A"/>
        <sz val="14.0"/>
      </rPr>
      <t>(</t>
    </r>
    <r>
      <rPr>
        <rFont val="Noto Sans CJK SC"/>
        <b/>
        <color rgb="FF2F4A8A"/>
        <sz val="14.0"/>
      </rPr>
      <t xml:space="preserve">각 시트 </t>
    </r>
    <r>
      <rPr>
        <rFont val="맑은 고딕"/>
        <b/>
        <color rgb="FF2F4A8A"/>
        <sz val="14.0"/>
      </rPr>
      <t>G</t>
    </r>
    <r>
      <rPr>
        <rFont val="Noto Sans CJK SC"/>
        <b/>
        <color rgb="FF2F4A8A"/>
        <sz val="14.0"/>
      </rPr>
      <t>열 상태를 자동 참조</t>
    </r>
    <r>
      <rPr>
        <rFont val="맑은 고딕"/>
        <b/>
        <color rgb="FF2F4A8A"/>
        <sz val="14.0"/>
      </rPr>
      <t>)</t>
    </r>
  </si>
  <si>
    <r>
      <rPr>
        <rFont val="맑은 고딕"/>
        <b/>
        <color rgb="FF000000"/>
        <sz val="10.0"/>
      </rPr>
      <t>00_</t>
    </r>
    <r>
      <rPr>
        <rFont val="Noto Sans CJK SC"/>
        <b/>
        <color rgb="FF000000"/>
        <sz val="10.0"/>
      </rPr>
      <t>작성안내</t>
    </r>
  </si>
  <si>
    <r>
      <rPr>
        <rFont val="Noto Sans CJK SC"/>
        <b/>
        <color rgb="FFFFFFFF"/>
        <sz val="10.0"/>
      </rPr>
      <t>학사 명부</t>
    </r>
    <r>
      <rPr>
        <rFont val="맑은 고딕"/>
        <b/>
        <color rgb="FFFFFFFF"/>
        <sz val="10.0"/>
      </rPr>
      <t>(</t>
    </r>
    <r>
      <rPr>
        <rFont val="Noto Sans CJK SC"/>
        <b/>
        <color rgb="FFFFFFFF"/>
        <sz val="10.0"/>
      </rPr>
      <t>기준값</t>
    </r>
    <r>
      <rPr>
        <rFont val="맑은 고딕"/>
        <b/>
        <color rgb="FFFFFFFF"/>
        <sz val="10.0"/>
      </rPr>
      <t>)</t>
    </r>
  </si>
  <si>
    <t>이 시트</t>
  </si>
  <si>
    <r>
      <rPr>
        <rFont val="Noto Sans CJK SC"/>
        <color rgb="FF595959"/>
        <sz val="9.0"/>
      </rPr>
      <t xml:space="preserve">미선택 </t>
    </r>
    <r>
      <rPr>
        <rFont val="맑은 고딕"/>
        <color rgb="FF595959"/>
        <sz val="9.0"/>
      </rPr>
      <t xml:space="preserve">= </t>
    </r>
    <r>
      <rPr>
        <rFont val="Noto Sans CJK SC"/>
        <color rgb="FF595959"/>
        <sz val="9.0"/>
      </rPr>
      <t>상태를 고르지 않은 칸</t>
    </r>
    <r>
      <rPr>
        <rFont val="맑은 고딕"/>
        <color rgb="FF595959"/>
        <sz val="9.0"/>
      </rPr>
      <t>(</t>
    </r>
    <r>
      <rPr>
        <rFont val="Noto Sans CJK SC"/>
        <color rgb="FF595959"/>
        <sz val="9.0"/>
      </rPr>
      <t>미수집으로 간주</t>
    </r>
    <r>
      <rPr>
        <rFont val="맑은 고딕"/>
        <color rgb="FF595959"/>
        <sz val="9.0"/>
      </rPr>
      <t xml:space="preserve">). </t>
    </r>
    <r>
      <rPr>
        <rFont val="Noto Sans CJK SC"/>
        <color rgb="FF595959"/>
        <sz val="9.0"/>
      </rPr>
      <t xml:space="preserve">아래 집계표는 </t>
    </r>
    <r>
      <rPr>
        <rFont val="맑은 고딕"/>
        <color rgb="FF595959"/>
        <sz val="9.0"/>
      </rPr>
      <t>01_</t>
    </r>
    <r>
      <rPr>
        <rFont val="Noto Sans CJK SC"/>
        <color rgb="FF595959"/>
        <sz val="9.0"/>
      </rPr>
      <t>학생목록에서 참조합니다</t>
    </r>
    <r>
      <rPr>
        <rFont val="맑은 고딕"/>
        <color rgb="FF595959"/>
        <sz val="9.0"/>
      </rPr>
      <t>.</t>
    </r>
  </si>
  <si>
    <t>시트 입력값 대조</t>
  </si>
  <si>
    <r>
      <rPr>
        <rFont val="맑은 고딕"/>
        <b/>
        <color rgb="FF000000"/>
        <sz val="10.0"/>
      </rPr>
      <t>01_</t>
    </r>
    <r>
      <rPr>
        <rFont val="Noto Sans CJK SC"/>
        <b/>
        <color rgb="FF000000"/>
        <sz val="10.0"/>
      </rPr>
      <t>학생목록</t>
    </r>
  </si>
  <si>
    <t>대분류</t>
  </si>
  <si>
    <r>
      <rPr>
        <rFont val="Noto Sans CJK SC"/>
        <color rgb="FF000000"/>
        <sz val="10.0"/>
      </rPr>
      <t>학사 명부</t>
    </r>
    <r>
      <rPr>
        <rFont val="맑은 고딕"/>
        <color rgb="FF000000"/>
        <sz val="10.0"/>
      </rPr>
      <t>(</t>
    </r>
    <r>
      <rPr>
        <rFont val="Noto Sans CJK SC"/>
        <color rgb="FF000000"/>
        <sz val="10.0"/>
      </rPr>
      <t>기준값</t>
    </r>
    <r>
      <rPr>
        <rFont val="맑은 고딕"/>
        <color rgb="FF000000"/>
        <sz val="10.0"/>
      </rPr>
      <t>)</t>
    </r>
    <r>
      <rPr>
        <rFont val="Noto Sans CJK SC"/>
        <color rgb="FF000000"/>
        <sz val="10.0"/>
      </rPr>
      <t>와 각 학생 시트를 대조하고 수집 완료율</t>
    </r>
    <r>
      <rPr>
        <rFont val="맑은 고딕"/>
        <color rgb="FF000000"/>
        <sz val="10.0"/>
      </rPr>
      <t xml:space="preserve">·⚠ </t>
    </r>
    <r>
      <rPr>
        <rFont val="Noto Sans CJK SC"/>
        <color rgb="FF000000"/>
        <sz val="10.0"/>
      </rPr>
      <t xml:space="preserve">건수를 보여줌 </t>
    </r>
    <r>
      <rPr>
        <rFont val="맑은 고딕"/>
        <color rgb="FF000000"/>
        <sz val="10.0"/>
      </rPr>
      <t>(</t>
    </r>
    <r>
      <rPr>
        <rFont val="Noto Sans CJK SC"/>
        <color rgb="FF000000"/>
        <sz val="10.0"/>
      </rPr>
      <t>새 학생을 추가하면 여기에 한 줄 추가</t>
    </r>
    <r>
      <rPr>
        <rFont val="맑은 고딕"/>
        <color rgb="FF000000"/>
        <sz val="10.0"/>
      </rPr>
      <t>)</t>
    </r>
  </si>
  <si>
    <r>
      <rPr>
        <rFont val="맑은 고딕"/>
        <b/>
        <color rgb="FF000000"/>
        <sz val="10.0"/>
      </rPr>
      <t>02_</t>
    </r>
    <r>
      <rPr>
        <rFont val="Noto Sans CJK SC"/>
        <b/>
        <color rgb="FF000000"/>
        <sz val="10.0"/>
      </rPr>
      <t>수집현황</t>
    </r>
  </si>
  <si>
    <r>
      <rPr>
        <rFont val="Noto Sans CJK SC"/>
        <b/>
        <color rgb="FFFFFFFF"/>
        <sz val="10.0"/>
      </rPr>
      <t>수집 현황</t>
    </r>
    <r>
      <rPr>
        <rFont val="맑은 고딕"/>
        <b/>
        <color rgb="FFFFFFFF"/>
        <sz val="10.0"/>
      </rPr>
      <t>(</t>
    </r>
    <r>
      <rPr>
        <rFont val="Noto Sans CJK SC"/>
        <b/>
        <color rgb="FFFFFFFF"/>
        <sz val="10.0"/>
      </rPr>
      <t>자동</t>
    </r>
    <r>
      <rPr>
        <rFont val="맑은 고딕"/>
        <b/>
        <color rgb="FFFFFFFF"/>
        <sz val="10.0"/>
      </rPr>
      <t>)</t>
    </r>
  </si>
  <si>
    <r>
      <rPr>
        <rFont val="Noto Sans CJK SC"/>
        <color rgb="FF000000"/>
        <sz val="10.0"/>
      </rPr>
      <t xml:space="preserve">카테고리 </t>
    </r>
    <r>
      <rPr>
        <rFont val="맑은 고딕"/>
        <color rgb="FF000000"/>
        <sz val="10.0"/>
      </rPr>
      <t>34</t>
    </r>
    <r>
      <rPr>
        <rFont val="Noto Sans CJK SC"/>
        <color rgb="FF000000"/>
        <sz val="10.0"/>
      </rPr>
      <t xml:space="preserve">개 </t>
    </r>
    <r>
      <rPr>
        <rFont val="맑은 고딕"/>
        <color rgb="FF000000"/>
        <sz val="10.0"/>
      </rPr>
      <t xml:space="preserve">× </t>
    </r>
    <r>
      <rPr>
        <rFont val="Noto Sans CJK SC"/>
        <color rgb="FF000000"/>
        <sz val="10.0"/>
      </rPr>
      <t xml:space="preserve">학생 데이터 상태 매트릭스 </t>
    </r>
    <r>
      <rPr>
        <rFont val="맑은 고딕"/>
        <color rgb="FF000000"/>
        <sz val="10.0"/>
      </rPr>
      <t>(</t>
    </r>
    <r>
      <rPr>
        <rFont val="Noto Sans CJK SC"/>
        <color rgb="FF000000"/>
        <sz val="10.0"/>
      </rPr>
      <t>자동 참조</t>
    </r>
    <r>
      <rPr>
        <rFont val="맑은 고딕"/>
        <color rgb="FF000000"/>
        <sz val="10.0"/>
      </rPr>
      <t xml:space="preserve">, </t>
    </r>
    <r>
      <rPr>
        <rFont val="Noto Sans CJK SC"/>
        <color rgb="FF000000"/>
        <sz val="10.0"/>
      </rPr>
      <t>색으로 누락 확인</t>
    </r>
    <r>
      <rPr>
        <rFont val="맑은 고딕"/>
        <color rgb="FF000000"/>
        <sz val="10.0"/>
      </rPr>
      <t>)</t>
    </r>
  </si>
  <si>
    <r>
      <rPr>
        <rFont val="맑은 고딕"/>
        <b/>
        <color rgb="FF000000"/>
        <sz val="10.0"/>
      </rPr>
      <t>10_</t>
    </r>
    <r>
      <rPr>
        <rFont val="Noto Sans CJK SC"/>
        <b/>
        <color rgb="FF000000"/>
        <sz val="10.0"/>
      </rPr>
      <t>빈양식</t>
    </r>
  </si>
  <si>
    <r>
      <rPr>
        <rFont val="Noto Sans CJK SC"/>
        <color rgb="FF000000"/>
        <sz val="10.0"/>
      </rPr>
      <t>실제 수집에 쓰는 빈 양식</t>
    </r>
    <r>
      <rPr>
        <rFont val="맑은 고딕"/>
        <color rgb="FF000000"/>
        <sz val="10.0"/>
      </rPr>
      <t xml:space="preserve">. </t>
    </r>
    <r>
      <rPr>
        <rFont val="Noto Sans CJK SC"/>
        <color rgb="FF000000"/>
        <sz val="10.0"/>
      </rPr>
      <t xml:space="preserve">학생 </t>
    </r>
    <r>
      <rPr>
        <rFont val="맑은 고딕"/>
        <color rgb="FF000000"/>
        <sz val="10.0"/>
      </rPr>
      <t>1</t>
    </r>
    <r>
      <rPr>
        <rFont val="Noto Sans CJK SC"/>
        <color rgb="FF000000"/>
        <sz val="10.0"/>
      </rPr>
      <t xml:space="preserve">명당 이 시트를 복사해서 사용 </t>
    </r>
    <r>
      <rPr>
        <rFont val="맑은 고딕"/>
        <color rgb="FF000000"/>
        <sz val="10.0"/>
      </rPr>
      <t>(</t>
    </r>
    <r>
      <rPr>
        <rFont val="Noto Sans CJK SC"/>
        <color rgb="FF000000"/>
        <sz val="10.0"/>
      </rPr>
      <t>시트 이름 규칙</t>
    </r>
    <r>
      <rPr>
        <rFont val="맑은 고딕"/>
        <color rgb="FF000000"/>
        <sz val="10.0"/>
      </rPr>
      <t xml:space="preserve">: </t>
    </r>
    <r>
      <rPr>
        <rFont val="Noto Sans CJK SC"/>
        <color rgb="FF000000"/>
        <sz val="10.0"/>
      </rPr>
      <t>학번</t>
    </r>
    <r>
      <rPr>
        <rFont val="맑은 고딕"/>
        <color rgb="FF000000"/>
        <sz val="10.0"/>
      </rPr>
      <t>_</t>
    </r>
    <r>
      <rPr>
        <rFont val="Noto Sans CJK SC"/>
        <color rgb="FF000000"/>
        <sz val="10.0"/>
      </rPr>
      <t>이름</t>
    </r>
    <r>
      <rPr>
        <rFont val="맑은 고딕"/>
        <color rgb="FF000000"/>
        <sz val="10.0"/>
      </rPr>
      <t>)</t>
    </r>
  </si>
  <si>
    <r>
      <rPr>
        <rFont val="맑은 고딕"/>
        <b/>
        <color rgb="FF000000"/>
        <sz val="10.0"/>
      </rPr>
      <t>11_</t>
    </r>
    <r>
      <rPr>
        <rFont val="Noto Sans CJK SC"/>
        <b/>
        <color rgb="FF000000"/>
        <sz val="10.0"/>
      </rPr>
      <t>작성예시</t>
    </r>
  </si>
  <si>
    <t>구분</t>
  </si>
  <si>
    <r>
      <rPr>
        <rFont val="맑은 고딕"/>
        <color rgb="FF000000"/>
        <sz val="10.0"/>
      </rPr>
      <t>34</t>
    </r>
    <r>
      <rPr>
        <rFont val="Noto Sans CJK SC"/>
        <color rgb="FF000000"/>
        <sz val="10.0"/>
      </rPr>
      <t>개 카테고리를 모두 채운 기준 예시 — 형식이 헷갈릴 때 참고</t>
    </r>
  </si>
  <si>
    <r>
      <rPr>
        <rFont val="Noto Sans CJK SC"/>
        <b/>
        <color rgb="FF2F4A8A"/>
        <sz val="14.0"/>
      </rPr>
      <t xml:space="preserve">학생 역량 데이터 수집 양식 </t>
    </r>
    <r>
      <rPr>
        <rFont val="맑은 고딕"/>
        <b/>
        <color rgb="FF2F4A8A"/>
        <sz val="14.0"/>
      </rPr>
      <t>(</t>
    </r>
    <r>
      <rPr>
        <rFont val="Noto Sans CJK SC"/>
        <b/>
        <color rgb="FF2F4A8A"/>
        <sz val="14.0"/>
      </rPr>
      <t xml:space="preserve">성균관대학교 </t>
    </r>
    <r>
      <rPr>
        <rFont val="맑은 고딕"/>
        <b/>
        <color rgb="FF2F4A8A"/>
        <sz val="14.0"/>
      </rPr>
      <t>· 34</t>
    </r>
    <r>
      <rPr>
        <rFont val="Noto Sans CJK SC"/>
        <b/>
        <color rgb="FF2F4A8A"/>
        <sz val="14.0"/>
      </rPr>
      <t xml:space="preserve">개 카테고리 </t>
    </r>
    <r>
      <rPr>
        <rFont val="맑은 고딕"/>
        <b/>
        <color rgb="FF2F4A8A"/>
        <sz val="14.0"/>
      </rPr>
      <t xml:space="preserve">· </t>
    </r>
    <r>
      <rPr>
        <rFont val="Noto Sans CJK SC"/>
        <b/>
        <color rgb="FF2F4A8A"/>
        <sz val="14.0"/>
      </rPr>
      <t xml:space="preserve">학생 </t>
    </r>
    <r>
      <rPr>
        <rFont val="맑은 고딕"/>
        <b/>
        <color rgb="FF2F4A8A"/>
        <sz val="14.0"/>
      </rPr>
      <t>1</t>
    </r>
    <r>
      <rPr>
        <rFont val="Noto Sans CJK SC"/>
        <b/>
        <color rgb="FF2F4A8A"/>
        <sz val="14.0"/>
      </rPr>
      <t xml:space="preserve">명 </t>
    </r>
    <r>
      <rPr>
        <rFont val="맑은 고딕"/>
        <b/>
        <color rgb="FF2F4A8A"/>
        <sz val="14.0"/>
      </rPr>
      <t xml:space="preserve">= </t>
    </r>
    <r>
      <rPr>
        <rFont val="Noto Sans CJK SC"/>
        <b/>
        <color rgb="FF2F4A8A"/>
        <sz val="14.0"/>
      </rPr>
      <t xml:space="preserve">시트 </t>
    </r>
    <r>
      <rPr>
        <rFont val="맑은 고딕"/>
        <b/>
        <color rgb="FF2F4A8A"/>
        <sz val="14.0"/>
      </rPr>
      <t>1</t>
    </r>
    <r>
      <rPr>
        <rFont val="Noto Sans CJK SC"/>
        <b/>
        <color rgb="FF2F4A8A"/>
        <sz val="14.0"/>
      </rPr>
      <t>장</t>
    </r>
    <r>
      <rPr>
        <rFont val="맑은 고딕"/>
        <b/>
        <color rgb="FF2F4A8A"/>
        <sz val="14.0"/>
      </rPr>
      <t>)</t>
    </r>
  </si>
  <si>
    <r>
      <rPr>
        <rFont val="Noto Sans CJK SC"/>
        <color rgb="FF595959"/>
        <sz val="9.0"/>
      </rPr>
      <t>연녹색 칸만 입력합니다</t>
    </r>
    <r>
      <rPr>
        <rFont val="맑은 고딕"/>
        <color rgb="FF595959"/>
        <sz val="9.0"/>
      </rPr>
      <t xml:space="preserve">. </t>
    </r>
    <r>
      <rPr>
        <rFont val="Noto Sans CJK SC"/>
        <color rgb="FF595959"/>
        <sz val="9.0"/>
      </rPr>
      <t>한 칸에 값 하나</t>
    </r>
    <r>
      <rPr>
        <rFont val="맑은 고딕"/>
        <color rgb="FF595959"/>
        <sz val="9.0"/>
      </rPr>
      <t xml:space="preserve">, </t>
    </r>
    <r>
      <rPr>
        <rFont val="Noto Sans CJK SC"/>
        <color rgb="FF595959"/>
        <sz val="9.0"/>
      </rPr>
      <t>숫자는 단위 없이</t>
    </r>
    <r>
      <rPr>
        <rFont val="맑은 고딕"/>
        <color rgb="FF595959"/>
        <sz val="9.0"/>
      </rPr>
      <t xml:space="preserve">, </t>
    </r>
    <r>
      <rPr>
        <rFont val="Noto Sans CJK SC"/>
        <color rgb="FF595959"/>
        <sz val="9.0"/>
      </rPr>
      <t xml:space="preserve">날짜는 </t>
    </r>
    <r>
      <rPr>
        <rFont val="맑은 고딕"/>
        <color rgb="FF595959"/>
        <sz val="9.0"/>
      </rPr>
      <t xml:space="preserve">YYYY-MM(-DD). </t>
    </r>
    <r>
      <rPr>
        <rFont val="Noto Sans CJK SC"/>
        <color rgb="FF595959"/>
        <sz val="9.0"/>
      </rPr>
      <t xml:space="preserve">카테고리마다 </t>
    </r>
    <r>
      <rPr>
        <rFont val="맑은 고딕"/>
        <color rgb="FF595959"/>
        <sz val="9.0"/>
      </rPr>
      <t>'</t>
    </r>
    <r>
      <rPr>
        <rFont val="Noto Sans CJK SC"/>
        <color rgb="FF595959"/>
        <sz val="9.0"/>
      </rPr>
      <t>데이터 상태</t>
    </r>
    <r>
      <rPr>
        <rFont val="맑은 고딕"/>
        <color rgb="FF595959"/>
        <sz val="9.0"/>
      </rPr>
      <t>'</t>
    </r>
    <r>
      <rPr>
        <rFont val="Noto Sans CJK SC"/>
        <color rgb="FF595959"/>
        <sz val="9.0"/>
      </rPr>
      <t>를 반드시 고르고</t>
    </r>
    <r>
      <rPr>
        <rFont val="맑은 고딕"/>
        <color rgb="FF595959"/>
        <sz val="9.0"/>
      </rPr>
      <t xml:space="preserve">, </t>
    </r>
    <r>
      <rPr>
        <rFont val="Noto Sans CJK SC"/>
        <color rgb="FF595959"/>
        <sz val="9.0"/>
      </rPr>
      <t>행이 모자라면 표 안에 행을 삽입하세요</t>
    </r>
    <r>
      <rPr>
        <rFont val="맑은 고딕"/>
        <color rgb="FF595959"/>
        <sz val="9.0"/>
      </rPr>
      <t>. H</t>
    </r>
    <r>
      <rPr>
        <rFont val="Noto Sans CJK SC"/>
        <color rgb="FF595959"/>
        <sz val="9.0"/>
      </rPr>
      <t>열 자동점검에 ⚠가 뜨면 상태와 값을 다시 확인합니다</t>
    </r>
    <r>
      <rPr>
        <rFont val="맑은 고딕"/>
        <color rgb="FF595959"/>
        <sz val="9.0"/>
      </rPr>
      <t>.</t>
    </r>
  </si>
  <si>
    <t>No</t>
  </si>
  <si>
    <t>카테고리</t>
  </si>
  <si>
    <t>확보 구분</t>
  </si>
  <si>
    <t>예시</t>
  </si>
  <si>
    <t>S01</t>
  </si>
  <si>
    <t>S02</t>
  </si>
  <si>
    <t>S03</t>
  </si>
  <si>
    <t>S04</t>
  </si>
  <si>
    <t>S05</t>
  </si>
  <si>
    <t>시트명</t>
  </si>
  <si>
    <t>S06</t>
  </si>
  <si>
    <t>샘플 유형</t>
  </si>
  <si>
    <t>학번</t>
  </si>
  <si>
    <t>이름</t>
  </si>
  <si>
    <t>소속 대학</t>
  </si>
  <si>
    <t>전공</t>
  </si>
  <si>
    <t>학년</t>
  </si>
  <si>
    <t>학적</t>
  </si>
  <si>
    <t>시트 학번</t>
  </si>
  <si>
    <t>S01~S06</t>
  </si>
  <si>
    <t>시트 학년</t>
  </si>
  <si>
    <t>기본정보 일치</t>
  </si>
  <si>
    <r>
      <rPr>
        <rFont val="Noto Sans CJK SC"/>
        <color rgb="FF000000"/>
        <sz val="10.0"/>
      </rPr>
      <t xml:space="preserve">입력 상태가 서로 다른 가상 학생 </t>
    </r>
    <r>
      <rPr>
        <rFont val="맑은 고딕"/>
        <color rgb="FF000000"/>
        <sz val="10.0"/>
      </rPr>
      <t>6</t>
    </r>
    <r>
      <rPr>
        <rFont val="Noto Sans CJK SC"/>
        <color rgb="FF000000"/>
        <sz val="10.0"/>
      </rPr>
      <t xml:space="preserve">명 </t>
    </r>
    <r>
      <rPr>
        <rFont val="맑은 고딕"/>
        <color rgb="FF000000"/>
        <sz val="10.0"/>
      </rPr>
      <t>(</t>
    </r>
    <r>
      <rPr>
        <rFont val="Noto Sans CJK SC"/>
        <color rgb="FF000000"/>
        <sz val="10.0"/>
      </rPr>
      <t xml:space="preserve">아래 </t>
    </r>
    <r>
      <rPr>
        <rFont val="맑은 고딕"/>
        <color rgb="FF000000"/>
        <sz val="10.0"/>
      </rPr>
      <t>3</t>
    </r>
    <r>
      <rPr>
        <rFont val="Noto Sans CJK SC"/>
        <color rgb="FF000000"/>
        <sz val="10.0"/>
      </rPr>
      <t>번 표</t>
    </r>
    <r>
      <rPr>
        <rFont val="맑은 고딕"/>
        <color rgb="FF000000"/>
        <sz val="10.0"/>
      </rPr>
      <t xml:space="preserve">) — </t>
    </r>
    <r>
      <rPr>
        <rFont val="Noto Sans CJK SC"/>
        <color rgb="FF000000"/>
        <sz val="10.0"/>
      </rPr>
      <t>역량평가 프롬프트 테스트용</t>
    </r>
  </si>
  <si>
    <t>값 있음</t>
  </si>
  <si>
    <t>김예시</t>
  </si>
  <si>
    <t>활동 없음</t>
  </si>
  <si>
    <t>코드표</t>
  </si>
  <si>
    <t>해당 없음</t>
  </si>
  <si>
    <t>김민준</t>
  </si>
  <si>
    <t>이서연</t>
  </si>
  <si>
    <t>박지호</t>
  </si>
  <si>
    <r>
      <rPr>
        <rFont val="Noto Sans CJK SC"/>
        <b/>
        <color rgb="FF000000"/>
        <sz val="9.0"/>
      </rPr>
      <t>미수집</t>
    </r>
    <r>
      <rPr>
        <rFont val="맑은 고딕"/>
        <b/>
        <color rgb="FF000000"/>
        <sz val="9.0"/>
      </rPr>
      <t>(+</t>
    </r>
    <r>
      <rPr>
        <rFont val="Noto Sans CJK SC"/>
        <b/>
        <color rgb="FF000000"/>
        <sz val="9.0"/>
      </rPr>
      <t>미선택</t>
    </r>
    <r>
      <rPr>
        <rFont val="맑은 고딕"/>
        <b/>
        <color rgb="FF000000"/>
        <sz val="9.0"/>
      </rPr>
      <t>)</t>
    </r>
  </si>
  <si>
    <t>최유진</t>
  </si>
  <si>
    <r>
      <rPr>
        <rFont val="Noto Sans CJK SC"/>
        <color rgb="FF000000"/>
        <sz val="10.0"/>
      </rPr>
      <t xml:space="preserve">데이터 상태 </t>
    </r>
    <r>
      <rPr>
        <rFont val="맑은 고딕"/>
        <color rgb="FF000000"/>
        <sz val="10.0"/>
      </rPr>
      <t>4</t>
    </r>
    <r>
      <rPr>
        <rFont val="Noto Sans CJK SC"/>
        <color rgb="FF000000"/>
        <sz val="10.0"/>
      </rPr>
      <t>종 정의와 모든 드롭다운 허용값 목록</t>
    </r>
  </si>
  <si>
    <t>정하늘</t>
  </si>
  <si>
    <t>수집 완료율</t>
  </si>
  <si>
    <t>한도윤</t>
  </si>
  <si>
    <t>⚠ 점검</t>
  </si>
  <si>
    <r>
      <rPr>
        <rFont val="Noto Sans CJK SC"/>
        <b/>
        <color rgb="FF000000"/>
        <sz val="10.0"/>
      </rPr>
      <t>데이터카테고리</t>
    </r>
    <r>
      <rPr>
        <rFont val="맑은 고딕"/>
        <b/>
        <color rgb="FF000000"/>
        <sz val="10.0"/>
      </rPr>
      <t>_</t>
    </r>
    <r>
      <rPr>
        <rFont val="Noto Sans CJK SC"/>
        <b/>
        <color rgb="FF000000"/>
        <sz val="10.0"/>
      </rPr>
      <t xml:space="preserve">마스터 </t>
    </r>
    <r>
      <rPr>
        <rFont val="맑은 고딕"/>
        <b/>
        <color rgb="FF000000"/>
        <sz val="10.0"/>
      </rPr>
      <t xml:space="preserve">/ </t>
    </r>
    <r>
      <rPr>
        <rFont val="Noto Sans CJK SC"/>
        <b/>
        <color rgb="FF000000"/>
        <sz val="10.0"/>
      </rPr>
      <t>대분류</t>
    </r>
    <r>
      <rPr>
        <rFont val="맑은 고딕"/>
        <b/>
        <color rgb="FF000000"/>
        <sz val="10.0"/>
      </rPr>
      <t>_</t>
    </r>
    <r>
      <rPr>
        <rFont val="Noto Sans CJK SC"/>
        <b/>
        <color rgb="FF000000"/>
        <sz val="10.0"/>
      </rPr>
      <t>요약</t>
    </r>
  </si>
  <si>
    <t>평가 테스트 포인트</t>
  </si>
  <si>
    <r>
      <rPr>
        <rFont val="Noto Sans CJK SC"/>
        <color rgb="FF000000"/>
        <sz val="10.0"/>
      </rPr>
      <t>원본 마스터</t>
    </r>
    <r>
      <rPr>
        <rFont val="맑은 고딕"/>
        <color rgb="FF000000"/>
        <sz val="10.0"/>
      </rPr>
      <t>(</t>
    </r>
    <r>
      <rPr>
        <rFont val="Noto Sans CJK SC"/>
        <color rgb="FF000000"/>
        <sz val="10.0"/>
      </rPr>
      <t>참고용</t>
    </r>
    <r>
      <rPr>
        <rFont val="맑은 고딕"/>
        <color rgb="FF000000"/>
        <sz val="10.0"/>
      </rPr>
      <t xml:space="preserve">, </t>
    </r>
    <r>
      <rPr>
        <rFont val="Noto Sans CJK SC"/>
        <color rgb="FF000000"/>
        <sz val="10.0"/>
      </rPr>
      <t>수정하지 않음</t>
    </r>
    <r>
      <rPr>
        <rFont val="맑은 고딕"/>
        <color rgb="FF000000"/>
        <sz val="10.0"/>
      </rPr>
      <t>)</t>
    </r>
  </si>
  <si>
    <r>
      <rPr>
        <rFont val="Noto Sans CJK SC"/>
        <color rgb="FF000000"/>
        <sz val="9.0"/>
      </rPr>
      <t>학업</t>
    </r>
    <r>
      <rPr>
        <rFont val="맑은 고딕"/>
        <color rgb="FF000000"/>
        <sz val="9.0"/>
      </rPr>
      <t>·</t>
    </r>
    <r>
      <rPr>
        <rFont val="Noto Sans CJK SC"/>
        <color rgb="FF000000"/>
        <sz val="9.0"/>
      </rPr>
      <t>교과</t>
    </r>
  </si>
  <si>
    <r>
      <rPr>
        <rFont val="맑은 고딕"/>
        <color rgb="FFFFFFFF"/>
        <sz val="11.0"/>
      </rPr>
      <t xml:space="preserve">2. </t>
    </r>
    <r>
      <rPr>
        <rFont val="Noto Sans CJK SC"/>
        <color rgb="FFFFFFFF"/>
        <sz val="11.0"/>
      </rPr>
      <t>입력 규칙</t>
    </r>
  </si>
  <si>
    <t>입력 칸</t>
  </si>
  <si>
    <r>
      <rPr>
        <rFont val="맑은 고딕"/>
        <color rgb="FF000000"/>
        <sz val="9.0"/>
      </rPr>
      <t>11_</t>
    </r>
    <r>
      <rPr>
        <rFont val="Noto Sans CJK SC"/>
        <color rgb="FF000000"/>
        <sz val="9.0"/>
      </rPr>
      <t>작성예시</t>
    </r>
  </si>
  <si>
    <r>
      <rPr>
        <rFont val="Noto Sans CJK SC"/>
        <color rgb="FF000000"/>
        <sz val="10.0"/>
      </rPr>
      <t>연녹색 칸만 입력합니다</t>
    </r>
    <r>
      <rPr>
        <rFont val="맑은 고딕"/>
        <color rgb="FF000000"/>
        <sz val="10.0"/>
      </rPr>
      <t xml:space="preserve">. </t>
    </r>
    <r>
      <rPr>
        <rFont val="Noto Sans CJK SC"/>
        <color rgb="FF000000"/>
        <sz val="10.0"/>
      </rPr>
      <t>회색 라벨</t>
    </r>
    <r>
      <rPr>
        <rFont val="맑은 고딕"/>
        <color rgb="FF000000"/>
        <sz val="10.0"/>
      </rPr>
      <t>·</t>
    </r>
    <r>
      <rPr>
        <rFont val="Noto Sans CJK SC"/>
        <color rgb="FF000000"/>
        <sz val="10.0"/>
      </rPr>
      <t>형식 줄</t>
    </r>
    <r>
      <rPr>
        <rFont val="맑은 고딕"/>
        <color rgb="FF000000"/>
        <sz val="10.0"/>
      </rPr>
      <t>·H</t>
    </r>
    <r>
      <rPr>
        <rFont val="Noto Sans CJK SC"/>
        <color rgb="FF000000"/>
        <sz val="10.0"/>
      </rPr>
      <t>열 자동점검은 건드리지 않습니다</t>
    </r>
    <r>
      <rPr>
        <rFont val="맑은 고딕"/>
        <color rgb="FF000000"/>
        <sz val="10.0"/>
      </rPr>
      <t>.</t>
    </r>
  </si>
  <si>
    <r>
      <rPr>
        <rFont val="Noto Sans CJK SC"/>
        <color rgb="FF000000"/>
        <sz val="9.0"/>
      </rPr>
      <t>성적데이터</t>
    </r>
    <r>
      <rPr>
        <rFont val="맑은 고딕"/>
        <color rgb="FF000000"/>
        <sz val="9.0"/>
      </rPr>
      <t>(</t>
    </r>
    <r>
      <rPr>
        <rFont val="Noto Sans CJK SC"/>
        <color rgb="FF000000"/>
        <sz val="9.0"/>
      </rPr>
      <t>전공</t>
    </r>
    <r>
      <rPr>
        <rFont val="맑은 고딕"/>
        <color rgb="FF000000"/>
        <sz val="9.0"/>
      </rPr>
      <t>·</t>
    </r>
    <r>
      <rPr>
        <rFont val="Noto Sans CJK SC"/>
        <color rgb="FF000000"/>
        <sz val="9.0"/>
      </rPr>
      <t>학기별</t>
    </r>
    <r>
      <rPr>
        <rFont val="맑은 고딕"/>
        <color rgb="FF000000"/>
        <sz val="9.0"/>
      </rPr>
      <t>)</t>
    </r>
  </si>
  <si>
    <r>
      <rPr>
        <rFont val="Noto Sans CJK SC"/>
        <b/>
        <color rgb="FF000000"/>
        <sz val="10.0"/>
      </rPr>
      <t>데이터 상태</t>
    </r>
    <r>
      <rPr>
        <rFont val="맑은 고딕"/>
        <b/>
        <color rgb="FF000000"/>
        <sz val="10.0"/>
      </rPr>
      <t>(</t>
    </r>
    <r>
      <rPr>
        <rFont val="Noto Sans CJK SC"/>
        <b/>
        <color rgb="FF000000"/>
        <sz val="10.0"/>
      </rPr>
      <t>필수</t>
    </r>
    <r>
      <rPr>
        <rFont val="맑은 고딕"/>
        <b/>
        <color rgb="FF000000"/>
        <sz val="10.0"/>
      </rPr>
      <t>)</t>
    </r>
  </si>
  <si>
    <r>
      <rPr>
        <rFont val="Noto Sans CJK SC"/>
        <color rgb="FF000000"/>
        <sz val="9.0"/>
      </rPr>
      <t xml:space="preserve">기존 </t>
    </r>
    <r>
      <rPr>
        <rFont val="맑은 고딕"/>
        <color rgb="FF000000"/>
        <sz val="9.0"/>
      </rPr>
      <t xml:space="preserve">+ SKKU </t>
    </r>
    <r>
      <rPr>
        <rFont val="Noto Sans CJK SC"/>
        <color rgb="FF000000"/>
        <sz val="9.0"/>
      </rPr>
      <t>확보가능</t>
    </r>
  </si>
  <si>
    <t>범례</t>
  </si>
  <si>
    <t>완전 작성 예시</t>
  </si>
  <si>
    <r>
      <rPr>
        <rFont val="Noto Sans CJK SC"/>
        <color rgb="FF000000"/>
        <sz val="10.0"/>
      </rPr>
      <t xml:space="preserve">카테고리마다 </t>
    </r>
    <r>
      <rPr>
        <rFont val="맑은 고딕"/>
        <color rgb="FF000000"/>
        <sz val="10.0"/>
      </rPr>
      <t>G</t>
    </r>
    <r>
      <rPr>
        <rFont val="Noto Sans CJK SC"/>
        <color rgb="FF000000"/>
        <sz val="10.0"/>
      </rPr>
      <t xml:space="preserve">열에서 값 있음 </t>
    </r>
    <r>
      <rPr>
        <rFont val="맑은 고딕"/>
        <color rgb="FF000000"/>
        <sz val="10.0"/>
      </rPr>
      <t xml:space="preserve">/ </t>
    </r>
    <r>
      <rPr>
        <rFont val="Noto Sans CJK SC"/>
        <color rgb="FF000000"/>
        <sz val="10.0"/>
      </rPr>
      <t xml:space="preserve">활동 없음 </t>
    </r>
    <r>
      <rPr>
        <rFont val="맑은 고딕"/>
        <color rgb="FF000000"/>
        <sz val="10.0"/>
      </rPr>
      <t xml:space="preserve">/ </t>
    </r>
    <r>
      <rPr>
        <rFont val="Noto Sans CJK SC"/>
        <color rgb="FF000000"/>
        <sz val="10.0"/>
      </rPr>
      <t xml:space="preserve">미수집 </t>
    </r>
    <r>
      <rPr>
        <rFont val="맑은 고딕"/>
        <color rgb="FF000000"/>
        <sz val="10.0"/>
      </rPr>
      <t xml:space="preserve">/ </t>
    </r>
    <r>
      <rPr>
        <rFont val="Noto Sans CJK SC"/>
        <color rgb="FF000000"/>
        <sz val="10.0"/>
      </rPr>
      <t>해당 없음 중 하나를 고릅니다</t>
    </r>
    <r>
      <rPr>
        <rFont val="맑은 고딕"/>
        <color rgb="FF000000"/>
        <sz val="10.0"/>
      </rPr>
      <t>. '</t>
    </r>
    <r>
      <rPr>
        <rFont val="Noto Sans CJK SC"/>
        <color rgb="FF000000"/>
        <sz val="10.0"/>
      </rPr>
      <t>활동 없음</t>
    </r>
    <r>
      <rPr>
        <rFont val="맑은 고딕"/>
        <color rgb="FF000000"/>
        <sz val="10.0"/>
      </rPr>
      <t>'</t>
    </r>
    <r>
      <rPr>
        <rFont val="Noto Sans CJK SC"/>
        <color rgb="FF000000"/>
        <sz val="10.0"/>
      </rPr>
      <t xml:space="preserve">은 </t>
    </r>
    <r>
      <rPr>
        <rFont val="맑은 고딕"/>
        <color rgb="FF000000"/>
        <sz val="10.0"/>
      </rPr>
      <t>0</t>
    </r>
    <r>
      <rPr>
        <rFont val="Noto Sans CJK SC"/>
        <color rgb="FF000000"/>
        <sz val="10.0"/>
      </rPr>
      <t>점</t>
    </r>
    <r>
      <rPr>
        <rFont val="맑은 고딕"/>
        <color rgb="FF000000"/>
        <sz val="10.0"/>
      </rPr>
      <t>, '</t>
    </r>
    <r>
      <rPr>
        <rFont val="Noto Sans CJK SC"/>
        <color rgb="FF000000"/>
        <sz val="10.0"/>
      </rPr>
      <t>미수집</t>
    </r>
    <r>
      <rPr>
        <rFont val="맑은 고딕"/>
        <color rgb="FF000000"/>
        <sz val="10.0"/>
      </rPr>
      <t>'</t>
    </r>
    <r>
      <rPr>
        <rFont val="Noto Sans CJK SC"/>
        <color rgb="FF000000"/>
        <sz val="10.0"/>
      </rPr>
      <t>은 계산 제외라서 결과가 크게 달라지므로 반드시 구분합니다</t>
    </r>
    <r>
      <rPr>
        <rFont val="맑은 고딕"/>
        <color rgb="FF000000"/>
        <sz val="10.0"/>
      </rPr>
      <t xml:space="preserve">. </t>
    </r>
    <r>
      <rPr>
        <rFont val="Noto Sans CJK SC"/>
        <color rgb="FF000000"/>
        <sz val="10.0"/>
      </rPr>
      <t>자세한 정의는 코드표</t>
    </r>
    <r>
      <rPr>
        <rFont val="맑은 고딕"/>
        <color rgb="FF000000"/>
        <sz val="10.0"/>
      </rPr>
      <t>.</t>
    </r>
  </si>
  <si>
    <t>한 칸에 값 하나</t>
  </si>
  <si>
    <r>
      <rPr>
        <rFont val="맑은 고딕"/>
        <color rgb="FF000000"/>
        <sz val="10.0"/>
      </rPr>
      <t>'TOEIC 850, OPIc IM2'</t>
    </r>
    <r>
      <rPr>
        <rFont val="Noto Sans CJK SC"/>
        <color rgb="FF000000"/>
        <sz val="10.0"/>
      </rPr>
      <t>처럼 한 칸에 여러 값을 넣지 말고 표의 행을 나눠 입력합니다</t>
    </r>
    <r>
      <rPr>
        <rFont val="맑은 고딕"/>
        <color rgb="FF000000"/>
        <sz val="10.0"/>
      </rPr>
      <t>.</t>
    </r>
  </si>
  <si>
    <t>숫자</t>
  </si>
  <si>
    <t>2023313001</t>
  </si>
  <si>
    <r>
      <rPr>
        <rFont val="Noto Sans CJK SC"/>
        <color rgb="FF000000"/>
        <sz val="10.0"/>
      </rPr>
      <t>단위</t>
    </r>
    <r>
      <rPr>
        <rFont val="맑은 고딕"/>
        <color rgb="FF000000"/>
        <sz val="10.0"/>
      </rPr>
      <t>·</t>
    </r>
    <r>
      <rPr>
        <rFont val="Noto Sans CJK SC"/>
        <color rgb="FF000000"/>
        <sz val="10.0"/>
      </rPr>
      <t xml:space="preserve">기호 없이 숫자만 </t>
    </r>
    <r>
      <rPr>
        <rFont val="맑은 고딕"/>
        <color rgb="FF000000"/>
        <sz val="10.0"/>
      </rPr>
      <t>(850 ○ / 850</t>
    </r>
    <r>
      <rPr>
        <rFont val="Noto Sans CJK SC"/>
        <color rgb="FF000000"/>
        <sz val="10.0"/>
      </rPr>
      <t>점 ✕</t>
    </r>
    <r>
      <rPr>
        <rFont val="맑은 고딕"/>
        <color rgb="FF000000"/>
        <sz val="10.0"/>
      </rPr>
      <t xml:space="preserve">, 95 ○ / 95% ✕ / 0.95 ✕). </t>
    </r>
    <r>
      <rPr>
        <rFont val="Noto Sans CJK SC"/>
        <color rgb="FF000000"/>
        <sz val="10.0"/>
      </rPr>
      <t xml:space="preserve">평점은 </t>
    </r>
    <r>
      <rPr>
        <rFont val="맑은 고딕"/>
        <color rgb="FF000000"/>
        <sz val="10.0"/>
      </rPr>
      <t xml:space="preserve">4.5 </t>
    </r>
    <r>
      <rPr>
        <rFont val="Noto Sans CJK SC"/>
        <color rgb="FF000000"/>
        <sz val="10.0"/>
      </rPr>
      <t xml:space="preserve">만점 기준 소수 </t>
    </r>
    <r>
      <rPr>
        <rFont val="맑은 고딕"/>
        <color rgb="FF000000"/>
        <sz val="10.0"/>
      </rPr>
      <t>2</t>
    </r>
    <r>
      <rPr>
        <rFont val="Noto Sans CJK SC"/>
        <color rgb="FF000000"/>
        <sz val="10.0"/>
      </rPr>
      <t>자리</t>
    </r>
    <r>
      <rPr>
        <rFont val="맑은 고딕"/>
        <color rgb="FF000000"/>
        <sz val="10.0"/>
      </rPr>
      <t>.</t>
    </r>
  </si>
  <si>
    <t>날짜</t>
  </si>
  <si>
    <r>
      <rPr>
        <rFont val="Noto Sans CJK SC"/>
        <color rgb="FF000000"/>
        <sz val="10.0"/>
      </rPr>
      <t xml:space="preserve">연월은 </t>
    </r>
    <r>
      <rPr>
        <rFont val="맑은 고딕"/>
        <color rgb="FF000000"/>
        <sz val="10.0"/>
      </rPr>
      <t xml:space="preserve">YYYY-MM, </t>
    </r>
    <r>
      <rPr>
        <rFont val="Noto Sans CJK SC"/>
        <color rgb="FF000000"/>
        <sz val="10.0"/>
      </rPr>
      <t xml:space="preserve">날짜는 </t>
    </r>
    <r>
      <rPr>
        <rFont val="맑은 고딕"/>
        <color rgb="FF000000"/>
        <sz val="10.0"/>
      </rPr>
      <t xml:space="preserve">YYYY-MM-DD, </t>
    </r>
    <r>
      <rPr>
        <rFont val="Noto Sans CJK SC"/>
        <color rgb="FF000000"/>
        <sz val="10.0"/>
      </rPr>
      <t xml:space="preserve">학기는 </t>
    </r>
    <r>
      <rPr>
        <rFont val="맑은 고딕"/>
        <color rgb="FF000000"/>
        <sz val="10.0"/>
      </rPr>
      <t>YYYY-1 / YYYY-2 / YYYY-</t>
    </r>
    <r>
      <rPr>
        <rFont val="Noto Sans CJK SC"/>
        <color rgb="FF000000"/>
        <sz val="10.0"/>
      </rPr>
      <t xml:space="preserve">여름 </t>
    </r>
    <r>
      <rPr>
        <rFont val="맑은 고딕"/>
        <color rgb="FF000000"/>
        <sz val="10.0"/>
      </rPr>
      <t>/ YYYY-</t>
    </r>
    <r>
      <rPr>
        <rFont val="Noto Sans CJK SC"/>
        <color rgb="FF000000"/>
        <sz val="10.0"/>
      </rPr>
      <t>겨울</t>
    </r>
    <r>
      <rPr>
        <rFont val="맑은 고딕"/>
        <color rgb="FF000000"/>
        <sz val="10.0"/>
      </rPr>
      <t xml:space="preserve">. </t>
    </r>
    <r>
      <rPr>
        <rFont val="Noto Sans CJK SC"/>
        <color rgb="FF000000"/>
        <sz val="10.0"/>
      </rPr>
      <t xml:space="preserve">진행 중이면 종료 칸에 </t>
    </r>
    <r>
      <rPr>
        <rFont val="맑은 고딕"/>
        <color rgb="FF000000"/>
        <sz val="10.0"/>
      </rPr>
      <t>'</t>
    </r>
    <r>
      <rPr>
        <rFont val="Noto Sans CJK SC"/>
        <color rgb="FF000000"/>
        <sz val="10.0"/>
      </rPr>
      <t>진행중</t>
    </r>
    <r>
      <rPr>
        <rFont val="맑은 고딕"/>
        <color rgb="FF000000"/>
        <sz val="10.0"/>
      </rPr>
      <t>'.</t>
    </r>
  </si>
  <si>
    <t>기간</t>
  </si>
  <si>
    <r>
      <rPr>
        <rFont val="Noto Sans CJK SC"/>
        <color rgb="FF000000"/>
        <sz val="10.0"/>
      </rPr>
      <t>개월 수</t>
    </r>
    <r>
      <rPr>
        <rFont val="맑은 고딕"/>
        <color rgb="FF000000"/>
        <sz val="10.0"/>
      </rPr>
      <t>(</t>
    </r>
    <r>
      <rPr>
        <rFont val="Noto Sans CJK SC"/>
        <color rgb="FF000000"/>
        <sz val="10.0"/>
      </rPr>
      <t>숫자</t>
    </r>
    <r>
      <rPr>
        <rFont val="맑은 고딕"/>
        <color rgb="FF000000"/>
        <sz val="10.0"/>
      </rPr>
      <t>)</t>
    </r>
    <r>
      <rPr>
        <rFont val="Noto Sans CJK SC"/>
        <color rgb="FF000000"/>
        <sz val="10.0"/>
      </rPr>
      <t>로 적습니다</t>
    </r>
    <r>
      <rPr>
        <rFont val="맑은 고딕"/>
        <color rgb="FF000000"/>
        <sz val="10.0"/>
      </rPr>
      <t xml:space="preserve">. </t>
    </r>
    <r>
      <rPr>
        <rFont val="Noto Sans CJK SC"/>
        <color rgb="FF000000"/>
        <sz val="10.0"/>
      </rPr>
      <t>해외경험만 주 단위입니다</t>
    </r>
    <r>
      <rPr>
        <rFont val="맑은 고딕"/>
        <color rgb="FF000000"/>
        <sz val="10.0"/>
      </rPr>
      <t>.</t>
    </r>
  </si>
  <si>
    <t>목록 항목</t>
  </si>
  <si>
    <t>공과대학</t>
  </si>
  <si>
    <r>
      <rPr>
        <rFont val="Noto Sans CJK SC"/>
        <color rgb="FF000000"/>
        <sz val="10.0"/>
      </rPr>
      <t>드롭다운에 없는 값은 입력되지 않습니다</t>
    </r>
    <r>
      <rPr>
        <rFont val="맑은 고딕"/>
        <color rgb="FF000000"/>
        <sz val="10.0"/>
      </rPr>
      <t xml:space="preserve">. </t>
    </r>
    <r>
      <rPr>
        <rFont val="Noto Sans CJK SC"/>
        <color rgb="FF000000"/>
        <sz val="10.0"/>
      </rPr>
      <t>맞는 값이 없으면 가장 가까운 값을 고르고 비고</t>
    </r>
    <r>
      <rPr>
        <rFont val="맑은 고딕"/>
        <color rgb="FF000000"/>
        <sz val="10.0"/>
      </rPr>
      <t>·</t>
    </r>
    <r>
      <rPr>
        <rFont val="Noto Sans CJK SC"/>
        <color rgb="FF000000"/>
        <sz val="10.0"/>
      </rPr>
      <t>서술 칸에 설명합니다</t>
    </r>
    <r>
      <rPr>
        <rFont val="맑은 고딕"/>
        <color rgb="FF000000"/>
        <sz val="10.0"/>
      </rPr>
      <t>.</t>
    </r>
  </si>
  <si>
    <t>행이 부족할 때</t>
  </si>
  <si>
    <t>기존 항목</t>
  </si>
  <si>
    <t>시스템경영공학과</t>
  </si>
  <si>
    <r>
      <rPr>
        <rFont val="Noto Sans CJK SC"/>
        <color rgb="FF000000"/>
        <sz val="10.0"/>
      </rPr>
      <t>표 안쪽</t>
    </r>
    <r>
      <rPr>
        <rFont val="맑은 고딕"/>
        <color rgb="FF000000"/>
        <sz val="10.0"/>
      </rPr>
      <t>(</t>
    </r>
    <r>
      <rPr>
        <rFont val="Noto Sans CJK SC"/>
        <color rgb="FF000000"/>
        <sz val="10.0"/>
      </rPr>
      <t>마지막 입력 행 위</t>
    </r>
    <r>
      <rPr>
        <rFont val="맑은 고딕"/>
        <color rgb="FF000000"/>
        <sz val="10.0"/>
      </rPr>
      <t>)</t>
    </r>
    <r>
      <rPr>
        <rFont val="Noto Sans CJK SC"/>
        <color rgb="FF000000"/>
        <sz val="10.0"/>
      </rPr>
      <t>에 행을 삽입하면 자동점검 범위와 서식이 함께 늘어납니다</t>
    </r>
    <r>
      <rPr>
        <rFont val="맑은 고딕"/>
        <color rgb="FF000000"/>
        <sz val="10.0"/>
      </rPr>
      <t>.</t>
    </r>
  </si>
  <si>
    <t>부분 누락</t>
  </si>
  <si>
    <r>
      <rPr>
        <rFont val="Noto Sans CJK SC"/>
        <color rgb="FF000000"/>
        <sz val="10.0"/>
      </rPr>
      <t xml:space="preserve">상태가 </t>
    </r>
    <r>
      <rPr>
        <rFont val="맑은 고딕"/>
        <color rgb="FF000000"/>
        <sz val="10.0"/>
      </rPr>
      <t>'</t>
    </r>
    <r>
      <rPr>
        <rFont val="Noto Sans CJK SC"/>
        <color rgb="FF000000"/>
        <sz val="10.0"/>
      </rPr>
      <t>값 있음</t>
    </r>
    <r>
      <rPr>
        <rFont val="맑은 고딕"/>
        <color rgb="FF000000"/>
        <sz val="10.0"/>
      </rPr>
      <t>'</t>
    </r>
    <r>
      <rPr>
        <rFont val="Noto Sans CJK SC"/>
        <color rgb="FF000000"/>
        <sz val="10.0"/>
      </rPr>
      <t xml:space="preserve">인 카테고리에서 일부 칸만 비면 그 칸만 미수집으로 봅니다 </t>
    </r>
    <r>
      <rPr>
        <rFont val="맑은 고딕"/>
        <color rgb="FF000000"/>
        <sz val="10.0"/>
      </rPr>
      <t>(</t>
    </r>
    <r>
      <rPr>
        <rFont val="Noto Sans CJK SC"/>
        <color rgb="FF000000"/>
        <sz val="10.0"/>
      </rPr>
      <t>예</t>
    </r>
    <r>
      <rPr>
        <rFont val="맑은 고딕"/>
        <color rgb="FF000000"/>
        <sz val="10.0"/>
      </rPr>
      <t xml:space="preserve">: </t>
    </r>
    <r>
      <rPr>
        <rFont val="Noto Sans CJK SC"/>
        <color rgb="FF000000"/>
        <sz val="10.0"/>
      </rPr>
      <t>출석률만 있고 퀴즈 횟수는 빈칸</t>
    </r>
    <r>
      <rPr>
        <rFont val="맑은 고딕"/>
        <color rgb="FF000000"/>
        <sz val="10.0"/>
      </rPr>
      <t>).</t>
    </r>
  </si>
  <si>
    <r>
      <rPr>
        <rFont val="Noto Sans CJK SC"/>
        <b/>
        <color rgb="FF000000"/>
        <sz val="10.0"/>
      </rPr>
      <t>자동점검</t>
    </r>
    <r>
      <rPr>
        <rFont val="맑은 고딕"/>
        <b/>
        <color rgb="FF000000"/>
        <sz val="10.0"/>
      </rPr>
      <t>(H</t>
    </r>
    <r>
      <rPr>
        <rFont val="Noto Sans CJK SC"/>
        <b/>
        <color rgb="FF000000"/>
        <sz val="10.0"/>
      </rPr>
      <t>열</t>
    </r>
    <r>
      <rPr>
        <rFont val="맑은 고딕"/>
        <b/>
        <color rgb="FF000000"/>
        <sz val="10.0"/>
      </rPr>
      <t>)</t>
    </r>
  </si>
  <si>
    <r>
      <rPr>
        <rFont val="Noto Sans CJK SC"/>
        <color rgb="FF000000"/>
        <sz val="10.0"/>
      </rPr>
      <t xml:space="preserve">✓ 정상 </t>
    </r>
    <r>
      <rPr>
        <rFont val="맑은 고딕"/>
        <color rgb="FF000000"/>
        <sz val="10.0"/>
      </rPr>
      <t xml:space="preserve">/ ⚠ </t>
    </r>
    <r>
      <rPr>
        <rFont val="Noto Sans CJK SC"/>
        <color rgb="FF000000"/>
        <sz val="10.0"/>
      </rPr>
      <t xml:space="preserve">값 있음인데 입력값 없음 </t>
    </r>
    <r>
      <rPr>
        <rFont val="맑은 고딕"/>
        <color rgb="FF000000"/>
        <sz val="10.0"/>
      </rPr>
      <t xml:space="preserve">/ ⚠ </t>
    </r>
    <r>
      <rPr>
        <rFont val="Noto Sans CJK SC"/>
        <color rgb="FF000000"/>
        <sz val="10.0"/>
      </rPr>
      <t xml:space="preserve">상태와 입력값 불일치 </t>
    </r>
    <r>
      <rPr>
        <rFont val="맑은 고딕"/>
        <color rgb="FF000000"/>
        <sz val="10.0"/>
      </rPr>
      <t xml:space="preserve">/ ⚠ </t>
    </r>
    <r>
      <rPr>
        <rFont val="Noto Sans CJK SC"/>
        <color rgb="FF000000"/>
        <sz val="10.0"/>
      </rPr>
      <t>상태 미선택</t>
    </r>
    <r>
      <rPr>
        <rFont val="맑은 고딕"/>
        <color rgb="FF000000"/>
        <sz val="10.0"/>
      </rPr>
      <t>(</t>
    </r>
    <r>
      <rPr>
        <rFont val="Noto Sans CJK SC"/>
        <color rgb="FF000000"/>
        <sz val="10.0"/>
      </rPr>
      <t>입력값 있음</t>
    </r>
    <r>
      <rPr>
        <rFont val="맑은 고딕"/>
        <color rgb="FF000000"/>
        <sz val="10.0"/>
      </rPr>
      <t xml:space="preserve">) / </t>
    </r>
    <r>
      <rPr>
        <rFont val="Noto Sans CJK SC"/>
        <color rgb="FF000000"/>
        <sz val="10.0"/>
      </rPr>
      <t>상태 미선택 → 미수집 간주</t>
    </r>
  </si>
  <si>
    <r>
      <rPr>
        <rFont val="맑은 고딕"/>
        <color rgb="FF000000"/>
        <sz val="9.0"/>
      </rPr>
      <t xml:space="preserve">SKKU </t>
    </r>
    <r>
      <rPr>
        <rFont val="Noto Sans CJK SC"/>
        <color rgb="FF000000"/>
        <sz val="9.0"/>
      </rPr>
      <t>확보가능</t>
    </r>
  </si>
  <si>
    <r>
      <rPr>
        <rFont val="맑은 고딕"/>
        <b/>
        <color rgb="FF000000"/>
        <sz val="10.0"/>
      </rPr>
      <t xml:space="preserve">STAR </t>
    </r>
    <r>
      <rPr>
        <rFont val="Noto Sans CJK SC"/>
        <b/>
        <color rgb="FF000000"/>
        <sz val="10.0"/>
      </rPr>
      <t>기록</t>
    </r>
    <r>
      <rPr>
        <rFont val="맑은 고딕"/>
        <b/>
        <color rgb="FF000000"/>
        <sz val="10.0"/>
      </rPr>
      <t>(33</t>
    </r>
    <r>
      <rPr>
        <rFont val="Noto Sans CJK SC"/>
        <b/>
        <color rgb="FF000000"/>
        <sz val="10.0"/>
      </rPr>
      <t>번</t>
    </r>
    <r>
      <rPr>
        <rFont val="맑은 고딕"/>
        <b/>
        <color rgb="FF000000"/>
        <sz val="10.0"/>
      </rPr>
      <t>)</t>
    </r>
  </si>
  <si>
    <t>학부</t>
  </si>
  <si>
    <r>
      <rPr>
        <rFont val="Noto Sans CJK SC"/>
        <color rgb="FF000000"/>
        <sz val="10.0"/>
      </rPr>
      <t>상황</t>
    </r>
    <r>
      <rPr>
        <rFont val="맑은 고딕"/>
        <color rgb="FF000000"/>
        <sz val="10.0"/>
      </rPr>
      <t>·</t>
    </r>
    <r>
      <rPr>
        <rFont val="Noto Sans CJK SC"/>
        <color rgb="FF000000"/>
        <sz val="10.0"/>
      </rPr>
      <t>과제</t>
    </r>
    <r>
      <rPr>
        <rFont val="맑은 고딕"/>
        <color rgb="FF000000"/>
        <sz val="10.0"/>
      </rPr>
      <t>·</t>
    </r>
    <r>
      <rPr>
        <rFont val="Noto Sans CJK SC"/>
        <color rgb="FF000000"/>
        <sz val="10.0"/>
      </rPr>
      <t>행동</t>
    </r>
    <r>
      <rPr>
        <rFont val="맑은 고딕"/>
        <color rgb="FF000000"/>
        <sz val="10.0"/>
      </rPr>
      <t>·</t>
    </r>
    <r>
      <rPr>
        <rFont val="Noto Sans CJK SC"/>
        <color rgb="FF000000"/>
        <sz val="10.0"/>
      </rPr>
      <t>결과를 각 칸에 나눠 적고</t>
    </r>
    <r>
      <rPr>
        <rFont val="맑은 고딕"/>
        <color rgb="FF000000"/>
        <sz val="10.0"/>
      </rPr>
      <t xml:space="preserve">, </t>
    </r>
    <r>
      <rPr>
        <rFont val="Noto Sans CJK SC"/>
        <color rgb="FF000000"/>
        <sz val="10.0"/>
      </rPr>
      <t>결과에는 가능한 한 수치를 넣습니다</t>
    </r>
    <r>
      <rPr>
        <rFont val="맑은 고딕"/>
        <color rgb="FF000000"/>
        <sz val="10.0"/>
      </rPr>
      <t xml:space="preserve">. </t>
    </r>
    <r>
      <rPr>
        <rFont val="Noto Sans CJK SC"/>
        <color rgb="FF000000"/>
        <sz val="10.0"/>
      </rPr>
      <t>정성 루브릭의 핵심 근거입니다</t>
    </r>
    <r>
      <rPr>
        <rFont val="맑은 고딕"/>
        <color rgb="FF000000"/>
        <sz val="10.0"/>
      </rPr>
      <t>.</t>
    </r>
  </si>
  <si>
    <t>추가 제안</t>
  </si>
  <si>
    <r>
      <rPr>
        <rFont val="맑은 고딕"/>
        <b/>
        <color rgb="FFFFFFFF"/>
        <sz val="11.0"/>
      </rPr>
      <t xml:space="preserve">3. </t>
    </r>
    <r>
      <rPr>
        <rFont val="Noto Sans CJK SC"/>
        <b/>
        <color rgb="FFFFFFFF"/>
        <sz val="11.0"/>
      </rPr>
      <t xml:space="preserve">샘플 학생 </t>
    </r>
    <r>
      <rPr>
        <rFont val="맑은 고딕"/>
        <b/>
        <color rgb="FFFFFFFF"/>
        <sz val="11.0"/>
      </rPr>
      <t>6</t>
    </r>
    <r>
      <rPr>
        <rFont val="Noto Sans CJK SC"/>
        <b/>
        <color rgb="FFFFFFFF"/>
        <sz val="11.0"/>
      </rPr>
      <t xml:space="preserve">명 설계 </t>
    </r>
    <r>
      <rPr>
        <rFont val="맑은 고딕"/>
        <b/>
        <color rgb="FFFFFFFF"/>
        <sz val="11.0"/>
      </rPr>
      <t>(</t>
    </r>
    <r>
      <rPr>
        <rFont val="Noto Sans CJK SC"/>
        <b/>
        <color rgb="FFFFFFFF"/>
        <sz val="11.0"/>
      </rPr>
      <t>모두 가상 데이터</t>
    </r>
    <r>
      <rPr>
        <rFont val="맑은 고딕"/>
        <b/>
        <color rgb="FFFFFFFF"/>
        <sz val="11.0"/>
      </rPr>
      <t>)</t>
    </r>
  </si>
  <si>
    <r>
      <rPr>
        <rFont val="Noto Sans CJK SC"/>
        <color rgb="FF595959"/>
        <sz val="9.0"/>
      </rPr>
      <t>데이터 상태</t>
    </r>
    <r>
      <rPr>
        <rFont val="맑은 고딕"/>
        <color rgb="FF595959"/>
        <sz val="9.0"/>
      </rPr>
      <t xml:space="preserve">: </t>
    </r>
    <r>
      <rPr>
        <rFont val="Noto Sans CJK SC"/>
        <color rgb="FF595959"/>
        <sz val="9.0"/>
      </rPr>
      <t xml:space="preserve">값 있음 </t>
    </r>
    <r>
      <rPr>
        <rFont val="맑은 고딕"/>
        <color rgb="FF595959"/>
        <sz val="9.0"/>
      </rPr>
      <t xml:space="preserve">/ </t>
    </r>
    <r>
      <rPr>
        <rFont val="Noto Sans CJK SC"/>
        <color rgb="FF595959"/>
        <sz val="9.0"/>
      </rPr>
      <t>활동 없음</t>
    </r>
    <r>
      <rPr>
        <rFont val="맑은 고딕"/>
        <color rgb="FF595959"/>
        <sz val="9.0"/>
      </rPr>
      <t>(0</t>
    </r>
    <r>
      <rPr>
        <rFont val="Noto Sans CJK SC"/>
        <color rgb="FF595959"/>
        <sz val="9.0"/>
      </rPr>
      <t>점</t>
    </r>
    <r>
      <rPr>
        <rFont val="맑은 고딕"/>
        <color rgb="FF595959"/>
        <sz val="9.0"/>
      </rPr>
      <t xml:space="preserve">) / </t>
    </r>
    <r>
      <rPr>
        <rFont val="Noto Sans CJK SC"/>
        <color rgb="FF595959"/>
        <sz val="9.0"/>
      </rPr>
      <t>미수집</t>
    </r>
    <r>
      <rPr>
        <rFont val="맑은 고딕"/>
        <color rgb="FF595959"/>
        <sz val="9.0"/>
      </rPr>
      <t>(</t>
    </r>
    <r>
      <rPr>
        <rFont val="Noto Sans CJK SC"/>
        <color rgb="FF595959"/>
        <sz val="9.0"/>
      </rPr>
      <t>계산 제외</t>
    </r>
    <r>
      <rPr>
        <rFont val="맑은 고딕"/>
        <color rgb="FF595959"/>
        <sz val="9.0"/>
      </rPr>
      <t xml:space="preserve">) / </t>
    </r>
    <r>
      <rPr>
        <rFont val="Noto Sans CJK SC"/>
        <color rgb="FF595959"/>
        <sz val="9.0"/>
      </rPr>
      <t>해당 없음</t>
    </r>
    <r>
      <rPr>
        <rFont val="맑은 고딕"/>
        <color rgb="FF595959"/>
        <sz val="9.0"/>
      </rPr>
      <t>(</t>
    </r>
    <r>
      <rPr>
        <rFont val="Noto Sans CJK SC"/>
        <color rgb="FF595959"/>
        <sz val="9.0"/>
      </rPr>
      <t>불이익 없음</t>
    </r>
    <r>
      <rPr>
        <rFont val="맑은 고딕"/>
        <color rgb="FF595959"/>
        <sz val="9.0"/>
      </rPr>
      <t xml:space="preserve">) · </t>
    </r>
    <r>
      <rPr>
        <rFont val="Noto Sans CJK SC"/>
        <color rgb="FF595959"/>
        <sz val="9.0"/>
      </rPr>
      <t xml:space="preserve">상태 미선택 </t>
    </r>
    <r>
      <rPr>
        <rFont val="맑은 고딕"/>
        <color rgb="FF595959"/>
        <sz val="9.0"/>
      </rPr>
      <t xml:space="preserve">= </t>
    </r>
    <r>
      <rPr>
        <rFont val="Noto Sans CJK SC"/>
        <color rgb="FF595959"/>
        <sz val="9.0"/>
      </rPr>
      <t>미수집 간주</t>
    </r>
  </si>
  <si>
    <r>
      <rPr>
        <rFont val="Noto Sans CJK SC"/>
        <b/>
        <color rgb="FF000000"/>
        <sz val="10.0"/>
      </rPr>
      <t xml:space="preserve">시트 </t>
    </r>
    <r>
      <rPr>
        <rFont val="맑은 고딕"/>
        <b/>
        <color rgb="FF000000"/>
        <sz val="10.0"/>
      </rPr>
      <t xml:space="preserve">/ </t>
    </r>
    <r>
      <rPr>
        <rFont val="Noto Sans CJK SC"/>
        <b/>
        <color rgb="FF000000"/>
        <sz val="10.0"/>
      </rPr>
      <t>유형</t>
    </r>
  </si>
  <si>
    <t>입력 상태와 평가 테스트 포인트</t>
  </si>
  <si>
    <r>
      <rPr>
        <rFont val="맑은 고딕"/>
        <b/>
        <color rgb="FF000000"/>
        <sz val="10.0"/>
      </rPr>
      <t>11_</t>
    </r>
    <r>
      <rPr>
        <rFont val="Noto Sans CJK SC"/>
        <b/>
        <color rgb="FF000000"/>
        <sz val="10.0"/>
      </rPr>
      <t>작성예시
완전 작성 예시</t>
    </r>
  </si>
  <si>
    <r>
      <rPr>
        <rFont val="Noto Sans CJK SC"/>
        <b/>
        <color rgb="FFFFFFFF"/>
        <sz val="11.0"/>
      </rPr>
      <t xml:space="preserve">■ 학생 기본정보  </t>
    </r>
    <r>
      <rPr>
        <rFont val="맑은 고딕"/>
        <b/>
        <color rgb="FFFFFFFF"/>
        <sz val="11.0"/>
      </rPr>
      <t>(</t>
    </r>
    <r>
      <rPr>
        <rFont val="Noto Sans CJK SC"/>
        <b/>
        <color rgb="FFFFFFFF"/>
        <sz val="11.0"/>
      </rPr>
      <t>학년 보정</t>
    </r>
    <r>
      <rPr>
        <rFont val="맑은 고딕"/>
        <b/>
        <color rgb="FFFFFFFF"/>
        <sz val="11.0"/>
      </rPr>
      <t>·</t>
    </r>
    <r>
      <rPr>
        <rFont val="Noto Sans CJK SC"/>
        <b/>
        <color rgb="FFFFFFFF"/>
        <sz val="11.0"/>
      </rPr>
      <t>학적 구분</t>
    </r>
    <r>
      <rPr>
        <rFont val="맑은 고딕"/>
        <b/>
        <color rgb="FFFFFFFF"/>
        <sz val="11.0"/>
      </rPr>
      <t>·</t>
    </r>
    <r>
      <rPr>
        <rFont val="Noto Sans CJK SC"/>
        <b/>
        <color rgb="FFFFFFFF"/>
        <sz val="11.0"/>
      </rPr>
      <t>전공 특수성 판단에 사용</t>
    </r>
    <r>
      <rPr>
        <rFont val="맑은 고딕"/>
        <b/>
        <color rgb="FFFFFFFF"/>
        <sz val="11.0"/>
      </rPr>
      <t>)</t>
    </r>
  </si>
  <si>
    <t>항목</t>
  </si>
  <si>
    <t>입력값</t>
  </si>
  <si>
    <r>
      <rPr>
        <rFont val="맑은 고딕"/>
        <color rgb="FF000000"/>
        <sz val="10.0"/>
      </rPr>
      <t>34</t>
    </r>
    <r>
      <rPr>
        <rFont val="Noto Sans CJK SC"/>
        <color rgb="FF000000"/>
        <sz val="10.0"/>
      </rPr>
      <t xml:space="preserve">개 카테고리 전부 </t>
    </r>
    <r>
      <rPr>
        <rFont val="맑은 고딕"/>
        <color rgb="FF000000"/>
        <sz val="10.0"/>
      </rPr>
      <t>'</t>
    </r>
    <r>
      <rPr>
        <rFont val="Noto Sans CJK SC"/>
        <color rgb="FF000000"/>
        <sz val="10.0"/>
      </rPr>
      <t>값 있음</t>
    </r>
    <r>
      <rPr>
        <rFont val="맑은 고딕"/>
        <color rgb="FF000000"/>
        <sz val="10.0"/>
      </rPr>
      <t xml:space="preserve">' — </t>
    </r>
    <r>
      <rPr>
        <rFont val="Noto Sans CJK SC"/>
        <color rgb="FF000000"/>
        <sz val="10.0"/>
      </rPr>
      <t>입력 형식의 기준 예시</t>
    </r>
  </si>
  <si>
    <r>
      <rPr>
        <rFont val="맑은 고딕"/>
        <b/>
        <color rgb="FF000000"/>
        <sz val="10.0"/>
      </rPr>
      <t>S01_</t>
    </r>
    <r>
      <rPr>
        <rFont val="Noto Sans CJK SC"/>
        <b/>
        <color rgb="FF000000"/>
        <sz val="10.0"/>
      </rPr>
      <t>김민준
충실형</t>
    </r>
  </si>
  <si>
    <t>형식</t>
  </si>
  <si>
    <t>입력 안내</t>
  </si>
  <si>
    <r>
      <rPr>
        <rFont val="Noto Sans CJK SC"/>
        <color rgb="FF000000"/>
        <sz val="10.0"/>
      </rPr>
      <t xml:space="preserve">대부분 값 있음 </t>
    </r>
    <r>
      <rPr>
        <rFont val="맑은 고딕"/>
        <color rgb="FF000000"/>
        <sz val="10.0"/>
      </rPr>
      <t xml:space="preserve">+ </t>
    </r>
    <r>
      <rPr>
        <rFont val="Noto Sans CJK SC"/>
        <color rgb="FF000000"/>
        <sz val="10.0"/>
      </rPr>
      <t xml:space="preserve">일부 </t>
    </r>
    <r>
      <rPr>
        <rFont val="맑은 고딕"/>
        <color rgb="FF000000"/>
        <sz val="10.0"/>
      </rPr>
      <t>'</t>
    </r>
    <r>
      <rPr>
        <rFont val="Noto Sans CJK SC"/>
        <color rgb="FF000000"/>
        <sz val="10.0"/>
      </rPr>
      <t>활동 없음</t>
    </r>
    <r>
      <rPr>
        <rFont val="맑은 고딕"/>
        <color rgb="FF000000"/>
        <sz val="10.0"/>
      </rPr>
      <t>'(</t>
    </r>
    <r>
      <rPr>
        <rFont val="Noto Sans CJK SC"/>
        <color rgb="FF000000"/>
        <sz val="10.0"/>
      </rPr>
      <t>창업</t>
    </r>
    <r>
      <rPr>
        <rFont val="맑은 고딕"/>
        <color rgb="FF000000"/>
        <sz val="10.0"/>
      </rPr>
      <t>·</t>
    </r>
    <r>
      <rPr>
        <rFont val="Noto Sans CJK SC"/>
        <color rgb="FF000000"/>
        <sz val="10.0"/>
      </rPr>
      <t>특허</t>
    </r>
    <r>
      <rPr>
        <rFont val="맑은 고딕"/>
        <color rgb="FF000000"/>
        <sz val="10.0"/>
      </rPr>
      <t>·</t>
    </r>
    <r>
      <rPr>
        <rFont val="Noto Sans CJK SC"/>
        <color rgb="FF000000"/>
        <sz val="10.0"/>
      </rPr>
      <t>해외</t>
    </r>
    <r>
      <rPr>
        <rFont val="맑은 고딕"/>
        <color rgb="FF000000"/>
        <sz val="10.0"/>
      </rPr>
      <t xml:space="preserve">) → </t>
    </r>
    <r>
      <rPr>
        <rFont val="Noto Sans CJK SC"/>
        <color rgb="FF000000"/>
        <sz val="10.0"/>
      </rPr>
      <t>높은 충족도</t>
    </r>
    <r>
      <rPr>
        <rFont val="맑은 고딕"/>
        <color rgb="FF000000"/>
        <sz val="10.0"/>
      </rPr>
      <t xml:space="preserve">, </t>
    </r>
    <r>
      <rPr>
        <rFont val="Noto Sans CJK SC"/>
        <color rgb="FF000000"/>
        <sz val="10.0"/>
      </rPr>
      <t xml:space="preserve">활동 없음은 </t>
    </r>
    <r>
      <rPr>
        <rFont val="맑은 고딕"/>
        <color rgb="FF000000"/>
        <sz val="10.0"/>
      </rPr>
      <t>0</t>
    </r>
    <r>
      <rPr>
        <rFont val="Noto Sans CJK SC"/>
        <color rgb="FF000000"/>
        <sz val="10.0"/>
      </rPr>
      <t>점 처리되는지 확인</t>
    </r>
  </si>
  <si>
    <r>
      <rPr>
        <rFont val="맑은 고딕"/>
        <b/>
        <color rgb="FF000000"/>
        <sz val="10.0"/>
      </rPr>
      <t>S02_</t>
    </r>
    <r>
      <rPr>
        <rFont val="Noto Sans CJK SC"/>
        <b/>
        <color rgb="FF000000"/>
        <sz val="10.0"/>
      </rPr>
      <t>이서연
일부 누락형</t>
    </r>
  </si>
  <si>
    <r>
      <rPr>
        <rFont val="맑은 고딕"/>
        <color rgb="FF000000"/>
        <sz val="10.0"/>
      </rPr>
      <t>LMS·</t>
    </r>
    <r>
      <rPr>
        <rFont val="Noto Sans CJK SC"/>
        <color rgb="FF000000"/>
        <sz val="10.0"/>
      </rPr>
      <t>진단</t>
    </r>
    <r>
      <rPr>
        <rFont val="맑은 고딕"/>
        <color rgb="FF000000"/>
        <sz val="10.0"/>
      </rPr>
      <t>·</t>
    </r>
    <r>
      <rPr>
        <rFont val="Noto Sans CJK SC"/>
        <color rgb="FF000000"/>
        <sz val="10.0"/>
      </rPr>
      <t xml:space="preserve">동료평가 등 시스템 항목이 </t>
    </r>
    <r>
      <rPr>
        <rFont val="맑은 고딕"/>
        <color rgb="FF000000"/>
        <sz val="10.0"/>
      </rPr>
      <t>'</t>
    </r>
    <r>
      <rPr>
        <rFont val="Noto Sans CJK SC"/>
        <color rgb="FF000000"/>
        <sz val="10.0"/>
      </rPr>
      <t>미수집</t>
    </r>
    <r>
      <rPr>
        <rFont val="맑은 고딕"/>
        <color rgb="FF000000"/>
        <sz val="10.0"/>
      </rPr>
      <t xml:space="preserve">' + </t>
    </r>
    <r>
      <rPr>
        <rFont val="Noto Sans CJK SC"/>
        <color rgb="FF000000"/>
        <sz val="10.0"/>
      </rPr>
      <t xml:space="preserve">공학인증 </t>
    </r>
    <r>
      <rPr>
        <rFont val="맑은 고딕"/>
        <color rgb="FF000000"/>
        <sz val="10.0"/>
      </rPr>
      <t>'</t>
    </r>
    <r>
      <rPr>
        <rFont val="Noto Sans CJK SC"/>
        <color rgb="FF000000"/>
        <sz val="10.0"/>
      </rPr>
      <t>해당 없음</t>
    </r>
    <r>
      <rPr>
        <rFont val="맑은 고딕"/>
        <color rgb="FF000000"/>
        <sz val="10.0"/>
      </rPr>
      <t xml:space="preserve">' → </t>
    </r>
    <r>
      <rPr>
        <rFont val="Noto Sans CJK SC"/>
        <color rgb="FF000000"/>
        <sz val="10.0"/>
      </rPr>
      <t xml:space="preserve">미수집이 </t>
    </r>
    <r>
      <rPr>
        <rFont val="맑은 고딕"/>
        <color rgb="FF000000"/>
        <sz val="10.0"/>
      </rPr>
      <t>0</t>
    </r>
    <r>
      <rPr>
        <rFont val="Noto Sans CJK SC"/>
        <color rgb="FF000000"/>
        <sz val="10.0"/>
      </rPr>
      <t>점 처리되지 않는지</t>
    </r>
    <r>
      <rPr>
        <rFont val="맑은 고딕"/>
        <color rgb="FF000000"/>
        <sz val="10.0"/>
      </rPr>
      <t xml:space="preserve">, </t>
    </r>
    <r>
      <rPr>
        <rFont val="Noto Sans CJK SC"/>
        <color rgb="FF000000"/>
        <sz val="10.0"/>
      </rPr>
      <t>해당 역량 충족도가 낮아지는지 확인</t>
    </r>
  </si>
  <si>
    <r>
      <rPr>
        <rFont val="맑은 고딕"/>
        <b/>
        <color rgb="FF000000"/>
        <sz val="10.0"/>
      </rPr>
      <t>S03_</t>
    </r>
    <r>
      <rPr>
        <rFont val="Noto Sans CJK SC"/>
        <b/>
        <color rgb="FF000000"/>
        <sz val="10.0"/>
      </rPr>
      <t>박지호
정보 적은 신입생형</t>
    </r>
  </si>
  <si>
    <r>
      <rPr>
        <rFont val="맑은 고딕"/>
        <color rgb="FF000000"/>
        <sz val="10.0"/>
      </rPr>
      <t>1</t>
    </r>
    <r>
      <rPr>
        <rFont val="Noto Sans CJK SC"/>
        <color rgb="FF000000"/>
        <sz val="10.0"/>
      </rPr>
      <t>학기만 이수</t>
    </r>
    <r>
      <rPr>
        <rFont val="맑은 고딕"/>
        <color rgb="FF000000"/>
        <sz val="10.0"/>
      </rPr>
      <t xml:space="preserve">, </t>
    </r>
    <r>
      <rPr>
        <rFont val="Noto Sans CJK SC"/>
        <color rgb="FF000000"/>
        <sz val="10.0"/>
      </rPr>
      <t xml:space="preserve">대부분 </t>
    </r>
    <r>
      <rPr>
        <rFont val="맑은 고딕"/>
        <color rgb="FF000000"/>
        <sz val="10.0"/>
      </rPr>
      <t>'</t>
    </r>
    <r>
      <rPr>
        <rFont val="Noto Sans CJK SC"/>
        <color rgb="FF000000"/>
        <sz val="10.0"/>
      </rPr>
      <t>활동 없음</t>
    </r>
    <r>
      <rPr>
        <rFont val="맑은 고딕"/>
        <color rgb="FF000000"/>
        <sz val="10.0"/>
      </rPr>
      <t xml:space="preserve">' → </t>
    </r>
    <r>
      <rPr>
        <rFont val="Noto Sans CJK SC"/>
        <color rgb="FF000000"/>
        <sz val="10.0"/>
      </rPr>
      <t>학년 보정</t>
    </r>
    <r>
      <rPr>
        <rFont val="맑은 고딕"/>
        <color rgb="FF000000"/>
        <sz val="10.0"/>
      </rPr>
      <t>(</t>
    </r>
    <r>
      <rPr>
        <rFont val="Noto Sans CJK SC"/>
        <color rgb="FF000000"/>
        <sz val="10.0"/>
      </rPr>
      <t xml:space="preserve">이수 </t>
    </r>
    <r>
      <rPr>
        <rFont val="맑은 고딕"/>
        <color rgb="FF000000"/>
        <sz val="10.0"/>
      </rPr>
      <t>1</t>
    </r>
    <r>
      <rPr>
        <rFont val="Noto Sans CJK SC"/>
        <color rgb="FF000000"/>
        <sz val="10.0"/>
      </rPr>
      <t>학기</t>
    </r>
    <r>
      <rPr>
        <rFont val="맑은 고딕"/>
        <color rgb="FF000000"/>
        <sz val="10.0"/>
      </rPr>
      <t>)</t>
    </r>
    <r>
      <rPr>
        <rFont val="Noto Sans CJK SC"/>
        <color rgb="FF000000"/>
        <sz val="10.0"/>
      </rPr>
      <t>이 적용되는지</t>
    </r>
    <r>
      <rPr>
        <rFont val="맑은 고딕"/>
        <color rgb="FF000000"/>
        <sz val="10.0"/>
      </rPr>
      <t xml:space="preserve">, </t>
    </r>
    <r>
      <rPr>
        <rFont val="Noto Sans CJK SC"/>
        <color rgb="FF000000"/>
        <sz val="10.0"/>
      </rPr>
      <t xml:space="preserve">어학 </t>
    </r>
    <r>
      <rPr>
        <rFont val="맑은 고딕"/>
        <color rgb="FF000000"/>
        <sz val="10.0"/>
      </rPr>
      <t>'</t>
    </r>
    <r>
      <rPr>
        <rFont val="Noto Sans CJK SC"/>
        <color rgb="FF000000"/>
        <sz val="10.0"/>
      </rPr>
      <t>미수집</t>
    </r>
    <r>
      <rPr>
        <rFont val="맑은 고딕"/>
        <color rgb="FF000000"/>
        <sz val="10.0"/>
      </rPr>
      <t>'</t>
    </r>
    <r>
      <rPr>
        <rFont val="Noto Sans CJK SC"/>
        <color rgb="FF000000"/>
        <sz val="10.0"/>
      </rPr>
      <t xml:space="preserve">과 자격증 </t>
    </r>
    <r>
      <rPr>
        <rFont val="맑은 고딕"/>
        <color rgb="FF000000"/>
        <sz val="10.0"/>
      </rPr>
      <t>'</t>
    </r>
    <r>
      <rPr>
        <rFont val="Noto Sans CJK SC"/>
        <color rgb="FF000000"/>
        <sz val="10.0"/>
      </rPr>
      <t>활동 없음</t>
    </r>
    <r>
      <rPr>
        <rFont val="맑은 고딕"/>
        <color rgb="FF000000"/>
        <sz val="10.0"/>
      </rPr>
      <t>'</t>
    </r>
    <r>
      <rPr>
        <rFont val="Noto Sans CJK SC"/>
        <color rgb="FF000000"/>
        <sz val="10.0"/>
      </rPr>
      <t>이 다르게 처리되는지 확인</t>
    </r>
  </si>
  <si>
    <r>
      <rPr>
        <rFont val="맑은 고딕"/>
        <b/>
        <color rgb="FF000000"/>
        <sz val="10.0"/>
      </rPr>
      <t>S04_</t>
    </r>
    <r>
      <rPr>
        <rFont val="Noto Sans CJK SC"/>
        <b/>
        <color rgb="FF000000"/>
        <sz val="10.0"/>
      </rPr>
      <t>최유진
다수 누락형</t>
    </r>
  </si>
  <si>
    <r>
      <rPr>
        <rFont val="Noto Sans CJK SC"/>
        <color rgb="FF000000"/>
        <sz val="10.0"/>
      </rPr>
      <t>성적</t>
    </r>
    <r>
      <rPr>
        <rFont val="맑은 고딕"/>
        <color rgb="FF000000"/>
        <sz val="10.0"/>
      </rPr>
      <t>·</t>
    </r>
    <r>
      <rPr>
        <rFont val="Noto Sans CJK SC"/>
        <color rgb="FF000000"/>
        <sz val="10.0"/>
      </rPr>
      <t>수강</t>
    </r>
    <r>
      <rPr>
        <rFont val="맑은 고딕"/>
        <color rgb="FF000000"/>
        <sz val="10.0"/>
      </rPr>
      <t>·3</t>
    </r>
    <r>
      <rPr>
        <rFont val="Noto Sans CJK SC"/>
        <color rgb="FF000000"/>
        <sz val="10.0"/>
      </rPr>
      <t>품</t>
    </r>
    <r>
      <rPr>
        <rFont val="맑은 고딕"/>
        <color rgb="FF000000"/>
        <sz val="10.0"/>
      </rPr>
      <t>·</t>
    </r>
    <r>
      <rPr>
        <rFont val="Noto Sans CJK SC"/>
        <color rgb="FF000000"/>
        <sz val="10.0"/>
      </rPr>
      <t>비교과만 있고 나머지 대부분 미수집</t>
    </r>
    <r>
      <rPr>
        <rFont val="맑은 고딕"/>
        <color rgb="FF000000"/>
        <sz val="10.0"/>
      </rPr>
      <t>(</t>
    </r>
    <r>
      <rPr>
        <rFont val="Noto Sans CJK SC"/>
        <color rgb="FF000000"/>
        <sz val="10.0"/>
      </rPr>
      <t>일부는 상태조차 미선택</t>
    </r>
    <r>
      <rPr>
        <rFont val="맑은 고딕"/>
        <color rgb="FF000000"/>
        <sz val="10.0"/>
      </rPr>
      <t xml:space="preserve">) → </t>
    </r>
    <r>
      <rPr>
        <rFont val="Noto Sans CJK SC"/>
        <color rgb="FF000000"/>
        <sz val="10.0"/>
      </rPr>
      <t xml:space="preserve">대부분 역량 </t>
    </r>
    <r>
      <rPr>
        <rFont val="맑은 고딕"/>
        <color rgb="FF000000"/>
        <sz val="10.0"/>
      </rPr>
      <t>'</t>
    </r>
    <r>
      <rPr>
        <rFont val="Noto Sans CJK SC"/>
        <color rgb="FF000000"/>
        <sz val="10.0"/>
      </rPr>
      <t>판정 보류</t>
    </r>
    <r>
      <rPr>
        <rFont val="맑은 고딕"/>
        <color rgb="FF000000"/>
        <sz val="10.0"/>
      </rPr>
      <t>'</t>
    </r>
    <r>
      <rPr>
        <rFont val="Noto Sans CJK SC"/>
        <color rgb="FF000000"/>
        <sz val="10.0"/>
      </rPr>
      <t>가 나와야 정상</t>
    </r>
  </si>
  <si>
    <r>
      <rPr>
        <rFont val="맑은 고딕"/>
        <b/>
        <color rgb="FF000000"/>
        <sz val="10.0"/>
      </rPr>
      <t>S05_</t>
    </r>
    <r>
      <rPr>
        <rFont val="Noto Sans CJK SC"/>
        <b/>
        <color rgb="FF000000"/>
        <sz val="10.0"/>
      </rPr>
      <t>정하늘
비정형</t>
    </r>
    <r>
      <rPr>
        <rFont val="맑은 고딕"/>
        <b/>
        <color rgb="FF000000"/>
        <sz val="10.0"/>
      </rPr>
      <t>·</t>
    </r>
    <r>
      <rPr>
        <rFont val="Noto Sans CJK SC"/>
        <b/>
        <color rgb="FF000000"/>
        <sz val="10.0"/>
      </rPr>
      <t>오류 입력형</t>
    </r>
  </si>
  <si>
    <r>
      <rPr>
        <rFont val="Noto Sans CJK SC"/>
        <color rgb="FF7F7F7F"/>
        <sz val="9.0"/>
      </rPr>
      <t xml:space="preserve">숫자 </t>
    </r>
    <r>
      <rPr>
        <rFont val="맑은 고딕"/>
        <color rgb="FF7F7F7F"/>
        <sz val="9.0"/>
      </rPr>
      <t>10</t>
    </r>
    <r>
      <rPr>
        <rFont val="Noto Sans CJK SC"/>
        <color rgb="FF7F7F7F"/>
        <sz val="9.0"/>
      </rPr>
      <t>자리</t>
    </r>
    <r>
      <rPr>
        <rFont val="맑은 고딕"/>
        <color rgb="FF7F7F7F"/>
        <sz val="9.0"/>
      </rPr>
      <t>(</t>
    </r>
    <r>
      <rPr>
        <rFont val="Noto Sans CJK SC"/>
        <color rgb="FF7F7F7F"/>
        <sz val="9.0"/>
      </rPr>
      <t>텍스트</t>
    </r>
    <r>
      <rPr>
        <rFont val="맑은 고딕"/>
        <color rgb="FF7F7F7F"/>
        <sz val="9.0"/>
      </rPr>
      <t>)</t>
    </r>
  </si>
  <si>
    <r>
      <rPr>
        <rFont val="Noto Sans CJK SC"/>
        <color rgb="FF000000"/>
        <sz val="10.0"/>
      </rPr>
      <t>자유서술</t>
    </r>
    <r>
      <rPr>
        <rFont val="맑은 고딕"/>
        <color rgb="FF000000"/>
        <sz val="10.0"/>
      </rPr>
      <t>·</t>
    </r>
    <r>
      <rPr>
        <rFont val="Noto Sans CJK SC"/>
        <color rgb="FF000000"/>
        <sz val="10.0"/>
      </rPr>
      <t>단위 포함</t>
    </r>
    <r>
      <rPr>
        <rFont val="맑은 고딕"/>
        <color rgb="FF000000"/>
        <sz val="10.0"/>
      </rPr>
      <t>·</t>
    </r>
    <r>
      <rPr>
        <rFont val="Noto Sans CJK SC"/>
        <color rgb="FF000000"/>
        <sz val="10.0"/>
      </rPr>
      <t>날짜형식 혼재</t>
    </r>
    <r>
      <rPr>
        <rFont val="맑은 고딕"/>
        <color rgb="FF000000"/>
        <sz val="10.0"/>
      </rPr>
      <t>·</t>
    </r>
    <r>
      <rPr>
        <rFont val="Noto Sans CJK SC"/>
        <color rgb="FF000000"/>
        <sz val="10.0"/>
      </rPr>
      <t>한 칸 여러 값</t>
    </r>
    <r>
      <rPr>
        <rFont val="맑은 고딕"/>
        <color rgb="FF000000"/>
        <sz val="10.0"/>
      </rPr>
      <t>·</t>
    </r>
    <r>
      <rPr>
        <rFont val="Noto Sans CJK SC"/>
        <color rgb="FF000000"/>
        <sz val="10.0"/>
      </rPr>
      <t>상태</t>
    </r>
    <r>
      <rPr>
        <rFont val="맑은 고딕"/>
        <color rgb="FF000000"/>
        <sz val="10.0"/>
      </rPr>
      <t>-</t>
    </r>
    <r>
      <rPr>
        <rFont val="Noto Sans CJK SC"/>
        <color rgb="FF000000"/>
        <sz val="10.0"/>
      </rPr>
      <t>값 불일치 → 파싱 규칙과 ⚠ 자동점검이 잡아내는지 확인</t>
    </r>
  </si>
  <si>
    <t>학사시스템 학번 그대로</t>
  </si>
  <si>
    <r>
      <rPr>
        <rFont val="맑은 고딕"/>
        <b/>
        <color rgb="FF000000"/>
        <sz val="10.0"/>
      </rPr>
      <t>S06_</t>
    </r>
    <r>
      <rPr>
        <rFont val="Noto Sans CJK SC"/>
        <b/>
        <color rgb="FF000000"/>
        <sz val="10.0"/>
      </rPr>
      <t>한도윤
편입</t>
    </r>
    <r>
      <rPr>
        <rFont val="맑은 고딕"/>
        <b/>
        <color rgb="FF000000"/>
        <sz val="10.0"/>
      </rPr>
      <t>·</t>
    </r>
    <r>
      <rPr>
        <rFont val="Noto Sans CJK SC"/>
        <b/>
        <color rgb="FF000000"/>
        <sz val="10.0"/>
      </rPr>
      <t xml:space="preserve">편중형 </t>
    </r>
    <r>
      <rPr>
        <rFont val="맑은 고딕"/>
        <b/>
        <color rgb="FF000000"/>
        <sz val="10.0"/>
      </rPr>
      <t xml:space="preserve">+ </t>
    </r>
    <r>
      <rPr>
        <rFont val="Noto Sans CJK SC"/>
        <b/>
        <color rgb="FF000000"/>
        <sz val="10.0"/>
      </rPr>
      <t>기본정보 불일치</t>
    </r>
  </si>
  <si>
    <r>
      <rPr>
        <rFont val="Noto Sans CJK SC"/>
        <color rgb="FF000000"/>
        <sz val="9.0"/>
      </rPr>
      <t>학업</t>
    </r>
    <r>
      <rPr>
        <rFont val="맑은 고딕"/>
        <color rgb="FF000000"/>
        <sz val="9.0"/>
      </rPr>
      <t>·</t>
    </r>
    <r>
      <rPr>
        <rFont val="Noto Sans CJK SC"/>
        <color rgb="FF000000"/>
        <sz val="9.0"/>
      </rPr>
      <t>교과</t>
    </r>
  </si>
  <si>
    <r>
      <rPr>
        <rFont val="Noto Sans CJK SC"/>
        <color rgb="FF000000"/>
        <sz val="10.0"/>
      </rPr>
      <t xml:space="preserve">편입 후 본교 </t>
    </r>
    <r>
      <rPr>
        <rFont val="맑은 고딕"/>
        <color rgb="FF000000"/>
        <sz val="10.0"/>
      </rPr>
      <t>1</t>
    </r>
    <r>
      <rPr>
        <rFont val="Noto Sans CJK SC"/>
        <color rgb="FF000000"/>
        <sz val="10.0"/>
      </rPr>
      <t>학기</t>
    </r>
    <r>
      <rPr>
        <rFont val="맑은 고딕"/>
        <color rgb="FF000000"/>
        <sz val="10.0"/>
      </rPr>
      <t xml:space="preserve">, </t>
    </r>
    <r>
      <rPr>
        <rFont val="Noto Sans CJK SC"/>
        <color rgb="FF000000"/>
        <sz val="10.0"/>
      </rPr>
      <t>글로벌</t>
    </r>
    <r>
      <rPr>
        <rFont val="맑은 고딕"/>
        <color rgb="FF000000"/>
        <sz val="10.0"/>
      </rPr>
      <t>·</t>
    </r>
    <r>
      <rPr>
        <rFont val="Noto Sans CJK SC"/>
        <color rgb="FF000000"/>
        <sz val="10.0"/>
      </rPr>
      <t>어학 데이터만 풍부</t>
    </r>
    <r>
      <rPr>
        <rFont val="맑은 고딕"/>
        <color rgb="FF000000"/>
        <sz val="10.0"/>
      </rPr>
      <t xml:space="preserve">, </t>
    </r>
    <r>
      <rPr>
        <rFont val="Noto Sans CJK SC"/>
        <color rgb="FF000000"/>
        <sz val="10.0"/>
      </rPr>
      <t>시트 학년</t>
    </r>
    <r>
      <rPr>
        <rFont val="맑은 고딕"/>
        <color rgb="FF000000"/>
        <sz val="10.0"/>
      </rPr>
      <t>(4)≠</t>
    </r>
    <r>
      <rPr>
        <rFont val="Noto Sans CJK SC"/>
        <color rgb="FF000000"/>
        <sz val="10.0"/>
      </rPr>
      <t>학사 명부</t>
    </r>
    <r>
      <rPr>
        <rFont val="맑은 고딕"/>
        <color rgb="FF000000"/>
        <sz val="10.0"/>
      </rPr>
      <t>(3) → '</t>
    </r>
    <r>
      <rPr>
        <rFont val="Noto Sans CJK SC"/>
        <color rgb="FF000000"/>
        <sz val="10.0"/>
      </rPr>
      <t>데이터 불일치 경고</t>
    </r>
    <r>
      <rPr>
        <rFont val="맑은 고딕"/>
        <color rgb="FF000000"/>
        <sz val="10.0"/>
      </rPr>
      <t>'</t>
    </r>
    <r>
      <rPr>
        <rFont val="Noto Sans CJK SC"/>
        <color rgb="FF000000"/>
        <sz val="10.0"/>
      </rPr>
      <t xml:space="preserve">와 편입생 공학인증 </t>
    </r>
    <r>
      <rPr>
        <rFont val="맑은 고딕"/>
        <color rgb="FF000000"/>
        <sz val="10.0"/>
      </rPr>
      <t>'</t>
    </r>
    <r>
      <rPr>
        <rFont val="Noto Sans CJK SC"/>
        <color rgb="FF000000"/>
        <sz val="10.0"/>
      </rPr>
      <t>해당 없음</t>
    </r>
    <r>
      <rPr>
        <rFont val="맑은 고딕"/>
        <color rgb="FF000000"/>
        <sz val="10.0"/>
      </rPr>
      <t xml:space="preserve">' </t>
    </r>
    <r>
      <rPr>
        <rFont val="Noto Sans CJK SC"/>
        <color rgb="FF000000"/>
        <sz val="10.0"/>
      </rPr>
      <t>처리 확인</t>
    </r>
  </si>
  <si>
    <t>수업유형별 성적</t>
  </si>
  <si>
    <t>기존</t>
  </si>
  <si>
    <r>
      <rPr>
        <rFont val="맑은 고딕"/>
        <b/>
        <color rgb="FFFFFFFF"/>
        <sz val="11.0"/>
      </rPr>
      <t xml:space="preserve">4. </t>
    </r>
    <r>
      <rPr>
        <rFont val="Noto Sans CJK SC"/>
        <b/>
        <color rgb="FFFFFFFF"/>
        <sz val="11.0"/>
      </rPr>
      <t>색 범례</t>
    </r>
  </si>
  <si>
    <t>텍스트</t>
  </si>
  <si>
    <r>
      <rPr>
        <rFont val="Noto Sans CJK SC"/>
        <color rgb="FF7F7F7F"/>
        <sz val="9.0"/>
      </rPr>
      <t>예</t>
    </r>
    <r>
      <rPr>
        <rFont val="맑은 고딕"/>
        <color rgb="FF7F7F7F"/>
        <sz val="9.0"/>
      </rPr>
      <t xml:space="preserve">: </t>
    </r>
    <r>
      <rPr>
        <rFont val="Noto Sans CJK SC"/>
        <color rgb="FF7F7F7F"/>
        <sz val="9.0"/>
      </rPr>
      <t>공과대학</t>
    </r>
  </si>
  <si>
    <t>직접 입력하는 칸</t>
  </si>
  <si>
    <r>
      <rPr>
        <rFont val="Noto Sans CJK SC"/>
        <b/>
        <color rgb="FF000000"/>
        <sz val="10.0"/>
      </rPr>
      <t>주전공</t>
    </r>
    <r>
      <rPr>
        <rFont val="맑은 고딕"/>
        <b/>
        <color rgb="FF000000"/>
        <sz val="10.0"/>
      </rPr>
      <t>(</t>
    </r>
    <r>
      <rPr>
        <rFont val="Noto Sans CJK SC"/>
        <b/>
        <color rgb="FF000000"/>
        <sz val="10.0"/>
      </rPr>
      <t>학과</t>
    </r>
    <r>
      <rPr>
        <rFont val="맑은 고딕"/>
        <b/>
        <color rgb="FF000000"/>
        <sz val="10.0"/>
      </rPr>
      <t>)</t>
    </r>
  </si>
  <si>
    <r>
      <rPr>
        <rFont val="Noto Sans CJK SC"/>
        <color rgb="FF7F7F7F"/>
        <sz val="9.0"/>
      </rPr>
      <t>예</t>
    </r>
    <r>
      <rPr>
        <rFont val="맑은 고딕"/>
        <color rgb="FF7F7F7F"/>
        <sz val="9.0"/>
      </rPr>
      <t xml:space="preserve">: </t>
    </r>
    <r>
      <rPr>
        <rFont val="Noto Sans CJK SC"/>
        <color rgb="FF7F7F7F"/>
        <sz val="9.0"/>
      </rPr>
      <t>기계공학부</t>
    </r>
  </si>
  <si>
    <r>
      <rPr>
        <rFont val="Noto Sans CJK SC"/>
        <color rgb="FF000000"/>
        <sz val="10.0"/>
      </rPr>
      <t>기존 항목</t>
    </r>
    <r>
      <rPr>
        <rFont val="맑은 고딕"/>
        <color rgb="FF000000"/>
        <sz val="10.0"/>
      </rPr>
      <t>(</t>
    </r>
    <r>
      <rPr>
        <rFont val="Noto Sans CJK SC"/>
        <color rgb="FF000000"/>
        <sz val="10.0"/>
      </rPr>
      <t>블록 머리</t>
    </r>
    <r>
      <rPr>
        <rFont val="맑은 고딕"/>
        <color rgb="FF000000"/>
        <sz val="10.0"/>
      </rPr>
      <t>)</t>
    </r>
  </si>
  <si>
    <r>
      <rPr>
        <rFont val="Noto Sans CJK SC"/>
        <color rgb="FF7F7F7F"/>
        <sz val="9.0"/>
      </rPr>
      <t xml:space="preserve">숫자 </t>
    </r>
    <r>
      <rPr>
        <rFont val="맑은 고딕"/>
        <color rgb="FF7F7F7F"/>
        <sz val="9.0"/>
      </rPr>
      <t>1~6</t>
    </r>
  </si>
  <si>
    <r>
      <rPr>
        <rFont val="Noto Sans CJK SC"/>
        <color rgb="FF595959"/>
        <sz val="9.0"/>
      </rPr>
      <t>블록 머리 색은 마스터 시트의 확보 구분 색과 같습니다</t>
    </r>
    <r>
      <rPr>
        <rFont val="맑은 고딕"/>
        <color rgb="FF595959"/>
        <sz val="9.0"/>
      </rPr>
      <t>.</t>
    </r>
  </si>
  <si>
    <r>
      <rPr>
        <rFont val="Noto Sans CJK SC"/>
        <color rgb="FF7F7F7F"/>
        <sz val="9.0"/>
      </rPr>
      <t>학사시스템 기준 현재 학년</t>
    </r>
    <r>
      <rPr>
        <rFont val="맑은 고딕"/>
        <color rgb="FF7F7F7F"/>
        <sz val="9.0"/>
      </rPr>
      <t>(</t>
    </r>
    <r>
      <rPr>
        <rFont val="Noto Sans CJK SC"/>
        <color rgb="FF7F7F7F"/>
        <sz val="9.0"/>
      </rPr>
      <t>숫자만</t>
    </r>
    <r>
      <rPr>
        <rFont val="맑은 고딕"/>
        <color rgb="FF7F7F7F"/>
        <sz val="9.0"/>
      </rPr>
      <t>)</t>
    </r>
  </si>
  <si>
    <t>이수 완료 학기 수</t>
  </si>
  <si>
    <r>
      <rPr>
        <rFont val="맑은 고딕"/>
        <color rgb="FF000000"/>
        <sz val="10.0"/>
      </rPr>
      <t xml:space="preserve">SKKU </t>
    </r>
    <r>
      <rPr>
        <rFont val="Noto Sans CJK SC"/>
        <color rgb="FF000000"/>
        <sz val="10.0"/>
      </rPr>
      <t>확보가능</t>
    </r>
    <r>
      <rPr>
        <rFont val="맑은 고딕"/>
        <color rgb="FF000000"/>
        <sz val="10.0"/>
      </rPr>
      <t>(</t>
    </r>
    <r>
      <rPr>
        <rFont val="Noto Sans CJK SC"/>
        <color rgb="FF000000"/>
        <sz val="10.0"/>
      </rPr>
      <t>블록 머리</t>
    </r>
    <r>
      <rPr>
        <rFont val="맑은 고딕"/>
        <color rgb="FF000000"/>
        <sz val="10.0"/>
      </rPr>
      <t>)</t>
    </r>
  </si>
  <si>
    <r>
      <rPr>
        <rFont val="Noto Sans CJK SC"/>
        <color rgb="FF7F7F7F"/>
        <sz val="9.0"/>
      </rPr>
      <t>휴학 학기 제외</t>
    </r>
    <r>
      <rPr>
        <rFont val="맑은 고딕"/>
        <color rgb="FF7F7F7F"/>
        <sz val="9.0"/>
      </rPr>
      <t xml:space="preserve">, </t>
    </r>
    <r>
      <rPr>
        <rFont val="Noto Sans CJK SC"/>
        <color rgb="FF7F7F7F"/>
        <sz val="9.0"/>
      </rPr>
      <t>본교 기준</t>
    </r>
    <r>
      <rPr>
        <rFont val="맑은 고딕"/>
        <color rgb="FF7F7F7F"/>
        <sz val="9.0"/>
      </rPr>
      <t xml:space="preserve">. </t>
    </r>
    <r>
      <rPr>
        <rFont val="Noto Sans CJK SC"/>
        <color rgb="FF7F7F7F"/>
        <sz val="9.0"/>
      </rPr>
      <t>학년 보정에 사용</t>
    </r>
  </si>
  <si>
    <r>
      <rPr>
        <rFont val="Noto Sans CJK SC"/>
        <color rgb="FF595959"/>
        <sz val="9.0"/>
      </rPr>
      <t>블록 머리 색은 마스터 시트의 확보 구분 색과 같습니다</t>
    </r>
    <r>
      <rPr>
        <rFont val="맑은 고딕"/>
        <color rgb="FF595959"/>
        <sz val="9.0"/>
      </rPr>
      <t>.</t>
    </r>
  </si>
  <si>
    <t>학적 구분</t>
  </si>
  <si>
    <r>
      <rPr>
        <rFont val="Noto Sans CJK SC"/>
        <color rgb="FF000000"/>
        <sz val="10.0"/>
      </rPr>
      <t>추가 제안</t>
    </r>
    <r>
      <rPr>
        <rFont val="맑은 고딕"/>
        <color rgb="FF000000"/>
        <sz val="10.0"/>
      </rPr>
      <t>(</t>
    </r>
    <r>
      <rPr>
        <rFont val="Noto Sans CJK SC"/>
        <color rgb="FF000000"/>
        <sz val="10.0"/>
      </rPr>
      <t>블록 머리</t>
    </r>
    <r>
      <rPr>
        <rFont val="맑은 고딕"/>
        <color rgb="FF000000"/>
        <sz val="10.0"/>
      </rPr>
      <t>)</t>
    </r>
  </si>
  <si>
    <r>
      <rPr>
        <rFont val="맑은 고딕"/>
        <color rgb="FF000000"/>
        <sz val="9.0"/>
      </rPr>
      <t>34</t>
    </r>
    <r>
      <rPr>
        <rFont val="Noto Sans CJK SC"/>
        <color rgb="FF000000"/>
        <sz val="9.0"/>
      </rPr>
      <t xml:space="preserve">개 카테고리 전부 </t>
    </r>
    <r>
      <rPr>
        <rFont val="맑은 고딕"/>
        <color rgb="FF000000"/>
        <sz val="9.0"/>
      </rPr>
      <t>'</t>
    </r>
    <r>
      <rPr>
        <rFont val="Noto Sans CJK SC"/>
        <color rgb="FF000000"/>
        <sz val="9.0"/>
      </rPr>
      <t>값 있음</t>
    </r>
    <r>
      <rPr>
        <rFont val="맑은 고딕"/>
        <color rgb="FF000000"/>
        <sz val="9.0"/>
      </rPr>
      <t xml:space="preserve">' — </t>
    </r>
    <r>
      <rPr>
        <rFont val="Noto Sans CJK SC"/>
        <color rgb="FF000000"/>
        <sz val="9.0"/>
      </rPr>
      <t>입력 형식의 기준 예시</t>
    </r>
  </si>
  <si>
    <r>
      <rPr>
        <rFont val="Noto Sans CJK SC"/>
        <color rgb="FF595959"/>
        <sz val="9.0"/>
      </rPr>
      <t>블록 머리 색은 마스터 시트의 확보 구분 색과 같습니다</t>
    </r>
    <r>
      <rPr>
        <rFont val="맑은 고딕"/>
        <color rgb="FF595959"/>
        <sz val="9.0"/>
      </rPr>
      <t>.</t>
    </r>
  </si>
  <si>
    <t>목록</t>
  </si>
  <si>
    <t>대학원생은 별도 기준 적용</t>
  </si>
  <si>
    <t>입학 구분</t>
  </si>
  <si>
    <r>
      <rPr>
        <rFont val="맑은 고딕"/>
        <color rgb="FF000000"/>
        <sz val="9.0"/>
      </rPr>
      <t>S01_</t>
    </r>
    <r>
      <rPr>
        <rFont val="Noto Sans CJK SC"/>
        <color rgb="FF000000"/>
        <sz val="9.0"/>
      </rPr>
      <t>김민준</t>
    </r>
  </si>
  <si>
    <t>편입생은 본교 이수 학기만 반영</t>
  </si>
  <si>
    <t>충실형</t>
  </si>
  <si>
    <t>2023310452</t>
  </si>
  <si>
    <r>
      <rPr>
        <rFont val="Noto Sans CJK SC"/>
        <color rgb="FF000000"/>
        <sz val="9.0"/>
      </rPr>
      <t>학업</t>
    </r>
    <r>
      <rPr>
        <rFont val="맑은 고딕"/>
        <color rgb="FF000000"/>
        <sz val="9.0"/>
      </rPr>
      <t>·</t>
    </r>
    <r>
      <rPr>
        <rFont val="Noto Sans CJK SC"/>
        <color rgb="FF000000"/>
        <sz val="9.0"/>
      </rPr>
      <t>교과</t>
    </r>
  </si>
  <si>
    <t>입학 연월</t>
  </si>
  <si>
    <t>기계공학부</t>
  </si>
  <si>
    <r>
      <rPr>
        <rFont val="Noto Sans CJK SC"/>
        <color rgb="FF000000"/>
        <sz val="9.0"/>
      </rPr>
      <t>수강과목</t>
    </r>
    <r>
      <rPr>
        <rFont val="맑은 고딕"/>
        <color rgb="FF000000"/>
        <sz val="9.0"/>
      </rPr>
      <t>·</t>
    </r>
    <r>
      <rPr>
        <rFont val="Noto Sans CJK SC"/>
        <color rgb="FF000000"/>
        <sz val="9.0"/>
      </rPr>
      <t>심화</t>
    </r>
    <r>
      <rPr>
        <rFont val="맑은 고딕"/>
        <color rgb="FF000000"/>
        <sz val="9.0"/>
      </rPr>
      <t>·</t>
    </r>
    <r>
      <rPr>
        <rFont val="Noto Sans CJK SC"/>
        <color rgb="FF000000"/>
        <sz val="9.0"/>
      </rPr>
      <t>융합 이수</t>
    </r>
  </si>
  <si>
    <t>YYYY-MM</t>
  </si>
  <si>
    <r>
      <rPr>
        <rFont val="Noto Sans CJK SC"/>
        <color rgb="FF000000"/>
        <sz val="9.0"/>
      </rPr>
      <t xml:space="preserve">기존 </t>
    </r>
    <r>
      <rPr>
        <rFont val="맑은 고딕"/>
        <color rgb="FF000000"/>
        <sz val="9.0"/>
      </rPr>
      <t xml:space="preserve">+ SKKU </t>
    </r>
    <r>
      <rPr>
        <rFont val="Noto Sans CJK SC"/>
        <color rgb="FF000000"/>
        <sz val="9.0"/>
      </rPr>
      <t>확보가능</t>
    </r>
  </si>
  <si>
    <r>
      <rPr>
        <rFont val="Noto Sans CJK SC"/>
        <color rgb="FF7F7F7F"/>
        <sz val="9.0"/>
      </rPr>
      <t>예</t>
    </r>
    <r>
      <rPr>
        <rFont val="맑은 고딕"/>
        <color rgb="FF7F7F7F"/>
        <sz val="9.0"/>
      </rPr>
      <t>: 2023-03</t>
    </r>
  </si>
  <si>
    <t>학적 상태</t>
  </si>
  <si>
    <t>공학인증 대상 계열</t>
  </si>
  <si>
    <r>
      <rPr>
        <rFont val="맑은 고딕"/>
        <color rgb="FF7F7F7F"/>
        <sz val="9.0"/>
      </rPr>
      <t>N</t>
    </r>
    <r>
      <rPr>
        <rFont val="Noto Sans CJK SC"/>
        <color rgb="FF7F7F7F"/>
        <sz val="9.0"/>
      </rPr>
      <t xml:space="preserve">이면 </t>
    </r>
    <r>
      <rPr>
        <rFont val="맑은 고딕"/>
        <color rgb="FF7F7F7F"/>
        <sz val="9.0"/>
      </rPr>
      <t>4</t>
    </r>
    <r>
      <rPr>
        <rFont val="Noto Sans CJK SC"/>
        <color rgb="FF7F7F7F"/>
        <sz val="9.0"/>
      </rPr>
      <t xml:space="preserve">번 카테고리는 </t>
    </r>
    <r>
      <rPr>
        <rFont val="맑은 고딕"/>
        <color rgb="FF7F7F7F"/>
        <sz val="9.0"/>
      </rPr>
      <t>'</t>
    </r>
    <r>
      <rPr>
        <rFont val="Noto Sans CJK SC"/>
        <color rgb="FF7F7F7F"/>
        <sz val="9.0"/>
      </rPr>
      <t>해당 없음</t>
    </r>
    <r>
      <rPr>
        <rFont val="맑은 고딕"/>
        <color rgb="FF7F7F7F"/>
        <sz val="9.0"/>
      </rPr>
      <t>'</t>
    </r>
  </si>
  <si>
    <t>수집 기준일</t>
  </si>
  <si>
    <t>YYYY-MM-DD</t>
  </si>
  <si>
    <r>
      <rPr>
        <rFont val="Noto Sans CJK SC"/>
        <color rgb="FF7F7F7F"/>
        <sz val="9.0"/>
      </rPr>
      <t>데이터 추출</t>
    </r>
    <r>
      <rPr>
        <rFont val="맑은 고딕"/>
        <color rgb="FF7F7F7F"/>
        <sz val="9.0"/>
      </rPr>
      <t>(</t>
    </r>
    <r>
      <rPr>
        <rFont val="Noto Sans CJK SC"/>
        <color rgb="FF7F7F7F"/>
        <sz val="9.0"/>
      </rPr>
      <t>또는 제출</t>
    </r>
    <r>
      <rPr>
        <rFont val="맑은 고딕"/>
        <color rgb="FF7F7F7F"/>
        <sz val="9.0"/>
      </rPr>
      <t xml:space="preserve">) </t>
    </r>
    <r>
      <rPr>
        <rFont val="Noto Sans CJK SC"/>
        <color rgb="FF7F7F7F"/>
        <sz val="9.0"/>
      </rPr>
      <t>기준일</t>
    </r>
  </si>
  <si>
    <t>수집 경로</t>
  </si>
  <si>
    <r>
      <rPr>
        <rFont val="Noto Sans CJK SC"/>
        <b/>
        <color rgb="FF000000"/>
        <sz val="10.0"/>
      </rPr>
      <t>개인정보 수집</t>
    </r>
    <r>
      <rPr>
        <rFont val="맑은 고딕"/>
        <b/>
        <color rgb="FF000000"/>
        <sz val="10.0"/>
      </rPr>
      <t>·</t>
    </r>
    <r>
      <rPr>
        <rFont val="Noto Sans CJK SC"/>
        <b/>
        <color rgb="FF000000"/>
        <sz val="10.0"/>
      </rPr>
      <t>이용 동의</t>
    </r>
  </si>
  <si>
    <r>
      <rPr>
        <rFont val="맑은 고딕"/>
        <color rgb="FF7F7F7F"/>
        <sz val="9.0"/>
      </rPr>
      <t>N</t>
    </r>
    <r>
      <rPr>
        <rFont val="Noto Sans CJK SC"/>
        <color rgb="FF7F7F7F"/>
        <sz val="9.0"/>
      </rPr>
      <t>이면 평가 대상에서 제외</t>
    </r>
  </si>
  <si>
    <r>
      <rPr>
        <rFont val="Noto Sans CJK SC"/>
        <b/>
        <color rgb="FFFFFFFF"/>
        <sz val="11.0"/>
      </rPr>
      <t>■ 학업</t>
    </r>
    <r>
      <rPr>
        <rFont val="맑은 고딕"/>
        <b/>
        <color rgb="FFFFFFFF"/>
        <sz val="11.0"/>
      </rPr>
      <t>·</t>
    </r>
    <r>
      <rPr>
        <rFont val="Noto Sans CJK SC"/>
        <b/>
        <color rgb="FFFFFFFF"/>
        <sz val="11.0"/>
      </rPr>
      <t>교과</t>
    </r>
  </si>
  <si>
    <r>
      <rPr>
        <rFont val="Noto Sans CJK SC"/>
        <color rgb="FF000000"/>
        <sz val="9.0"/>
      </rPr>
      <t xml:space="preserve">대부분 값 있음 </t>
    </r>
    <r>
      <rPr>
        <rFont val="맑은 고딕"/>
        <color rgb="FF000000"/>
        <sz val="9.0"/>
      </rPr>
      <t xml:space="preserve">+ </t>
    </r>
    <r>
      <rPr>
        <rFont val="Noto Sans CJK SC"/>
        <color rgb="FF000000"/>
        <sz val="9.0"/>
      </rPr>
      <t xml:space="preserve">일부 </t>
    </r>
    <r>
      <rPr>
        <rFont val="맑은 고딕"/>
        <color rgb="FF000000"/>
        <sz val="9.0"/>
      </rPr>
      <t>'</t>
    </r>
    <r>
      <rPr>
        <rFont val="Noto Sans CJK SC"/>
        <color rgb="FF000000"/>
        <sz val="9.0"/>
      </rPr>
      <t>활동 없음</t>
    </r>
    <r>
      <rPr>
        <rFont val="맑은 고딕"/>
        <color rgb="FF000000"/>
        <sz val="9.0"/>
      </rPr>
      <t>'(</t>
    </r>
    <r>
      <rPr>
        <rFont val="Noto Sans CJK SC"/>
        <color rgb="FF000000"/>
        <sz val="9.0"/>
      </rPr>
      <t>창업</t>
    </r>
    <r>
      <rPr>
        <rFont val="맑은 고딕"/>
        <color rgb="FF000000"/>
        <sz val="9.0"/>
      </rPr>
      <t>·</t>
    </r>
    <r>
      <rPr>
        <rFont val="Noto Sans CJK SC"/>
        <color rgb="FF000000"/>
        <sz val="9.0"/>
      </rPr>
      <t>특허</t>
    </r>
    <r>
      <rPr>
        <rFont val="맑은 고딕"/>
        <color rgb="FF000000"/>
        <sz val="9.0"/>
      </rPr>
      <t>·</t>
    </r>
    <r>
      <rPr>
        <rFont val="Noto Sans CJK SC"/>
        <color rgb="FF000000"/>
        <sz val="9.0"/>
      </rPr>
      <t>해외</t>
    </r>
    <r>
      <rPr>
        <rFont val="맑은 고딕"/>
        <color rgb="FF000000"/>
        <sz val="9.0"/>
      </rPr>
      <t xml:space="preserve">) → </t>
    </r>
    <r>
      <rPr>
        <rFont val="Noto Sans CJK SC"/>
        <color rgb="FF000000"/>
        <sz val="9.0"/>
      </rPr>
      <t>높은 충족도</t>
    </r>
    <r>
      <rPr>
        <rFont val="맑은 고딕"/>
        <color rgb="FF000000"/>
        <sz val="9.0"/>
      </rPr>
      <t xml:space="preserve">, </t>
    </r>
    <r>
      <rPr>
        <rFont val="Noto Sans CJK SC"/>
        <color rgb="FF000000"/>
        <sz val="9.0"/>
      </rPr>
      <t xml:space="preserve">활동 없음은 </t>
    </r>
    <r>
      <rPr>
        <rFont val="맑은 고딕"/>
        <color rgb="FF000000"/>
        <sz val="9.0"/>
      </rPr>
      <t>0</t>
    </r>
    <r>
      <rPr>
        <rFont val="Noto Sans CJK SC"/>
        <color rgb="FF000000"/>
        <sz val="9.0"/>
      </rPr>
      <t>점 처리되는지 확인</t>
    </r>
  </si>
  <si>
    <r>
      <rPr>
        <rFont val="맑은 고딕"/>
        <color rgb="FF000000"/>
        <sz val="9.0"/>
      </rPr>
      <t>S02_</t>
    </r>
    <r>
      <rPr>
        <rFont val="Noto Sans CJK SC"/>
        <color rgb="FF000000"/>
        <sz val="9.0"/>
      </rPr>
      <t>이서연</t>
    </r>
  </si>
  <si>
    <t>일부 누락형</t>
  </si>
  <si>
    <r>
      <rPr>
        <rFont val="Noto Sans CJK SC"/>
        <b/>
        <color rgb="FF000000"/>
        <sz val="11.0"/>
      </rPr>
      <t>성적데이터</t>
    </r>
    <r>
      <rPr>
        <rFont val="맑은 고딕"/>
        <b/>
        <color rgb="FF000000"/>
        <sz val="11.0"/>
      </rPr>
      <t>(</t>
    </r>
    <r>
      <rPr>
        <rFont val="Noto Sans CJK SC"/>
        <b/>
        <color rgb="FF000000"/>
        <sz val="11.0"/>
      </rPr>
      <t>전공</t>
    </r>
    <r>
      <rPr>
        <rFont val="맑은 고딕"/>
        <b/>
        <color rgb="FF000000"/>
        <sz val="11.0"/>
      </rPr>
      <t>·</t>
    </r>
    <r>
      <rPr>
        <rFont val="Noto Sans CJK SC"/>
        <b/>
        <color rgb="FF000000"/>
        <sz val="11.0"/>
      </rPr>
      <t>학기별</t>
    </r>
    <r>
      <rPr>
        <rFont val="맑은 고딕"/>
        <b/>
        <color rgb="FF000000"/>
        <sz val="11.0"/>
      </rPr>
      <t>)</t>
    </r>
  </si>
  <si>
    <t>2024311187</t>
  </si>
  <si>
    <t>경영대학</t>
  </si>
  <si>
    <t>경영학과</t>
  </si>
  <si>
    <t>데이터 상태 ▶</t>
  </si>
  <si>
    <r>
      <rPr>
        <rFont val="Noto Sans CJK SC"/>
        <color rgb="FF000000"/>
        <sz val="9.0"/>
      </rPr>
      <t>학업</t>
    </r>
    <r>
      <rPr>
        <rFont val="맑은 고딕"/>
        <color rgb="FF000000"/>
        <sz val="9.0"/>
      </rPr>
      <t>·</t>
    </r>
    <r>
      <rPr>
        <rFont val="Noto Sans CJK SC"/>
        <color rgb="FF000000"/>
        <sz val="9.0"/>
      </rPr>
      <t>교과</t>
    </r>
  </si>
  <si>
    <t>공학인증</t>
  </si>
  <si>
    <r>
      <rPr>
        <rFont val="맑은 고딕"/>
        <color rgb="FF000000"/>
        <sz val="9.0"/>
      </rPr>
      <t xml:space="preserve">SKKU </t>
    </r>
    <r>
      <rPr>
        <rFont val="Noto Sans CJK SC"/>
        <color rgb="FF000000"/>
        <sz val="9.0"/>
      </rPr>
      <t>확보가능</t>
    </r>
  </si>
  <si>
    <r>
      <rPr>
        <rFont val="Noto Sans CJK SC"/>
        <color rgb="FF000000"/>
        <sz val="9.0"/>
      </rPr>
      <t>학습행동</t>
    </r>
    <r>
      <rPr>
        <rFont val="맑은 고딕"/>
        <color rgb="FF000000"/>
        <sz val="9.0"/>
      </rPr>
      <t>(LMS)</t>
    </r>
  </si>
  <si>
    <r>
      <rPr>
        <rFont val="Noto Sans CJK SC"/>
        <i/>
        <color rgb="FF7F7F7F"/>
        <sz val="8.0"/>
      </rPr>
      <t>출처</t>
    </r>
    <r>
      <rPr>
        <rFont val="맑은 고딕"/>
        <i/>
        <color rgb="FF7F7F7F"/>
        <sz val="8.0"/>
      </rPr>
      <t xml:space="preserve">: </t>
    </r>
    <r>
      <rPr>
        <rFont val="Noto Sans CJK SC"/>
        <i/>
        <color rgb="FF7F7F7F"/>
        <sz val="8.0"/>
      </rPr>
      <t>학사시스템</t>
    </r>
    <r>
      <rPr>
        <rFont val="맑은 고딕"/>
        <i/>
        <color rgb="FF7F7F7F"/>
        <sz val="8.0"/>
      </rPr>
      <t>(</t>
    </r>
    <r>
      <rPr>
        <rFont val="Noto Sans CJK SC"/>
        <i/>
        <color rgb="FF7F7F7F"/>
        <sz val="8.0"/>
      </rPr>
      <t>성적</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학업성취 </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xml:space="preserve">: [C] </t>
    </r>
    <r>
      <rPr>
        <rFont val="Noto Sans CJK SC"/>
        <i/>
        <color rgb="FF7F7F7F"/>
        <sz val="8.0"/>
      </rPr>
      <t>전공별</t>
    </r>
    <r>
      <rPr>
        <rFont val="맑은 고딕"/>
        <i/>
        <color rgb="FF7F7F7F"/>
        <sz val="8.0"/>
      </rPr>
      <t>·</t>
    </r>
    <r>
      <rPr>
        <rFont val="Noto Sans CJK SC"/>
        <i/>
        <color rgb="FF7F7F7F"/>
        <sz val="8.0"/>
      </rPr>
      <t>학기별 성적 통합</t>
    </r>
    <r>
      <rPr>
        <rFont val="맑은 고딕"/>
        <i/>
        <color rgb="FF7F7F7F"/>
        <sz val="8.0"/>
      </rPr>
      <t xml:space="preserve">. </t>
    </r>
    <r>
      <rPr>
        <rFont val="Noto Sans CJK SC"/>
        <i/>
        <color rgb="FF7F7F7F"/>
        <sz val="8.0"/>
      </rPr>
      <t xml:space="preserve">학기별 추이로 </t>
    </r>
    <r>
      <rPr>
        <rFont val="맑은 고딕"/>
        <i/>
        <color rgb="FF7F7F7F"/>
        <sz val="8.0"/>
      </rPr>
      <t>'</t>
    </r>
    <r>
      <rPr>
        <rFont val="Noto Sans CJK SC"/>
        <i/>
        <color rgb="FF7F7F7F"/>
        <sz val="8.0"/>
      </rPr>
      <t>성장</t>
    </r>
    <r>
      <rPr>
        <rFont val="맑은 고딕"/>
        <i/>
        <color rgb="FF7F7F7F"/>
        <sz val="8.0"/>
      </rPr>
      <t xml:space="preserve">' </t>
    </r>
    <r>
      <rPr>
        <rFont val="Noto Sans CJK SC"/>
        <i/>
        <color rgb="FF7F7F7F"/>
        <sz val="8.0"/>
      </rPr>
      <t>지표 추가 가능</t>
    </r>
  </si>
  <si>
    <r>
      <rPr>
        <rFont val="맑은 고딕"/>
        <color rgb="FF000000"/>
        <sz val="9.0"/>
      </rPr>
      <t xml:space="preserve">LMS </t>
    </r>
    <r>
      <rPr>
        <rFont val="Noto Sans CJK SC"/>
        <color rgb="FF000000"/>
        <sz val="9.0"/>
      </rPr>
      <t>학습데이터</t>
    </r>
  </si>
  <si>
    <r>
      <rPr>
        <rFont val="Noto Sans CJK SC"/>
        <b/>
        <color rgb="FF000000"/>
        <sz val="10.0"/>
      </rPr>
      <t>전체 평점</t>
    </r>
    <r>
      <rPr>
        <rFont val="맑은 고딕"/>
        <b/>
        <color rgb="FF000000"/>
        <sz val="10.0"/>
      </rPr>
      <t>(</t>
    </r>
    <r>
      <rPr>
        <rFont val="Noto Sans CJK SC"/>
        <b/>
        <color rgb="FF000000"/>
        <sz val="10.0"/>
      </rPr>
      <t>누적</t>
    </r>
    <r>
      <rPr>
        <rFont val="맑은 고딕"/>
        <b/>
        <color rgb="FF000000"/>
        <sz val="10.0"/>
      </rPr>
      <t>)</t>
    </r>
  </si>
  <si>
    <r>
      <rPr>
        <rFont val="Noto Sans CJK SC"/>
        <color rgb="FF7F7F7F"/>
        <sz val="9.0"/>
      </rPr>
      <t>숫자</t>
    </r>
    <r>
      <rPr>
        <rFont val="맑은 고딕"/>
        <color rgb="FF7F7F7F"/>
        <sz val="9.0"/>
      </rPr>
      <t>(</t>
    </r>
    <r>
      <rPr>
        <rFont val="Noto Sans CJK SC"/>
        <color rgb="FF7F7F7F"/>
        <sz val="9.0"/>
      </rPr>
      <t xml:space="preserve">소수 </t>
    </r>
    <r>
      <rPr>
        <rFont val="맑은 고딕"/>
        <color rgb="FF7F7F7F"/>
        <sz val="9.0"/>
      </rPr>
      <t>2</t>
    </r>
    <r>
      <rPr>
        <rFont val="Noto Sans CJK SC"/>
        <color rgb="FF7F7F7F"/>
        <sz val="9.0"/>
      </rPr>
      <t>자리</t>
    </r>
    <r>
      <rPr>
        <rFont val="맑은 고딕"/>
        <color rgb="FF7F7F7F"/>
        <sz val="9.0"/>
      </rPr>
      <t>)</t>
    </r>
  </si>
  <si>
    <r>
      <rPr>
        <rFont val="Noto Sans CJK SC"/>
        <color rgb="FF7F7F7F"/>
        <sz val="9.0"/>
      </rPr>
      <t>예</t>
    </r>
    <r>
      <rPr>
        <rFont val="맑은 고딕"/>
        <color rgb="FF7F7F7F"/>
        <sz val="9.0"/>
      </rPr>
      <t>: 3.85</t>
    </r>
  </si>
  <si>
    <r>
      <rPr>
        <rFont val="Noto Sans CJK SC"/>
        <b/>
        <color rgb="FF000000"/>
        <sz val="10.0"/>
      </rPr>
      <t>전공 평점</t>
    </r>
    <r>
      <rPr>
        <rFont val="맑은 고딕"/>
        <b/>
        <color rgb="FF000000"/>
        <sz val="10.0"/>
      </rPr>
      <t>(</t>
    </r>
    <r>
      <rPr>
        <rFont val="Noto Sans CJK SC"/>
        <b/>
        <color rgb="FF000000"/>
        <sz val="10.0"/>
      </rPr>
      <t>누적</t>
    </r>
    <r>
      <rPr>
        <rFont val="맑은 고딕"/>
        <b/>
        <color rgb="FF000000"/>
        <sz val="10.0"/>
      </rPr>
      <t>)</t>
    </r>
  </si>
  <si>
    <r>
      <rPr>
        <rFont val="Noto Sans CJK SC"/>
        <color rgb="FF7F7F7F"/>
        <sz val="9.0"/>
      </rPr>
      <t>숫자</t>
    </r>
    <r>
      <rPr>
        <rFont val="맑은 고딕"/>
        <color rgb="FF7F7F7F"/>
        <sz val="9.0"/>
      </rPr>
      <t>(</t>
    </r>
    <r>
      <rPr>
        <rFont val="Noto Sans CJK SC"/>
        <color rgb="FF7F7F7F"/>
        <sz val="9.0"/>
      </rPr>
      <t xml:space="preserve">소수 </t>
    </r>
    <r>
      <rPr>
        <rFont val="맑은 고딕"/>
        <color rgb="FF7F7F7F"/>
        <sz val="9.0"/>
      </rPr>
      <t>2</t>
    </r>
    <r>
      <rPr>
        <rFont val="Noto Sans CJK SC"/>
        <color rgb="FF7F7F7F"/>
        <sz val="9.0"/>
      </rPr>
      <t>자리</t>
    </r>
    <r>
      <rPr>
        <rFont val="맑은 고딕"/>
        <color rgb="FF7F7F7F"/>
        <sz val="9.0"/>
      </rPr>
      <t>)</t>
    </r>
  </si>
  <si>
    <r>
      <rPr>
        <rFont val="Noto Sans CJK SC"/>
        <color rgb="FF7F7F7F"/>
        <sz val="9.0"/>
      </rPr>
      <t>예</t>
    </r>
    <r>
      <rPr>
        <rFont val="맑은 고딕"/>
        <color rgb="FF7F7F7F"/>
        <sz val="9.0"/>
      </rPr>
      <t>: 3.92</t>
    </r>
  </si>
  <si>
    <t>평점 만점 기준</t>
  </si>
  <si>
    <r>
      <rPr>
        <rFont val="Noto Sans CJK SC"/>
        <color rgb="FF7F7F7F"/>
        <sz val="9.0"/>
      </rPr>
      <t xml:space="preserve">성균관대 </t>
    </r>
    <r>
      <rPr>
        <rFont val="맑은 고딕"/>
        <color rgb="FF7F7F7F"/>
        <sz val="9.0"/>
      </rPr>
      <t>4.5</t>
    </r>
  </si>
  <si>
    <t>학기</t>
  </si>
  <si>
    <t>신청학점</t>
  </si>
  <si>
    <t>취득학점</t>
  </si>
  <si>
    <t>학기 평점</t>
  </si>
  <si>
    <t>학기 전공 평점</t>
  </si>
  <si>
    <t>비고</t>
  </si>
  <si>
    <r>
      <rPr>
        <rFont val="맑은 고딕"/>
        <i/>
        <color rgb="FF7F7F7F"/>
        <sz val="8.0"/>
      </rPr>
      <t>YYYY-1 / YYYY-2 / YYYY-</t>
    </r>
    <r>
      <rPr>
        <rFont val="Noto Sans CJK SC"/>
        <i/>
        <color rgb="FF7F7F7F"/>
        <sz val="8.0"/>
      </rPr>
      <t xml:space="preserve">여름 </t>
    </r>
    <r>
      <rPr>
        <rFont val="맑은 고딕"/>
        <i/>
        <color rgb="FF7F7F7F"/>
        <sz val="8.0"/>
      </rPr>
      <t>/ YYYY-</t>
    </r>
    <r>
      <rPr>
        <rFont val="Noto Sans CJK SC"/>
        <i/>
        <color rgb="FF7F7F7F"/>
        <sz val="8.0"/>
      </rPr>
      <t>겨울</t>
    </r>
  </si>
  <si>
    <r>
      <rPr>
        <rFont val="Noto Sans CJK SC"/>
        <i/>
        <color rgb="FF7F7F7F"/>
        <sz val="8.0"/>
      </rPr>
      <t>휴학</t>
    </r>
    <r>
      <rPr>
        <rFont val="맑은 고딕"/>
        <i/>
        <color rgb="FF7F7F7F"/>
        <sz val="8.0"/>
      </rPr>
      <t>·</t>
    </r>
    <r>
      <rPr>
        <rFont val="Noto Sans CJK SC"/>
        <i/>
        <color rgb="FF7F7F7F"/>
        <sz val="8.0"/>
      </rPr>
      <t>계절 등</t>
    </r>
  </si>
  <si>
    <r>
      <rPr>
        <rFont val="맑은 고딕"/>
        <b/>
        <color rgb="FF2F4A8A"/>
        <sz val="14.0"/>
      </rPr>
      <t>[</t>
    </r>
    <r>
      <rPr>
        <rFont val="Noto Sans CJK SC"/>
        <b/>
        <color rgb="FF2F4A8A"/>
        <sz val="14.0"/>
      </rPr>
      <t>작성 예시</t>
    </r>
    <r>
      <rPr>
        <rFont val="맑은 고딕"/>
        <b/>
        <color rgb="FF2F4A8A"/>
        <sz val="14.0"/>
      </rPr>
      <t xml:space="preserve">] </t>
    </r>
    <r>
      <rPr>
        <rFont val="Noto Sans CJK SC"/>
        <b/>
        <color rgb="FF2F4A8A"/>
        <sz val="14.0"/>
      </rPr>
      <t xml:space="preserve">김예시 — </t>
    </r>
    <r>
      <rPr>
        <rFont val="맑은 고딕"/>
        <b/>
        <color rgb="FF2F4A8A"/>
        <sz val="14.0"/>
      </rPr>
      <t>34</t>
    </r>
    <r>
      <rPr>
        <rFont val="Noto Sans CJK SC"/>
        <b/>
        <color rgb="FF2F4A8A"/>
        <sz val="14.0"/>
      </rPr>
      <t xml:space="preserve">개 카테고리를 모두 채운 기준 예시 </t>
    </r>
    <r>
      <rPr>
        <rFont val="맑은 고딕"/>
        <b/>
        <color rgb="FF2F4A8A"/>
        <sz val="14.0"/>
      </rPr>
      <t>(</t>
    </r>
    <r>
      <rPr>
        <rFont val="Noto Sans CJK SC"/>
        <b/>
        <color rgb="FF2F4A8A"/>
        <sz val="14.0"/>
      </rPr>
      <t>가상 데이터</t>
    </r>
    <r>
      <rPr>
        <rFont val="맑은 고딕"/>
        <b/>
        <color rgb="FF2F4A8A"/>
        <sz val="14.0"/>
      </rPr>
      <t>)</t>
    </r>
  </si>
  <si>
    <r>
      <rPr>
        <rFont val="Noto Sans CJK SC"/>
        <color rgb="FF595959"/>
        <sz val="9.0"/>
      </rPr>
      <t>평가 테스트 포인트</t>
    </r>
    <r>
      <rPr>
        <rFont val="맑은 고딕"/>
        <color rgb="FF595959"/>
        <sz val="9.0"/>
      </rPr>
      <t>: 34</t>
    </r>
    <r>
      <rPr>
        <rFont val="Noto Sans CJK SC"/>
        <color rgb="FF595959"/>
        <sz val="9.0"/>
      </rPr>
      <t xml:space="preserve">개 카테고리 전부 </t>
    </r>
    <r>
      <rPr>
        <rFont val="맑은 고딕"/>
        <color rgb="FF595959"/>
        <sz val="9.0"/>
      </rPr>
      <t>'</t>
    </r>
    <r>
      <rPr>
        <rFont val="Noto Sans CJK SC"/>
        <color rgb="FF595959"/>
        <sz val="9.0"/>
      </rPr>
      <t>값 있음</t>
    </r>
    <r>
      <rPr>
        <rFont val="맑은 고딕"/>
        <color rgb="FF595959"/>
        <sz val="9.0"/>
      </rPr>
      <t xml:space="preserve">' — </t>
    </r>
    <r>
      <rPr>
        <rFont val="Noto Sans CJK SC"/>
        <color rgb="FF595959"/>
        <sz val="9.0"/>
      </rPr>
      <t>입력 형식의 기준 예시</t>
    </r>
  </si>
  <si>
    <r>
      <rPr>
        <rFont val="Noto Sans CJK SC"/>
        <color rgb="FF000000"/>
        <sz val="9.0"/>
      </rPr>
      <t>학습행동</t>
    </r>
    <r>
      <rPr>
        <rFont val="맑은 고딕"/>
        <color rgb="FF000000"/>
        <sz val="9.0"/>
      </rPr>
      <t>(LMS)</t>
    </r>
  </si>
  <si>
    <r>
      <rPr>
        <rFont val="Noto Sans CJK SC"/>
        <color rgb="FF000000"/>
        <sz val="9.0"/>
      </rPr>
      <t>교수면담</t>
    </r>
    <r>
      <rPr>
        <rFont val="맑은 고딕"/>
        <color rgb="FF000000"/>
        <sz val="9.0"/>
      </rPr>
      <t>·</t>
    </r>
    <r>
      <rPr>
        <rFont val="Noto Sans CJK SC"/>
        <color rgb="FF000000"/>
        <sz val="9.0"/>
      </rPr>
      <t>학업상담</t>
    </r>
  </si>
  <si>
    <r>
      <rPr>
        <rFont val="맑은 고딕"/>
        <color rgb="FF000000"/>
        <sz val="9.0"/>
      </rPr>
      <t xml:space="preserve">SKKU </t>
    </r>
    <r>
      <rPr>
        <rFont val="Noto Sans CJK SC"/>
        <color rgb="FF000000"/>
        <sz val="9.0"/>
      </rPr>
      <t>확보가능</t>
    </r>
  </si>
  <si>
    <r>
      <rPr>
        <rFont val="Noto Sans CJK SC"/>
        <color rgb="FF595959"/>
        <sz val="9.0"/>
      </rPr>
      <t>데이터 상태</t>
    </r>
    <r>
      <rPr>
        <rFont val="맑은 고딕"/>
        <color rgb="FF595959"/>
        <sz val="9.0"/>
      </rPr>
      <t xml:space="preserve">: </t>
    </r>
    <r>
      <rPr>
        <rFont val="Noto Sans CJK SC"/>
        <color rgb="FF595959"/>
        <sz val="9.0"/>
      </rPr>
      <t xml:space="preserve">값 있음 </t>
    </r>
    <r>
      <rPr>
        <rFont val="맑은 고딕"/>
        <color rgb="FF595959"/>
        <sz val="9.0"/>
      </rPr>
      <t xml:space="preserve">/ </t>
    </r>
    <r>
      <rPr>
        <rFont val="Noto Sans CJK SC"/>
        <color rgb="FF595959"/>
        <sz val="9.0"/>
      </rPr>
      <t>활동 없음</t>
    </r>
    <r>
      <rPr>
        <rFont val="맑은 고딕"/>
        <color rgb="FF595959"/>
        <sz val="9.0"/>
      </rPr>
      <t>(0</t>
    </r>
    <r>
      <rPr>
        <rFont val="Noto Sans CJK SC"/>
        <color rgb="FF595959"/>
        <sz val="9.0"/>
      </rPr>
      <t>점</t>
    </r>
    <r>
      <rPr>
        <rFont val="맑은 고딕"/>
        <color rgb="FF595959"/>
        <sz val="9.0"/>
      </rPr>
      <t xml:space="preserve">) / </t>
    </r>
    <r>
      <rPr>
        <rFont val="Noto Sans CJK SC"/>
        <color rgb="FF595959"/>
        <sz val="9.0"/>
      </rPr>
      <t>미수집</t>
    </r>
    <r>
      <rPr>
        <rFont val="맑은 고딕"/>
        <color rgb="FF595959"/>
        <sz val="9.0"/>
      </rPr>
      <t>(</t>
    </r>
    <r>
      <rPr>
        <rFont val="Noto Sans CJK SC"/>
        <color rgb="FF595959"/>
        <sz val="9.0"/>
      </rPr>
      <t>계산 제외</t>
    </r>
    <r>
      <rPr>
        <rFont val="맑은 고딕"/>
        <color rgb="FF595959"/>
        <sz val="9.0"/>
      </rPr>
      <t xml:space="preserve">) / </t>
    </r>
    <r>
      <rPr>
        <rFont val="Noto Sans CJK SC"/>
        <color rgb="FF595959"/>
        <sz val="9.0"/>
      </rPr>
      <t>해당 없음</t>
    </r>
    <r>
      <rPr>
        <rFont val="맑은 고딕"/>
        <color rgb="FF595959"/>
        <sz val="9.0"/>
      </rPr>
      <t>(</t>
    </r>
    <r>
      <rPr>
        <rFont val="Noto Sans CJK SC"/>
        <color rgb="FF595959"/>
        <sz val="9.0"/>
      </rPr>
      <t>불이익 없음</t>
    </r>
    <r>
      <rPr>
        <rFont val="맑은 고딕"/>
        <color rgb="FF595959"/>
        <sz val="9.0"/>
      </rPr>
      <t xml:space="preserve">) · </t>
    </r>
    <r>
      <rPr>
        <rFont val="Noto Sans CJK SC"/>
        <color rgb="FF595959"/>
        <sz val="9.0"/>
      </rPr>
      <t xml:space="preserve">상태 미선택 </t>
    </r>
    <r>
      <rPr>
        <rFont val="맑은 고딕"/>
        <color rgb="FF595959"/>
        <sz val="9.0"/>
      </rPr>
      <t xml:space="preserve">= </t>
    </r>
    <r>
      <rPr>
        <rFont val="Noto Sans CJK SC"/>
        <color rgb="FF595959"/>
        <sz val="9.0"/>
      </rPr>
      <t>미수집 간주</t>
    </r>
  </si>
  <si>
    <r>
      <rPr>
        <rFont val="맑은 고딕"/>
        <color rgb="FF000000"/>
        <sz val="9.0"/>
      </rPr>
      <t>LMS·</t>
    </r>
    <r>
      <rPr>
        <rFont val="Noto Sans CJK SC"/>
        <color rgb="FF000000"/>
        <sz val="9.0"/>
      </rPr>
      <t>진단</t>
    </r>
    <r>
      <rPr>
        <rFont val="맑은 고딕"/>
        <color rgb="FF000000"/>
        <sz val="9.0"/>
      </rPr>
      <t>·</t>
    </r>
    <r>
      <rPr>
        <rFont val="Noto Sans CJK SC"/>
        <color rgb="FF000000"/>
        <sz val="9.0"/>
      </rPr>
      <t xml:space="preserve">동료평가 등 시스템 항목이 </t>
    </r>
    <r>
      <rPr>
        <rFont val="맑은 고딕"/>
        <color rgb="FF000000"/>
        <sz val="9.0"/>
      </rPr>
      <t>'</t>
    </r>
    <r>
      <rPr>
        <rFont val="Noto Sans CJK SC"/>
        <color rgb="FF000000"/>
        <sz val="9.0"/>
      </rPr>
      <t>미수집</t>
    </r>
    <r>
      <rPr>
        <rFont val="맑은 고딕"/>
        <color rgb="FF000000"/>
        <sz val="9.0"/>
      </rPr>
      <t xml:space="preserve">' + </t>
    </r>
    <r>
      <rPr>
        <rFont val="Noto Sans CJK SC"/>
        <color rgb="FF000000"/>
        <sz val="9.0"/>
      </rPr>
      <t xml:space="preserve">공학인증 </t>
    </r>
    <r>
      <rPr>
        <rFont val="맑은 고딕"/>
        <color rgb="FF000000"/>
        <sz val="9.0"/>
      </rPr>
      <t>'</t>
    </r>
    <r>
      <rPr>
        <rFont val="Noto Sans CJK SC"/>
        <color rgb="FF000000"/>
        <sz val="9.0"/>
      </rPr>
      <t>해당 없음</t>
    </r>
    <r>
      <rPr>
        <rFont val="맑은 고딕"/>
        <color rgb="FF000000"/>
        <sz val="9.0"/>
      </rPr>
      <t xml:space="preserve">' → </t>
    </r>
    <r>
      <rPr>
        <rFont val="Noto Sans CJK SC"/>
        <color rgb="FF000000"/>
        <sz val="9.0"/>
      </rPr>
      <t xml:space="preserve">미수집이 </t>
    </r>
    <r>
      <rPr>
        <rFont val="맑은 고딕"/>
        <color rgb="FF000000"/>
        <sz val="9.0"/>
      </rPr>
      <t>0</t>
    </r>
    <r>
      <rPr>
        <rFont val="Noto Sans CJK SC"/>
        <color rgb="FF000000"/>
        <sz val="9.0"/>
      </rPr>
      <t>점 처리되지 않는지</t>
    </r>
    <r>
      <rPr>
        <rFont val="맑은 고딕"/>
        <color rgb="FF000000"/>
        <sz val="9.0"/>
      </rPr>
      <t xml:space="preserve">, </t>
    </r>
    <r>
      <rPr>
        <rFont val="Noto Sans CJK SC"/>
        <color rgb="FF000000"/>
        <sz val="9.0"/>
      </rPr>
      <t>해당 역량 충족도가 낮아지는지 확인</t>
    </r>
  </si>
  <si>
    <r>
      <rPr>
        <rFont val="맑은 고딕"/>
        <color rgb="FF000000"/>
        <sz val="9.0"/>
      </rPr>
      <t>S03_</t>
    </r>
    <r>
      <rPr>
        <rFont val="Noto Sans CJK SC"/>
        <color rgb="FF000000"/>
        <sz val="9.0"/>
      </rPr>
      <t>박지호</t>
    </r>
  </si>
  <si>
    <t>정보 적은 신입생형</t>
  </si>
  <si>
    <r>
      <rPr>
        <rFont val="Noto Sans CJK SC"/>
        <b/>
        <color rgb="FFFFFFFF"/>
        <sz val="11.0"/>
      </rPr>
      <t xml:space="preserve">■ 학생 기본정보  </t>
    </r>
    <r>
      <rPr>
        <rFont val="맑은 고딕"/>
        <b/>
        <color rgb="FFFFFFFF"/>
        <sz val="11.0"/>
      </rPr>
      <t>(</t>
    </r>
    <r>
      <rPr>
        <rFont val="Noto Sans CJK SC"/>
        <b/>
        <color rgb="FFFFFFFF"/>
        <sz val="11.0"/>
      </rPr>
      <t>학년 보정</t>
    </r>
    <r>
      <rPr>
        <rFont val="맑은 고딕"/>
        <b/>
        <color rgb="FFFFFFFF"/>
        <sz val="11.0"/>
      </rPr>
      <t>·</t>
    </r>
    <r>
      <rPr>
        <rFont val="Noto Sans CJK SC"/>
        <b/>
        <color rgb="FFFFFFFF"/>
        <sz val="11.0"/>
      </rPr>
      <t>학적 구분</t>
    </r>
    <r>
      <rPr>
        <rFont val="맑은 고딕"/>
        <b/>
        <color rgb="FFFFFFFF"/>
        <sz val="11.0"/>
      </rPr>
      <t>·</t>
    </r>
    <r>
      <rPr>
        <rFont val="Noto Sans CJK SC"/>
        <b/>
        <color rgb="FFFFFFFF"/>
        <sz val="11.0"/>
      </rPr>
      <t>전공 특수성 판단에 사용</t>
    </r>
    <r>
      <rPr>
        <rFont val="맑은 고딕"/>
        <b/>
        <color rgb="FFFFFFFF"/>
        <sz val="11.0"/>
      </rPr>
      <t>)</t>
    </r>
  </si>
  <si>
    <t>2026312045</t>
  </si>
  <si>
    <t>소프트웨어융합대학</t>
  </si>
  <si>
    <t>소프트웨어학과</t>
  </si>
  <si>
    <r>
      <rPr>
        <rFont val="Noto Sans CJK SC"/>
        <i/>
        <color rgb="FF7F7F7F"/>
        <sz val="8.0"/>
      </rPr>
      <t>출처</t>
    </r>
    <r>
      <rPr>
        <rFont val="맑은 고딕"/>
        <i/>
        <color rgb="FF7F7F7F"/>
        <sz val="8.0"/>
      </rPr>
      <t xml:space="preserve">: </t>
    </r>
    <r>
      <rPr>
        <rFont val="Noto Sans CJK SC"/>
        <i/>
        <color rgb="FF7F7F7F"/>
        <sz val="8.0"/>
      </rPr>
      <t>학사시스템</t>
    </r>
    <r>
      <rPr>
        <rFont val="맑은 고딕"/>
        <i/>
        <color rgb="FF7F7F7F"/>
        <sz val="8.0"/>
      </rPr>
      <t>(</t>
    </r>
    <r>
      <rPr>
        <rFont val="Noto Sans CJK SC"/>
        <i/>
        <color rgb="FF7F7F7F"/>
        <sz val="8.0"/>
      </rPr>
      <t>과목별 성적</t>
    </r>
    <r>
      <rPr>
        <rFont val="맑은 고딕"/>
        <i/>
        <color rgb="FF7F7F7F"/>
        <sz val="8.0"/>
      </rPr>
      <t>) + LMS(</t>
    </r>
    <r>
      <rPr>
        <rFont val="Noto Sans CJK SC"/>
        <i/>
        <color rgb="FF7F7F7F"/>
        <sz val="8.0"/>
      </rPr>
      <t>과제점수</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발표력 </t>
    </r>
    <r>
      <rPr>
        <rFont val="맑은 고딕"/>
        <i/>
        <color rgb="FF7F7F7F"/>
        <sz val="8.0"/>
      </rPr>
      <t xml:space="preserve">/ </t>
    </r>
    <r>
      <rPr>
        <rFont val="Noto Sans CJK SC"/>
        <i/>
        <color rgb="FF7F7F7F"/>
        <sz val="8.0"/>
      </rPr>
      <t xml:space="preserve">논리적사고 </t>
    </r>
    <r>
      <rPr>
        <rFont val="맑은 고딕"/>
        <i/>
        <color rgb="FF7F7F7F"/>
        <sz val="8.0"/>
      </rPr>
      <t xml:space="preserve">/ </t>
    </r>
    <r>
      <rPr>
        <rFont val="Noto Sans CJK SC"/>
        <i/>
        <color rgb="FF7F7F7F"/>
        <sz val="8.0"/>
      </rPr>
      <t xml:space="preserve">학업성취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과목에 </t>
    </r>
    <r>
      <rPr>
        <rFont val="맑은 고딕"/>
        <i/>
        <color rgb="FF7F7F7F"/>
        <sz val="8.0"/>
      </rPr>
      <t>'</t>
    </r>
    <r>
      <rPr>
        <rFont val="Noto Sans CJK SC"/>
        <i/>
        <color rgb="FF7F7F7F"/>
        <sz val="8.0"/>
      </rPr>
      <t>발표형</t>
    </r>
    <r>
      <rPr>
        <rFont val="맑은 고딕"/>
        <i/>
        <color rgb="FF7F7F7F"/>
        <sz val="8.0"/>
      </rPr>
      <t>·</t>
    </r>
    <r>
      <rPr>
        <rFont val="Noto Sans CJK SC"/>
        <i/>
        <color rgb="FF7F7F7F"/>
        <sz val="8.0"/>
      </rPr>
      <t>토론형</t>
    </r>
    <r>
      <rPr>
        <rFont val="맑은 고딕"/>
        <i/>
        <color rgb="FF7F7F7F"/>
        <sz val="8.0"/>
      </rPr>
      <t xml:space="preserve">' </t>
    </r>
    <r>
      <rPr>
        <rFont val="Noto Sans CJK SC"/>
        <i/>
        <color rgb="FF7F7F7F"/>
        <sz val="8.0"/>
      </rPr>
      <t>태그가 있어야 자동 분류 가능</t>
    </r>
  </si>
  <si>
    <t>과목명</t>
  </si>
  <si>
    <t>수업유형</t>
  </si>
  <si>
    <t>과목 성적</t>
  </si>
  <si>
    <r>
      <rPr>
        <rFont val="Noto Sans CJK SC"/>
        <b/>
        <color rgb="FF000000"/>
        <sz val="9.0"/>
      </rPr>
      <t>과제</t>
    </r>
    <r>
      <rPr>
        <rFont val="맑은 고딕"/>
        <b/>
        <color rgb="FF000000"/>
        <sz val="9.0"/>
      </rPr>
      <t>·</t>
    </r>
    <r>
      <rPr>
        <rFont val="Noto Sans CJK SC"/>
        <b/>
        <color rgb="FF000000"/>
        <sz val="9.0"/>
      </rPr>
      <t>보고서 점수</t>
    </r>
  </si>
  <si>
    <r>
      <rPr>
        <rFont val="맑은 고딕"/>
        <i/>
        <color rgb="FF7F7F7F"/>
        <sz val="8.0"/>
      </rPr>
      <t>YYYY-1 / YYYY-2 / YYYY-</t>
    </r>
    <r>
      <rPr>
        <rFont val="Noto Sans CJK SC"/>
        <i/>
        <color rgb="FF7F7F7F"/>
        <sz val="8.0"/>
      </rPr>
      <t xml:space="preserve">여름 </t>
    </r>
    <r>
      <rPr>
        <rFont val="맑은 고딕"/>
        <i/>
        <color rgb="FF7F7F7F"/>
        <sz val="8.0"/>
      </rPr>
      <t>/ YYYY-</t>
    </r>
    <r>
      <rPr>
        <rFont val="Noto Sans CJK SC"/>
        <i/>
        <color rgb="FF7F7F7F"/>
        <sz val="8.0"/>
      </rPr>
      <t>겨울</t>
    </r>
  </si>
  <si>
    <r>
      <rPr>
        <rFont val="맑은 고딕"/>
        <i/>
        <color rgb="FF7F7F7F"/>
        <sz val="8.0"/>
      </rPr>
      <t>[</t>
    </r>
    <r>
      <rPr>
        <rFont val="Noto Sans CJK SC"/>
        <i/>
        <color rgb="FF7F7F7F"/>
        <sz val="8.0"/>
      </rPr>
      <t xml:space="preserve">발표형 </t>
    </r>
    <r>
      <rPr>
        <rFont val="맑은 고딕"/>
        <i/>
        <color rgb="FF7F7F7F"/>
        <sz val="8.0"/>
      </rPr>
      <t xml:space="preserve">/ </t>
    </r>
    <r>
      <rPr>
        <rFont val="Noto Sans CJK SC"/>
        <i/>
        <color rgb="FF7F7F7F"/>
        <sz val="8.0"/>
      </rPr>
      <t xml:space="preserve">토론형 </t>
    </r>
    <r>
      <rPr>
        <rFont val="맑은 고딕"/>
        <i/>
        <color rgb="FF7F7F7F"/>
        <sz val="8.0"/>
      </rPr>
      <t xml:space="preserve">/ </t>
    </r>
    <r>
      <rPr>
        <rFont val="Noto Sans CJK SC"/>
        <i/>
        <color rgb="FF7F7F7F"/>
        <sz val="8.0"/>
      </rPr>
      <t>과제</t>
    </r>
    <r>
      <rPr>
        <rFont val="맑은 고딕"/>
        <i/>
        <color rgb="FF7F7F7F"/>
        <sz val="8.0"/>
      </rPr>
      <t>·</t>
    </r>
    <r>
      <rPr>
        <rFont val="Noto Sans CJK SC"/>
        <i/>
        <color rgb="FF7F7F7F"/>
        <sz val="8.0"/>
      </rPr>
      <t xml:space="preserve">보고서형 </t>
    </r>
    <r>
      <rPr>
        <rFont val="맑은 고딕"/>
        <i/>
        <color rgb="FF7F7F7F"/>
        <sz val="8.0"/>
      </rPr>
      <t>/ PBL</t>
    </r>
    <r>
      <rPr>
        <rFont val="Noto Sans CJK SC"/>
        <i/>
        <color rgb="FF7F7F7F"/>
        <sz val="8.0"/>
      </rPr>
      <t>형</t>
    </r>
    <r>
      <rPr>
        <rFont val="맑은 고딕"/>
        <i/>
        <color rgb="FF7F7F7F"/>
        <sz val="8.0"/>
      </rPr>
      <t>]</t>
    </r>
  </si>
  <si>
    <r>
      <rPr>
        <rFont val="Noto Sans CJK SC"/>
        <color rgb="FF000000"/>
        <sz val="9.0"/>
      </rPr>
      <t>학습행동</t>
    </r>
    <r>
      <rPr>
        <rFont val="맑은 고딕"/>
        <color rgb="FF000000"/>
        <sz val="9.0"/>
      </rPr>
      <t>(LMS)</t>
    </r>
  </si>
  <si>
    <t>[A+ / A0 / B+ / B0 / C+ / C0 / D+ / D0 / F / P]</t>
  </si>
  <si>
    <r>
      <rPr>
        <rFont val="Noto Sans CJK SC"/>
        <i/>
        <color rgb="FF7F7F7F"/>
        <sz val="8.0"/>
      </rPr>
      <t>숫자</t>
    </r>
    <r>
      <rPr>
        <rFont val="맑은 고딕"/>
        <i/>
        <color rgb="FF7F7F7F"/>
        <sz val="8.0"/>
      </rPr>
      <t>(100</t>
    </r>
    <r>
      <rPr>
        <rFont val="Noto Sans CJK SC"/>
        <i/>
        <color rgb="FF7F7F7F"/>
        <sz val="8.0"/>
      </rPr>
      <t>점</t>
    </r>
    <r>
      <rPr>
        <rFont val="맑은 고딕"/>
        <i/>
        <color rgb="FF7F7F7F"/>
        <sz val="8.0"/>
      </rPr>
      <t>)</t>
    </r>
  </si>
  <si>
    <r>
      <rPr>
        <rFont val="Noto Sans CJK SC"/>
        <color rgb="FF7F7F7F"/>
        <sz val="9.0"/>
      </rPr>
      <t xml:space="preserve">숫자 </t>
    </r>
    <r>
      <rPr>
        <rFont val="맑은 고딕"/>
        <color rgb="FF7F7F7F"/>
        <sz val="9.0"/>
      </rPr>
      <t>10</t>
    </r>
    <r>
      <rPr>
        <rFont val="Noto Sans CJK SC"/>
        <color rgb="FF7F7F7F"/>
        <sz val="9.0"/>
      </rPr>
      <t>자리</t>
    </r>
    <r>
      <rPr>
        <rFont val="맑은 고딕"/>
        <color rgb="FF7F7F7F"/>
        <sz val="9.0"/>
      </rPr>
      <t>(</t>
    </r>
    <r>
      <rPr>
        <rFont val="Noto Sans CJK SC"/>
        <color rgb="FF7F7F7F"/>
        <sz val="9.0"/>
      </rPr>
      <t>텍스트</t>
    </r>
    <r>
      <rPr>
        <rFont val="맑은 고딕"/>
        <color rgb="FF7F7F7F"/>
        <sz val="9.0"/>
      </rPr>
      <t>)</t>
    </r>
  </si>
  <si>
    <r>
      <rPr>
        <rFont val="Noto Sans CJK SC"/>
        <color rgb="FF000000"/>
        <sz val="9.0"/>
      </rPr>
      <t>토론</t>
    </r>
    <r>
      <rPr>
        <rFont val="맑은 고딕"/>
        <color rgb="FF000000"/>
        <sz val="9.0"/>
      </rPr>
      <t>·</t>
    </r>
    <r>
      <rPr>
        <rFont val="Noto Sans CJK SC"/>
        <color rgb="FF000000"/>
        <sz val="9.0"/>
      </rPr>
      <t>게시판 참여</t>
    </r>
  </si>
  <si>
    <r>
      <rPr>
        <rFont val="맑은 고딕"/>
        <color rgb="FF000000"/>
        <sz val="9.0"/>
      </rPr>
      <t>1</t>
    </r>
    <r>
      <rPr>
        <rFont val="Noto Sans CJK SC"/>
        <color rgb="FF000000"/>
        <sz val="9.0"/>
      </rPr>
      <t>학기만 이수</t>
    </r>
    <r>
      <rPr>
        <rFont val="맑은 고딕"/>
        <color rgb="FF000000"/>
        <sz val="9.0"/>
      </rPr>
      <t xml:space="preserve">, </t>
    </r>
    <r>
      <rPr>
        <rFont val="Noto Sans CJK SC"/>
        <color rgb="FF000000"/>
        <sz val="9.0"/>
      </rPr>
      <t xml:space="preserve">대부분 </t>
    </r>
    <r>
      <rPr>
        <rFont val="맑은 고딕"/>
        <color rgb="FF000000"/>
        <sz val="9.0"/>
      </rPr>
      <t>'</t>
    </r>
    <r>
      <rPr>
        <rFont val="Noto Sans CJK SC"/>
        <color rgb="FF000000"/>
        <sz val="9.0"/>
      </rPr>
      <t>활동 없음</t>
    </r>
    <r>
      <rPr>
        <rFont val="맑은 고딕"/>
        <color rgb="FF000000"/>
        <sz val="9.0"/>
      </rPr>
      <t xml:space="preserve">' → </t>
    </r>
    <r>
      <rPr>
        <rFont val="Noto Sans CJK SC"/>
        <color rgb="FF000000"/>
        <sz val="9.0"/>
      </rPr>
      <t>학년 보정</t>
    </r>
    <r>
      <rPr>
        <rFont val="맑은 고딕"/>
        <color rgb="FF000000"/>
        <sz val="9.0"/>
      </rPr>
      <t>(</t>
    </r>
    <r>
      <rPr>
        <rFont val="Noto Sans CJK SC"/>
        <color rgb="FF000000"/>
        <sz val="9.0"/>
      </rPr>
      <t xml:space="preserve">이수 </t>
    </r>
    <r>
      <rPr>
        <rFont val="맑은 고딕"/>
        <color rgb="FF000000"/>
        <sz val="9.0"/>
      </rPr>
      <t>1</t>
    </r>
    <r>
      <rPr>
        <rFont val="Noto Sans CJK SC"/>
        <color rgb="FF000000"/>
        <sz val="9.0"/>
      </rPr>
      <t>학기</t>
    </r>
    <r>
      <rPr>
        <rFont val="맑은 고딕"/>
        <color rgb="FF000000"/>
        <sz val="9.0"/>
      </rPr>
      <t>)</t>
    </r>
    <r>
      <rPr>
        <rFont val="Noto Sans CJK SC"/>
        <color rgb="FF000000"/>
        <sz val="9.0"/>
      </rPr>
      <t>이 적용되는지</t>
    </r>
    <r>
      <rPr>
        <rFont val="맑은 고딕"/>
        <color rgb="FF000000"/>
        <sz val="9.0"/>
      </rPr>
      <t xml:space="preserve">, </t>
    </r>
    <r>
      <rPr>
        <rFont val="Noto Sans CJK SC"/>
        <color rgb="FF000000"/>
        <sz val="9.0"/>
      </rPr>
      <t xml:space="preserve">어학 </t>
    </r>
    <r>
      <rPr>
        <rFont val="맑은 고딕"/>
        <color rgb="FF000000"/>
        <sz val="9.0"/>
      </rPr>
      <t>'</t>
    </r>
    <r>
      <rPr>
        <rFont val="Noto Sans CJK SC"/>
        <color rgb="FF000000"/>
        <sz val="9.0"/>
      </rPr>
      <t>미수집</t>
    </r>
    <r>
      <rPr>
        <rFont val="맑은 고딕"/>
        <color rgb="FF000000"/>
        <sz val="9.0"/>
      </rPr>
      <t>'</t>
    </r>
    <r>
      <rPr>
        <rFont val="Noto Sans CJK SC"/>
        <color rgb="FF000000"/>
        <sz val="9.0"/>
      </rPr>
      <t xml:space="preserve">과 자격증 </t>
    </r>
    <r>
      <rPr>
        <rFont val="맑은 고딕"/>
        <color rgb="FF000000"/>
        <sz val="9.0"/>
      </rPr>
      <t>'</t>
    </r>
    <r>
      <rPr>
        <rFont val="Noto Sans CJK SC"/>
        <color rgb="FF000000"/>
        <sz val="9.0"/>
      </rPr>
      <t>활동 없음</t>
    </r>
    <r>
      <rPr>
        <rFont val="맑은 고딕"/>
        <color rgb="FF000000"/>
        <sz val="9.0"/>
      </rPr>
      <t>'</t>
    </r>
    <r>
      <rPr>
        <rFont val="Noto Sans CJK SC"/>
        <color rgb="FF000000"/>
        <sz val="9.0"/>
      </rPr>
      <t>이 다르게 처리되는지 확인</t>
    </r>
  </si>
  <si>
    <r>
      <rPr>
        <rFont val="맑은 고딕"/>
        <color rgb="FF000000"/>
        <sz val="9.0"/>
      </rPr>
      <t>S04_</t>
    </r>
    <r>
      <rPr>
        <rFont val="Noto Sans CJK SC"/>
        <color rgb="FF000000"/>
        <sz val="9.0"/>
      </rPr>
      <t>최유진</t>
    </r>
  </si>
  <si>
    <t>다수 누락형</t>
  </si>
  <si>
    <t>2022315533</t>
  </si>
  <si>
    <t>사회과학대학</t>
  </si>
  <si>
    <t>사회학과</t>
  </si>
  <si>
    <r>
      <rPr>
        <rFont val="Noto Sans CJK SC"/>
        <color rgb="FF7F7F7F"/>
        <sz val="9.0"/>
      </rPr>
      <t>예</t>
    </r>
    <r>
      <rPr>
        <rFont val="맑은 고딕"/>
        <color rgb="FF7F7F7F"/>
        <sz val="9.0"/>
      </rPr>
      <t xml:space="preserve">: </t>
    </r>
    <r>
      <rPr>
        <rFont val="Noto Sans CJK SC"/>
        <color rgb="FF7F7F7F"/>
        <sz val="9.0"/>
      </rPr>
      <t>공과대학</t>
    </r>
  </si>
  <si>
    <r>
      <rPr>
        <rFont val="Noto Sans CJK SC"/>
        <b/>
        <color rgb="FF000000"/>
        <sz val="10.0"/>
      </rPr>
      <t>주전공</t>
    </r>
    <r>
      <rPr>
        <rFont val="맑은 고딕"/>
        <b/>
        <color rgb="FF000000"/>
        <sz val="10.0"/>
      </rPr>
      <t>(</t>
    </r>
    <r>
      <rPr>
        <rFont val="Noto Sans CJK SC"/>
        <b/>
        <color rgb="FF000000"/>
        <sz val="10.0"/>
      </rPr>
      <t>학과</t>
    </r>
    <r>
      <rPr>
        <rFont val="맑은 고딕"/>
        <b/>
        <color rgb="FF000000"/>
        <sz val="10.0"/>
      </rPr>
      <t>)</t>
    </r>
  </si>
  <si>
    <r>
      <rPr>
        <rFont val="Noto Sans CJK SC"/>
        <b/>
        <color rgb="FF000000"/>
        <sz val="11.0"/>
      </rPr>
      <t>수강과목</t>
    </r>
    <r>
      <rPr>
        <rFont val="맑은 고딕"/>
        <b/>
        <color rgb="FF000000"/>
        <sz val="11.0"/>
      </rPr>
      <t>·</t>
    </r>
    <r>
      <rPr>
        <rFont val="Noto Sans CJK SC"/>
        <b/>
        <color rgb="FF000000"/>
        <sz val="11.0"/>
      </rPr>
      <t>심화</t>
    </r>
    <r>
      <rPr>
        <rFont val="맑은 고딕"/>
        <b/>
        <color rgb="FF000000"/>
        <sz val="11.0"/>
      </rPr>
      <t>·</t>
    </r>
    <r>
      <rPr>
        <rFont val="Noto Sans CJK SC"/>
        <b/>
        <color rgb="FF000000"/>
        <sz val="11.0"/>
      </rPr>
      <t>융합 이수</t>
    </r>
  </si>
  <si>
    <r>
      <rPr>
        <rFont val="Noto Sans CJK SC"/>
        <color rgb="FF7F7F7F"/>
        <sz val="9.0"/>
      </rPr>
      <t>예</t>
    </r>
    <r>
      <rPr>
        <rFont val="맑은 고딕"/>
        <color rgb="FF7F7F7F"/>
        <sz val="9.0"/>
      </rPr>
      <t xml:space="preserve">: </t>
    </r>
    <r>
      <rPr>
        <rFont val="Noto Sans CJK SC"/>
        <color rgb="FF7F7F7F"/>
        <sz val="9.0"/>
      </rPr>
      <t>기계공학부</t>
    </r>
  </si>
  <si>
    <r>
      <rPr>
        <rFont val="Noto Sans CJK SC"/>
        <color rgb="FF7F7F7F"/>
        <sz val="9.0"/>
      </rPr>
      <t xml:space="preserve">숫자 </t>
    </r>
    <r>
      <rPr>
        <rFont val="맑은 고딕"/>
        <color rgb="FF7F7F7F"/>
        <sz val="9.0"/>
      </rPr>
      <t>1~6</t>
    </r>
  </si>
  <si>
    <r>
      <rPr>
        <rFont val="Noto Sans CJK SC"/>
        <color rgb="FF7F7F7F"/>
        <sz val="9.0"/>
      </rPr>
      <t>학사시스템 기준 현재 학년</t>
    </r>
    <r>
      <rPr>
        <rFont val="맑은 고딕"/>
        <color rgb="FF7F7F7F"/>
        <sz val="9.0"/>
      </rPr>
      <t>(</t>
    </r>
    <r>
      <rPr>
        <rFont val="Noto Sans CJK SC"/>
        <color rgb="FF7F7F7F"/>
        <sz val="9.0"/>
      </rPr>
      <t>숫자만</t>
    </r>
    <r>
      <rPr>
        <rFont val="맑은 고딕"/>
        <color rgb="FF7F7F7F"/>
        <sz val="9.0"/>
      </rPr>
      <t>)</t>
    </r>
  </si>
  <si>
    <r>
      <rPr>
        <rFont val="Noto Sans CJK SC"/>
        <color rgb="FF7F7F7F"/>
        <sz val="9.0"/>
      </rPr>
      <t>휴학 학기 제외</t>
    </r>
    <r>
      <rPr>
        <rFont val="맑은 고딕"/>
        <color rgb="FF7F7F7F"/>
        <sz val="9.0"/>
      </rPr>
      <t xml:space="preserve">, </t>
    </r>
    <r>
      <rPr>
        <rFont val="Noto Sans CJK SC"/>
        <color rgb="FF7F7F7F"/>
        <sz val="9.0"/>
      </rPr>
      <t>본교 기준</t>
    </r>
    <r>
      <rPr>
        <rFont val="맑은 고딕"/>
        <color rgb="FF7F7F7F"/>
        <sz val="9.0"/>
      </rPr>
      <t xml:space="preserve">. </t>
    </r>
    <r>
      <rPr>
        <rFont val="Noto Sans CJK SC"/>
        <color rgb="FF7F7F7F"/>
        <sz val="9.0"/>
      </rPr>
      <t>학년 보정에 사용</t>
    </r>
  </si>
  <si>
    <t>신입학</t>
  </si>
  <si>
    <r>
      <rPr>
        <rFont val="Noto Sans CJK SC"/>
        <color rgb="FF000000"/>
        <sz val="9.0"/>
      </rPr>
      <t>성적</t>
    </r>
    <r>
      <rPr>
        <rFont val="맑은 고딕"/>
        <color rgb="FF000000"/>
        <sz val="9.0"/>
      </rPr>
      <t>·</t>
    </r>
    <r>
      <rPr>
        <rFont val="Noto Sans CJK SC"/>
        <color rgb="FF000000"/>
        <sz val="9.0"/>
      </rPr>
      <t>수강</t>
    </r>
    <r>
      <rPr>
        <rFont val="맑은 고딕"/>
        <color rgb="FF000000"/>
        <sz val="9.0"/>
      </rPr>
      <t>·3</t>
    </r>
    <r>
      <rPr>
        <rFont val="Noto Sans CJK SC"/>
        <color rgb="FF000000"/>
        <sz val="9.0"/>
      </rPr>
      <t>품</t>
    </r>
    <r>
      <rPr>
        <rFont val="맑은 고딕"/>
        <color rgb="FF000000"/>
        <sz val="9.0"/>
      </rPr>
      <t>·</t>
    </r>
    <r>
      <rPr>
        <rFont val="Noto Sans CJK SC"/>
        <color rgb="FF000000"/>
        <sz val="9.0"/>
      </rPr>
      <t>비교과만 있고 나머지 대부분 미수집</t>
    </r>
    <r>
      <rPr>
        <rFont val="맑은 고딕"/>
        <color rgb="FF000000"/>
        <sz val="9.0"/>
      </rPr>
      <t>(</t>
    </r>
    <r>
      <rPr>
        <rFont val="Noto Sans CJK SC"/>
        <color rgb="FF000000"/>
        <sz val="9.0"/>
      </rPr>
      <t>일부는 상태조차 미선택</t>
    </r>
    <r>
      <rPr>
        <rFont val="맑은 고딕"/>
        <color rgb="FF000000"/>
        <sz val="9.0"/>
      </rPr>
      <t xml:space="preserve">) → </t>
    </r>
    <r>
      <rPr>
        <rFont val="Noto Sans CJK SC"/>
        <color rgb="FF000000"/>
        <sz val="9.0"/>
      </rPr>
      <t xml:space="preserve">대부분 역량 </t>
    </r>
    <r>
      <rPr>
        <rFont val="맑은 고딕"/>
        <color rgb="FF000000"/>
        <sz val="9.0"/>
      </rPr>
      <t>'</t>
    </r>
    <r>
      <rPr>
        <rFont val="Noto Sans CJK SC"/>
        <color rgb="FF000000"/>
        <sz val="9.0"/>
      </rPr>
      <t>판정 보류</t>
    </r>
    <r>
      <rPr>
        <rFont val="맑은 고딕"/>
        <color rgb="FF000000"/>
        <sz val="9.0"/>
      </rPr>
      <t>'</t>
    </r>
    <r>
      <rPr>
        <rFont val="Noto Sans CJK SC"/>
        <color rgb="FF000000"/>
        <sz val="9.0"/>
      </rPr>
      <t>가 나와야 정상</t>
    </r>
  </si>
  <si>
    <t>2023-03</t>
  </si>
  <si>
    <r>
      <rPr>
        <rFont val="맑은 고딕"/>
        <color rgb="FF000000"/>
        <sz val="9.0"/>
      </rPr>
      <t>S05_</t>
    </r>
    <r>
      <rPr>
        <rFont val="Noto Sans CJK SC"/>
        <color rgb="FF000000"/>
        <sz val="9.0"/>
      </rPr>
      <t>정하늘</t>
    </r>
  </si>
  <si>
    <r>
      <rPr>
        <rFont val="Noto Sans CJK SC"/>
        <color rgb="FF000000"/>
        <sz val="9.0"/>
      </rPr>
      <t>비정형</t>
    </r>
    <r>
      <rPr>
        <rFont val="맑은 고딕"/>
        <color rgb="FF000000"/>
        <sz val="9.0"/>
      </rPr>
      <t>·</t>
    </r>
    <r>
      <rPr>
        <rFont val="Noto Sans CJK SC"/>
        <color rgb="FF000000"/>
        <sz val="9.0"/>
      </rPr>
      <t>오류 입력형</t>
    </r>
  </si>
  <si>
    <t>2025316290</t>
  </si>
  <si>
    <t>경제대학</t>
  </si>
  <si>
    <r>
      <rPr>
        <rFont val="Noto Sans CJK SC"/>
        <color rgb="FF7F7F7F"/>
        <sz val="9.0"/>
      </rPr>
      <t>예</t>
    </r>
    <r>
      <rPr>
        <rFont val="맑은 고딕"/>
        <color rgb="FF7F7F7F"/>
        <sz val="9.0"/>
      </rPr>
      <t>: 2023-03</t>
    </r>
  </si>
  <si>
    <t>글로벌경제학과</t>
  </si>
  <si>
    <t>재학</t>
  </si>
  <si>
    <t>Y</t>
  </si>
  <si>
    <r>
      <rPr>
        <rFont val="맑은 고딕"/>
        <color rgb="FF7F7F7F"/>
        <sz val="9.0"/>
      </rPr>
      <t>N</t>
    </r>
    <r>
      <rPr>
        <rFont val="Noto Sans CJK SC"/>
        <color rgb="FF7F7F7F"/>
        <sz val="9.0"/>
      </rPr>
      <t xml:space="preserve">이면 </t>
    </r>
    <r>
      <rPr>
        <rFont val="맑은 고딕"/>
        <color rgb="FF7F7F7F"/>
        <sz val="9.0"/>
      </rPr>
      <t>4</t>
    </r>
    <r>
      <rPr>
        <rFont val="Noto Sans CJK SC"/>
        <color rgb="FF7F7F7F"/>
        <sz val="9.0"/>
      </rPr>
      <t xml:space="preserve">번 카테고리는 </t>
    </r>
    <r>
      <rPr>
        <rFont val="맑은 고딕"/>
        <color rgb="FF7F7F7F"/>
        <sz val="9.0"/>
      </rPr>
      <t>'</t>
    </r>
    <r>
      <rPr>
        <rFont val="Noto Sans CJK SC"/>
        <color rgb="FF7F7F7F"/>
        <sz val="9.0"/>
      </rPr>
      <t>해당 없음</t>
    </r>
    <r>
      <rPr>
        <rFont val="맑은 고딕"/>
        <color rgb="FF7F7F7F"/>
        <sz val="9.0"/>
      </rPr>
      <t>'</t>
    </r>
  </si>
  <si>
    <r>
      <rPr>
        <rFont val="Noto Sans CJK SC"/>
        <i/>
        <color rgb="FF7F7F7F"/>
        <sz val="8.0"/>
      </rPr>
      <t>출처</t>
    </r>
    <r>
      <rPr>
        <rFont val="맑은 고딕"/>
        <i/>
        <color rgb="FF7F7F7F"/>
        <sz val="8.0"/>
      </rPr>
      <t xml:space="preserve">: </t>
    </r>
    <r>
      <rPr>
        <rFont val="Noto Sans CJK SC"/>
        <i/>
        <color rgb="FF7F7F7F"/>
        <sz val="8.0"/>
      </rPr>
      <t>학사시스템</t>
    </r>
    <r>
      <rPr>
        <rFont val="맑은 고딕"/>
        <i/>
        <color rgb="FF7F7F7F"/>
        <sz val="8.0"/>
      </rPr>
      <t>(</t>
    </r>
    <r>
      <rPr>
        <rFont val="Noto Sans CJK SC"/>
        <i/>
        <color rgb="FF7F7F7F"/>
        <sz val="8.0"/>
      </rPr>
      <t>수강내역</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탐구력 </t>
    </r>
    <r>
      <rPr>
        <rFont val="맑은 고딕"/>
        <i/>
        <color rgb="FF7F7F7F"/>
        <sz val="8.0"/>
      </rPr>
      <t xml:space="preserve">/ </t>
    </r>
    <r>
      <rPr>
        <rFont val="Noto Sans CJK SC"/>
        <i/>
        <color rgb="FF7F7F7F"/>
        <sz val="8.0"/>
      </rPr>
      <t>종합적사고력</t>
    </r>
    <r>
      <rPr>
        <rFont val="맑은 고딕"/>
        <i/>
        <color rgb="FF7F7F7F"/>
        <sz val="8.0"/>
      </rPr>
      <t>(</t>
    </r>
    <r>
      <rPr>
        <rFont val="Noto Sans CJK SC"/>
        <i/>
        <color rgb="FF7F7F7F"/>
        <sz val="8.0"/>
      </rPr>
      <t>융합적 사고</t>
    </r>
    <r>
      <rPr>
        <rFont val="맑은 고딕"/>
        <i/>
        <color rgb="FF7F7F7F"/>
        <sz val="8.0"/>
      </rPr>
      <t xml:space="preserve">) /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마인드맵의 </t>
    </r>
    <r>
      <rPr>
        <rFont val="맑은 고딕"/>
        <i/>
        <color rgb="FF7F7F7F"/>
        <sz val="8.0"/>
      </rPr>
      <t>'</t>
    </r>
    <r>
      <rPr>
        <rFont val="Noto Sans CJK SC"/>
        <i/>
        <color rgb="FF7F7F7F"/>
        <sz val="8.0"/>
      </rPr>
      <t>융합 전공</t>
    </r>
    <r>
      <rPr>
        <rFont val="맑은 고딕"/>
        <i/>
        <color rgb="FF7F7F7F"/>
        <sz val="8.0"/>
      </rPr>
      <t>'</t>
    </r>
    <r>
      <rPr>
        <rFont val="Noto Sans CJK SC"/>
        <i/>
        <color rgb="FF7F7F7F"/>
        <sz val="8.0"/>
      </rPr>
      <t>은 기존 데이터셋에 없음 → 수강내역에서 도출</t>
    </r>
  </si>
  <si>
    <t>2026-10-01</t>
  </si>
  <si>
    <t>총 이수학점</t>
  </si>
  <si>
    <r>
      <rPr>
        <rFont val="Noto Sans CJK SC"/>
        <color rgb="FF000000"/>
        <sz val="9.0"/>
      </rPr>
      <t>연구</t>
    </r>
    <r>
      <rPr>
        <rFont val="맑은 고딕"/>
        <color rgb="FF000000"/>
        <sz val="9.0"/>
      </rPr>
      <t>·</t>
    </r>
    <r>
      <rPr>
        <rFont val="Noto Sans CJK SC"/>
        <color rgb="FF000000"/>
        <sz val="9.0"/>
      </rPr>
      <t>학술</t>
    </r>
  </si>
  <si>
    <r>
      <rPr>
        <rFont val="Noto Sans CJK SC"/>
        <color rgb="FF7F7F7F"/>
        <sz val="9.0"/>
      </rPr>
      <t>데이터 추출</t>
    </r>
    <r>
      <rPr>
        <rFont val="맑은 고딕"/>
        <color rgb="FF7F7F7F"/>
        <sz val="9.0"/>
      </rPr>
      <t>(</t>
    </r>
    <r>
      <rPr>
        <rFont val="Noto Sans CJK SC"/>
        <color rgb="FF7F7F7F"/>
        <sz val="9.0"/>
      </rPr>
      <t>또는 제출</t>
    </r>
    <r>
      <rPr>
        <rFont val="맑은 고딕"/>
        <color rgb="FF7F7F7F"/>
        <sz val="9.0"/>
      </rPr>
      <t xml:space="preserve">) </t>
    </r>
    <r>
      <rPr>
        <rFont val="Noto Sans CJK SC"/>
        <color rgb="FF7F7F7F"/>
        <sz val="9.0"/>
      </rPr>
      <t>기준일</t>
    </r>
  </si>
  <si>
    <r>
      <rPr>
        <rFont val="Noto Sans CJK SC"/>
        <color rgb="FF000000"/>
        <sz val="9.0"/>
      </rPr>
      <t>학회</t>
    </r>
    <r>
      <rPr>
        <rFont val="맑은 고딕"/>
        <color rgb="FF000000"/>
        <sz val="9.0"/>
      </rPr>
      <t>·</t>
    </r>
    <r>
      <rPr>
        <rFont val="Noto Sans CJK SC"/>
        <color rgb="FF000000"/>
        <sz val="9.0"/>
      </rPr>
      <t>연구활동</t>
    </r>
  </si>
  <si>
    <r>
      <rPr>
        <rFont val="Noto Sans CJK SC"/>
        <color rgb="FF7F7F7F"/>
        <sz val="9.0"/>
      </rPr>
      <t>예</t>
    </r>
    <r>
      <rPr>
        <rFont val="맑은 고딕"/>
        <color rgb="FF7F7F7F"/>
        <sz val="9.0"/>
      </rPr>
      <t>: 124</t>
    </r>
  </si>
  <si>
    <r>
      <rPr>
        <rFont val="Noto Sans CJK SC"/>
        <color rgb="FF000000"/>
        <sz val="9.0"/>
      </rPr>
      <t xml:space="preserve">기존 </t>
    </r>
    <r>
      <rPr>
        <rFont val="맑은 고딕"/>
        <color rgb="FF000000"/>
        <sz val="9.0"/>
      </rPr>
      <t xml:space="preserve">+ SKKU </t>
    </r>
    <r>
      <rPr>
        <rFont val="Noto Sans CJK SC"/>
        <color rgb="FF000000"/>
        <sz val="9.0"/>
      </rPr>
      <t>확보가능</t>
    </r>
  </si>
  <si>
    <t>심화과목 이수 과목 수</t>
  </si>
  <si>
    <t>혼합</t>
  </si>
  <si>
    <r>
      <rPr>
        <rFont val="Noto Sans CJK SC"/>
        <color rgb="FF7F7F7F"/>
        <sz val="9.0"/>
      </rPr>
      <t xml:space="preserve">없으면 </t>
    </r>
    <r>
      <rPr>
        <rFont val="맑은 고딕"/>
        <color rgb="FF7F7F7F"/>
        <sz val="9.0"/>
      </rPr>
      <t>0</t>
    </r>
  </si>
  <si>
    <r>
      <rPr>
        <rFont val="Noto Sans CJK SC"/>
        <b/>
        <color rgb="FF000000"/>
        <sz val="10.0"/>
      </rPr>
      <t>개인정보 수집</t>
    </r>
    <r>
      <rPr>
        <rFont val="맑은 고딕"/>
        <b/>
        <color rgb="FF000000"/>
        <sz val="10.0"/>
      </rPr>
      <t>·</t>
    </r>
    <r>
      <rPr>
        <rFont val="Noto Sans CJK SC"/>
        <b/>
        <color rgb="FF000000"/>
        <sz val="10.0"/>
      </rPr>
      <t>이용 동의</t>
    </r>
  </si>
  <si>
    <t>전공 구분</t>
  </si>
  <si>
    <t>전공명</t>
  </si>
  <si>
    <t>이수 상태</t>
  </si>
  <si>
    <t>이수 학점</t>
  </si>
  <si>
    <r>
      <rPr>
        <rFont val="맑은 고딕"/>
        <color rgb="FF7F7F7F"/>
        <sz val="9.0"/>
      </rPr>
      <t>N</t>
    </r>
    <r>
      <rPr>
        <rFont val="Noto Sans CJK SC"/>
        <color rgb="FF7F7F7F"/>
        <sz val="9.0"/>
      </rPr>
      <t>이면 평가 대상에서 제외</t>
    </r>
  </si>
  <si>
    <r>
      <rPr>
        <rFont val="맑은 고딕"/>
        <i/>
        <color rgb="FF7F7F7F"/>
        <sz val="8.0"/>
      </rPr>
      <t>[</t>
    </r>
    <r>
      <rPr>
        <rFont val="Noto Sans CJK SC"/>
        <i/>
        <color rgb="FF7F7F7F"/>
        <sz val="8.0"/>
      </rPr>
      <t xml:space="preserve">주전공 </t>
    </r>
    <r>
      <rPr>
        <rFont val="맑은 고딕"/>
        <i/>
        <color rgb="FF7F7F7F"/>
        <sz val="8.0"/>
      </rPr>
      <t xml:space="preserve">/ </t>
    </r>
    <r>
      <rPr>
        <rFont val="Noto Sans CJK SC"/>
        <i/>
        <color rgb="FF7F7F7F"/>
        <sz val="8.0"/>
      </rPr>
      <t xml:space="preserve">복수전공 </t>
    </r>
    <r>
      <rPr>
        <rFont val="맑은 고딕"/>
        <i/>
        <color rgb="FF7F7F7F"/>
        <sz val="8.0"/>
      </rPr>
      <t xml:space="preserve">/ </t>
    </r>
    <r>
      <rPr>
        <rFont val="Noto Sans CJK SC"/>
        <i/>
        <color rgb="FF7F7F7F"/>
        <sz val="8.0"/>
      </rPr>
      <t xml:space="preserve">부전공 </t>
    </r>
    <r>
      <rPr>
        <rFont val="맑은 고딕"/>
        <i/>
        <color rgb="FF7F7F7F"/>
        <sz val="8.0"/>
      </rPr>
      <t xml:space="preserve">/ </t>
    </r>
    <r>
      <rPr>
        <rFont val="Noto Sans CJK SC"/>
        <i/>
        <color rgb="FF7F7F7F"/>
        <sz val="8.0"/>
      </rPr>
      <t xml:space="preserve">연계전공 </t>
    </r>
    <r>
      <rPr>
        <rFont val="맑은 고딕"/>
        <i/>
        <color rgb="FF7F7F7F"/>
        <sz val="8.0"/>
      </rPr>
      <t xml:space="preserve">/ </t>
    </r>
    <r>
      <rPr>
        <rFont val="Noto Sans CJK SC"/>
        <i/>
        <color rgb="FF7F7F7F"/>
        <sz val="8.0"/>
      </rPr>
      <t xml:space="preserve">융합전공 </t>
    </r>
    <r>
      <rPr>
        <rFont val="맑은 고딕"/>
        <i/>
        <color rgb="FF7F7F7F"/>
        <sz val="8.0"/>
      </rPr>
      <t xml:space="preserve">/ </t>
    </r>
    <r>
      <rPr>
        <rFont val="Noto Sans CJK SC"/>
        <i/>
        <color rgb="FF7F7F7F"/>
        <sz val="8.0"/>
      </rPr>
      <t>심화전공</t>
    </r>
    <r>
      <rPr>
        <rFont val="맑은 고딕"/>
        <i/>
        <color rgb="FF7F7F7F"/>
        <sz val="8.0"/>
      </rPr>
      <t>]</t>
    </r>
  </si>
  <si>
    <r>
      <rPr>
        <rFont val="Noto Sans CJK SC"/>
        <b/>
        <color rgb="FFFFFFFF"/>
        <sz val="11.0"/>
      </rPr>
      <t>■ 학업</t>
    </r>
    <r>
      <rPr>
        <rFont val="맑은 고딕"/>
        <b/>
        <color rgb="FFFFFFFF"/>
        <sz val="11.0"/>
      </rPr>
      <t>·</t>
    </r>
    <r>
      <rPr>
        <rFont val="Noto Sans CJK SC"/>
        <b/>
        <color rgb="FFFFFFFF"/>
        <sz val="11.0"/>
      </rPr>
      <t>교과</t>
    </r>
  </si>
  <si>
    <r>
      <rPr>
        <rFont val="맑은 고딕"/>
        <i/>
        <color rgb="FF7F7F7F"/>
        <sz val="8.0"/>
      </rPr>
      <t>[</t>
    </r>
    <r>
      <rPr>
        <rFont val="Noto Sans CJK SC"/>
        <i/>
        <color rgb="FF7F7F7F"/>
        <sz val="8.0"/>
      </rPr>
      <t xml:space="preserve">신청 </t>
    </r>
    <r>
      <rPr>
        <rFont val="맑은 고딕"/>
        <i/>
        <color rgb="FF7F7F7F"/>
        <sz val="8.0"/>
      </rPr>
      <t xml:space="preserve">/ </t>
    </r>
    <r>
      <rPr>
        <rFont val="Noto Sans CJK SC"/>
        <i/>
        <color rgb="FF7F7F7F"/>
        <sz val="8.0"/>
      </rPr>
      <t xml:space="preserve">이수중 </t>
    </r>
    <r>
      <rPr>
        <rFont val="맑은 고딕"/>
        <i/>
        <color rgb="FF7F7F7F"/>
        <sz val="8.0"/>
      </rPr>
      <t xml:space="preserve">/ </t>
    </r>
    <r>
      <rPr>
        <rFont val="Noto Sans CJK SC"/>
        <i/>
        <color rgb="FF7F7F7F"/>
        <sz val="8.0"/>
      </rPr>
      <t>이수완료</t>
    </r>
    <r>
      <rPr>
        <rFont val="맑은 고딕"/>
        <i/>
        <color rgb="FF7F7F7F"/>
        <sz val="8.0"/>
      </rPr>
      <t>]</t>
    </r>
  </si>
  <si>
    <r>
      <rPr>
        <rFont val="Noto Sans CJK SC"/>
        <b/>
        <color rgb="FF000000"/>
        <sz val="11.0"/>
      </rPr>
      <t>성적데이터</t>
    </r>
    <r>
      <rPr>
        <rFont val="맑은 고딕"/>
        <b/>
        <color rgb="FF000000"/>
        <sz val="11.0"/>
      </rPr>
      <t>(</t>
    </r>
    <r>
      <rPr>
        <rFont val="Noto Sans CJK SC"/>
        <b/>
        <color rgb="FF000000"/>
        <sz val="11.0"/>
      </rPr>
      <t>전공</t>
    </r>
    <r>
      <rPr>
        <rFont val="맑은 고딕"/>
        <b/>
        <color rgb="FF000000"/>
        <sz val="11.0"/>
      </rPr>
      <t>·</t>
    </r>
    <r>
      <rPr>
        <rFont val="Noto Sans CJK SC"/>
        <b/>
        <color rgb="FF000000"/>
        <sz val="11.0"/>
      </rPr>
      <t>학기별</t>
    </r>
    <r>
      <rPr>
        <rFont val="맑은 고딕"/>
        <b/>
        <color rgb="FF000000"/>
        <sz val="11.0"/>
      </rPr>
      <t>)</t>
    </r>
  </si>
  <si>
    <r>
      <rPr>
        <rFont val="Noto Sans CJK SC"/>
        <color rgb="FF000000"/>
        <sz val="9.0"/>
      </rPr>
      <t>자유서술</t>
    </r>
    <r>
      <rPr>
        <rFont val="맑은 고딕"/>
        <color rgb="FF000000"/>
        <sz val="9.0"/>
      </rPr>
      <t>·</t>
    </r>
    <r>
      <rPr>
        <rFont val="Noto Sans CJK SC"/>
        <color rgb="FF000000"/>
        <sz val="9.0"/>
      </rPr>
      <t>단위 포함</t>
    </r>
    <r>
      <rPr>
        <rFont val="맑은 고딕"/>
        <color rgb="FF000000"/>
        <sz val="9.0"/>
      </rPr>
      <t>·</t>
    </r>
    <r>
      <rPr>
        <rFont val="Noto Sans CJK SC"/>
        <color rgb="FF000000"/>
        <sz val="9.0"/>
      </rPr>
      <t>날짜형식 혼재</t>
    </r>
    <r>
      <rPr>
        <rFont val="맑은 고딕"/>
        <color rgb="FF000000"/>
        <sz val="9.0"/>
      </rPr>
      <t>·</t>
    </r>
    <r>
      <rPr>
        <rFont val="Noto Sans CJK SC"/>
        <color rgb="FF000000"/>
        <sz val="9.0"/>
      </rPr>
      <t>한 칸 여러 값</t>
    </r>
    <r>
      <rPr>
        <rFont val="맑은 고딕"/>
        <color rgb="FF000000"/>
        <sz val="9.0"/>
      </rPr>
      <t>·</t>
    </r>
    <r>
      <rPr>
        <rFont val="Noto Sans CJK SC"/>
        <color rgb="FF000000"/>
        <sz val="9.0"/>
      </rPr>
      <t>상태</t>
    </r>
    <r>
      <rPr>
        <rFont val="맑은 고딕"/>
        <color rgb="FF000000"/>
        <sz val="9.0"/>
      </rPr>
      <t>-</t>
    </r>
    <r>
      <rPr>
        <rFont val="Noto Sans CJK SC"/>
        <color rgb="FF000000"/>
        <sz val="9.0"/>
      </rPr>
      <t>값 불일치 → 파싱 규칙과 ⚠ 자동점검이 잡아내는지 확인</t>
    </r>
  </si>
  <si>
    <r>
      <rPr>
        <rFont val="맑은 고딕"/>
        <color rgb="FF000000"/>
        <sz val="9.0"/>
      </rPr>
      <t>S06_</t>
    </r>
    <r>
      <rPr>
        <rFont val="Noto Sans CJK SC"/>
        <color rgb="FF000000"/>
        <sz val="9.0"/>
      </rPr>
      <t>한도윤</t>
    </r>
  </si>
  <si>
    <r>
      <rPr>
        <rFont val="Noto Sans CJK SC"/>
        <color rgb="FF000000"/>
        <sz val="9.0"/>
      </rPr>
      <t>편입</t>
    </r>
    <r>
      <rPr>
        <rFont val="맑은 고딕"/>
        <color rgb="FF000000"/>
        <sz val="9.0"/>
      </rPr>
      <t>·</t>
    </r>
    <r>
      <rPr>
        <rFont val="Noto Sans CJK SC"/>
        <color rgb="FF000000"/>
        <sz val="9.0"/>
      </rPr>
      <t xml:space="preserve">편중형 </t>
    </r>
    <r>
      <rPr>
        <rFont val="맑은 고딕"/>
        <color rgb="FF000000"/>
        <sz val="9.0"/>
      </rPr>
      <t xml:space="preserve">+ </t>
    </r>
    <r>
      <rPr>
        <rFont val="Noto Sans CJK SC"/>
        <color rgb="FF000000"/>
        <sz val="9.0"/>
      </rPr>
      <t>기본정보 불일치</t>
    </r>
  </si>
  <si>
    <t>2026317702</t>
  </si>
  <si>
    <t>화학공학부</t>
  </si>
  <si>
    <r>
      <rPr>
        <rFont val="Noto Sans CJK SC"/>
        <color rgb="FF000000"/>
        <sz val="9.0"/>
      </rPr>
      <t>연구</t>
    </r>
    <r>
      <rPr>
        <rFont val="맑은 고딕"/>
        <color rgb="FF000000"/>
        <sz val="9.0"/>
      </rPr>
      <t>·</t>
    </r>
    <r>
      <rPr>
        <rFont val="Noto Sans CJK SC"/>
        <color rgb="FF000000"/>
        <sz val="9.0"/>
      </rPr>
      <t>학술</t>
    </r>
  </si>
  <si>
    <r>
      <rPr>
        <rFont val="Noto Sans CJK SC"/>
        <color rgb="FF000000"/>
        <sz val="9.0"/>
      </rPr>
      <t>정보탐색 결과물</t>
    </r>
    <r>
      <rPr>
        <rFont val="맑은 고딕"/>
        <color rgb="FF000000"/>
        <sz val="9.0"/>
      </rPr>
      <t>(</t>
    </r>
    <r>
      <rPr>
        <rFont val="Noto Sans CJK SC"/>
        <color rgb="FF000000"/>
        <sz val="9.0"/>
      </rPr>
      <t>논문</t>
    </r>
    <r>
      <rPr>
        <rFont val="맑은 고딕"/>
        <color rgb="FF000000"/>
        <sz val="9.0"/>
      </rPr>
      <t>·</t>
    </r>
    <r>
      <rPr>
        <rFont val="Noto Sans CJK SC"/>
        <color rgb="FF000000"/>
        <sz val="9.0"/>
      </rPr>
      <t>보고서</t>
    </r>
    <r>
      <rPr>
        <rFont val="맑은 고딕"/>
        <color rgb="FF000000"/>
        <sz val="9.0"/>
      </rPr>
      <t>)</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</si>
  <si>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공학계열 한정 → 비대상 전공은 </t>
    </r>
    <r>
      <rPr>
        <rFont val="맑은 고딕"/>
        <i/>
        <color rgb="FF7F7F7F"/>
        <sz val="8.0"/>
      </rPr>
      <t>'</t>
    </r>
    <r>
      <rPr>
        <rFont val="Noto Sans CJK SC"/>
        <i/>
        <color rgb="FF7F7F7F"/>
        <sz val="8.0"/>
      </rPr>
      <t>해당 없음</t>
    </r>
    <r>
      <rPr>
        <rFont val="맑은 고딕"/>
        <i/>
        <color rgb="FF7F7F7F"/>
        <sz val="8.0"/>
      </rPr>
      <t xml:space="preserve">' </t>
    </r>
    <r>
      <rPr>
        <rFont val="Noto Sans CJK SC"/>
        <i/>
        <color rgb="FF7F7F7F"/>
        <sz val="8.0"/>
      </rPr>
      <t>처리</t>
    </r>
    <r>
      <rPr>
        <rFont val="맑은 고딕"/>
        <i/>
        <color rgb="FF7F7F7F"/>
        <sz val="8.0"/>
      </rPr>
      <t>(</t>
    </r>
    <r>
      <rPr>
        <rFont val="Noto Sans CJK SC"/>
        <i/>
        <color rgb="FF7F7F7F"/>
        <sz val="8.0"/>
      </rPr>
      <t>불이익 방지</t>
    </r>
    <r>
      <rPr>
        <rFont val="맑은 고딕"/>
        <i/>
        <color rgb="FF7F7F7F"/>
        <sz val="8.0"/>
      </rPr>
      <t>)</t>
    </r>
  </si>
  <si>
    <t>공학인증 대상 여부</t>
  </si>
  <si>
    <r>
      <rPr>
        <rFont val="Noto Sans CJK SC"/>
        <i/>
        <color rgb="FF7F7F7F"/>
        <sz val="8.0"/>
      </rPr>
      <t>출처</t>
    </r>
    <r>
      <rPr>
        <rFont val="맑은 고딕"/>
        <i/>
        <color rgb="FF7F7F7F"/>
        <sz val="8.0"/>
      </rPr>
      <t xml:space="preserve">: </t>
    </r>
    <r>
      <rPr>
        <rFont val="Noto Sans CJK SC"/>
        <i/>
        <color rgb="FF7F7F7F"/>
        <sz val="8.0"/>
      </rPr>
      <t>학사시스템</t>
    </r>
    <r>
      <rPr>
        <rFont val="맑은 고딕"/>
        <i/>
        <color rgb="FF7F7F7F"/>
        <sz val="8.0"/>
      </rPr>
      <t>(</t>
    </r>
    <r>
      <rPr>
        <rFont val="Noto Sans CJK SC"/>
        <i/>
        <color rgb="FF7F7F7F"/>
        <sz val="8.0"/>
      </rPr>
      <t>성적</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학업성취 </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xml:space="preserve">: [C] </t>
    </r>
    <r>
      <rPr>
        <rFont val="Noto Sans CJK SC"/>
        <i/>
        <color rgb="FF7F7F7F"/>
        <sz val="8.0"/>
      </rPr>
      <t>전공별</t>
    </r>
    <r>
      <rPr>
        <rFont val="맑은 고딕"/>
        <i/>
        <color rgb="FF7F7F7F"/>
        <sz val="8.0"/>
      </rPr>
      <t>·</t>
    </r>
    <r>
      <rPr>
        <rFont val="Noto Sans CJK SC"/>
        <i/>
        <color rgb="FF7F7F7F"/>
        <sz val="8.0"/>
      </rPr>
      <t>학기별 성적 통합</t>
    </r>
    <r>
      <rPr>
        <rFont val="맑은 고딕"/>
        <i/>
        <color rgb="FF7F7F7F"/>
        <sz val="8.0"/>
      </rPr>
      <t xml:space="preserve">. </t>
    </r>
    <r>
      <rPr>
        <rFont val="Noto Sans CJK SC"/>
        <i/>
        <color rgb="FF7F7F7F"/>
        <sz val="8.0"/>
      </rPr>
      <t xml:space="preserve">학기별 추이로 </t>
    </r>
    <r>
      <rPr>
        <rFont val="맑은 고딕"/>
        <i/>
        <color rgb="FF7F7F7F"/>
        <sz val="8.0"/>
      </rPr>
      <t>'</t>
    </r>
    <r>
      <rPr>
        <rFont val="Noto Sans CJK SC"/>
        <i/>
        <color rgb="FF7F7F7F"/>
        <sz val="8.0"/>
      </rPr>
      <t>성장</t>
    </r>
    <r>
      <rPr>
        <rFont val="맑은 고딕"/>
        <i/>
        <color rgb="FF7F7F7F"/>
        <sz val="8.0"/>
      </rPr>
      <t xml:space="preserve">' </t>
    </r>
    <r>
      <rPr>
        <rFont val="Noto Sans CJK SC"/>
        <i/>
        <color rgb="FF7F7F7F"/>
        <sz val="8.0"/>
      </rPr>
      <t>지표 추가 가능</t>
    </r>
  </si>
  <si>
    <r>
      <rPr>
        <rFont val="Noto Sans CJK SC"/>
        <color rgb="FF7F7F7F"/>
        <sz val="9.0"/>
      </rPr>
      <t xml:space="preserve">비대상 전공이면 상태를 </t>
    </r>
    <r>
      <rPr>
        <rFont val="맑은 고딕"/>
        <color rgb="FF7F7F7F"/>
        <sz val="9.0"/>
      </rPr>
      <t>'</t>
    </r>
    <r>
      <rPr>
        <rFont val="Noto Sans CJK SC"/>
        <color rgb="FF7F7F7F"/>
        <sz val="9.0"/>
      </rPr>
      <t>해당 없음</t>
    </r>
    <r>
      <rPr>
        <rFont val="맑은 고딕"/>
        <color rgb="FF7F7F7F"/>
        <sz val="9.0"/>
      </rPr>
      <t>'</t>
    </r>
    <r>
      <rPr>
        <rFont val="Noto Sans CJK SC"/>
        <color rgb="FF7F7F7F"/>
        <sz val="9.0"/>
      </rPr>
      <t xml:space="preserve">으로  </t>
    </r>
    <r>
      <rPr>
        <rFont val="맑은 고딕"/>
        <color rgb="FF7F7F7F"/>
        <sz val="9.0"/>
      </rPr>
      <t>[</t>
    </r>
    <r>
      <rPr>
        <rFont val="Noto Sans CJK SC"/>
        <color rgb="FF7F7F7F"/>
        <sz val="9.0"/>
      </rPr>
      <t xml:space="preserve">대상 </t>
    </r>
    <r>
      <rPr>
        <rFont val="맑은 고딕"/>
        <color rgb="FF7F7F7F"/>
        <sz val="9.0"/>
      </rPr>
      <t xml:space="preserve">/ </t>
    </r>
    <r>
      <rPr>
        <rFont val="Noto Sans CJK SC"/>
        <color rgb="FF7F7F7F"/>
        <sz val="9.0"/>
      </rPr>
      <t>비대상</t>
    </r>
    <r>
      <rPr>
        <rFont val="맑은 고딕"/>
        <color rgb="FF7F7F7F"/>
        <sz val="9.0"/>
      </rPr>
      <t>]</t>
    </r>
  </si>
  <si>
    <r>
      <rPr>
        <rFont val="Noto Sans CJK SC"/>
        <color rgb="FF000000"/>
        <sz val="9.0"/>
      </rPr>
      <t xml:space="preserve">편입 후 본교 </t>
    </r>
    <r>
      <rPr>
        <rFont val="맑은 고딕"/>
        <color rgb="FF000000"/>
        <sz val="9.0"/>
      </rPr>
      <t>1</t>
    </r>
    <r>
      <rPr>
        <rFont val="Noto Sans CJK SC"/>
        <color rgb="FF000000"/>
        <sz val="9.0"/>
      </rPr>
      <t>학기</t>
    </r>
    <r>
      <rPr>
        <rFont val="맑은 고딕"/>
        <color rgb="FF000000"/>
        <sz val="9.0"/>
      </rPr>
      <t xml:space="preserve">, </t>
    </r>
    <r>
      <rPr>
        <rFont val="Noto Sans CJK SC"/>
        <color rgb="FF000000"/>
        <sz val="9.0"/>
      </rPr>
      <t>글로벌</t>
    </r>
    <r>
      <rPr>
        <rFont val="맑은 고딕"/>
        <color rgb="FF000000"/>
        <sz val="9.0"/>
      </rPr>
      <t>·</t>
    </r>
    <r>
      <rPr>
        <rFont val="Noto Sans CJK SC"/>
        <color rgb="FF000000"/>
        <sz val="9.0"/>
      </rPr>
      <t>어학 데이터만 풍부</t>
    </r>
    <r>
      <rPr>
        <rFont val="맑은 고딕"/>
        <color rgb="FF000000"/>
        <sz val="9.0"/>
      </rPr>
      <t xml:space="preserve">, </t>
    </r>
    <r>
      <rPr>
        <rFont val="Noto Sans CJK SC"/>
        <color rgb="FF000000"/>
        <sz val="9.0"/>
      </rPr>
      <t>시트 학년</t>
    </r>
    <r>
      <rPr>
        <rFont val="맑은 고딕"/>
        <color rgb="FF000000"/>
        <sz val="9.0"/>
      </rPr>
      <t>(4)≠</t>
    </r>
    <r>
      <rPr>
        <rFont val="Noto Sans CJK SC"/>
        <color rgb="FF000000"/>
        <sz val="9.0"/>
      </rPr>
      <t>학사 명부</t>
    </r>
    <r>
      <rPr>
        <rFont val="맑은 고딕"/>
        <color rgb="FF000000"/>
        <sz val="9.0"/>
      </rPr>
      <t>(3) → '</t>
    </r>
    <r>
      <rPr>
        <rFont val="Noto Sans CJK SC"/>
        <color rgb="FF000000"/>
        <sz val="9.0"/>
      </rPr>
      <t>데이터 불일치 경고</t>
    </r>
    <r>
      <rPr>
        <rFont val="맑은 고딕"/>
        <color rgb="FF000000"/>
        <sz val="9.0"/>
      </rPr>
      <t>'</t>
    </r>
    <r>
      <rPr>
        <rFont val="Noto Sans CJK SC"/>
        <color rgb="FF000000"/>
        <sz val="9.0"/>
      </rPr>
      <t xml:space="preserve">와 편입생 공학인증 </t>
    </r>
    <r>
      <rPr>
        <rFont val="맑은 고딕"/>
        <color rgb="FF000000"/>
        <sz val="9.0"/>
      </rPr>
      <t>'</t>
    </r>
    <r>
      <rPr>
        <rFont val="Noto Sans CJK SC"/>
        <color rgb="FF000000"/>
        <sz val="9.0"/>
      </rPr>
      <t>해당 없음</t>
    </r>
    <r>
      <rPr>
        <rFont val="맑은 고딕"/>
        <color rgb="FF000000"/>
        <sz val="9.0"/>
      </rPr>
      <t xml:space="preserve">' </t>
    </r>
    <r>
      <rPr>
        <rFont val="Noto Sans CJK SC"/>
        <color rgb="FF000000"/>
        <sz val="9.0"/>
      </rPr>
      <t>처리 확인</t>
    </r>
  </si>
  <si>
    <r>
      <rPr>
        <rFont val="Noto Sans CJK SC"/>
        <b/>
        <color rgb="FF000000"/>
        <sz val="10.0"/>
      </rPr>
      <t>전체 평점</t>
    </r>
    <r>
      <rPr>
        <rFont val="맑은 고딕"/>
        <b/>
        <color rgb="FF000000"/>
        <sz val="10.0"/>
      </rPr>
      <t>(</t>
    </r>
    <r>
      <rPr>
        <rFont val="Noto Sans CJK SC"/>
        <b/>
        <color rgb="FF000000"/>
        <sz val="10.0"/>
      </rPr>
      <t>누적</t>
    </r>
    <r>
      <rPr>
        <rFont val="맑은 고딕"/>
        <b/>
        <color rgb="FF000000"/>
        <sz val="10.0"/>
      </rPr>
      <t>)</t>
    </r>
  </si>
  <si>
    <t>인증 프로그램명</t>
  </si>
  <si>
    <r>
      <rPr>
        <rFont val="Noto Sans CJK SC"/>
        <color rgb="FF7F7F7F"/>
        <sz val="9.0"/>
      </rPr>
      <t>예</t>
    </r>
    <r>
      <rPr>
        <rFont val="맑은 고딕"/>
        <color rgb="FF7F7F7F"/>
        <sz val="9.0"/>
      </rPr>
      <t xml:space="preserve">: </t>
    </r>
    <r>
      <rPr>
        <rFont val="Noto Sans CJK SC"/>
        <color rgb="FF7F7F7F"/>
        <sz val="9.0"/>
      </rPr>
      <t>기계공학 공학교육인증</t>
    </r>
  </si>
  <si>
    <r>
      <rPr>
        <rFont val="Noto Sans CJK SC"/>
        <color rgb="FF7F7F7F"/>
        <sz val="9.0"/>
      </rPr>
      <t>숫자</t>
    </r>
    <r>
      <rPr>
        <rFont val="맑은 고딕"/>
        <color rgb="FF7F7F7F"/>
        <sz val="9.0"/>
      </rPr>
      <t>(</t>
    </r>
    <r>
      <rPr>
        <rFont val="Noto Sans CJK SC"/>
        <color rgb="FF7F7F7F"/>
        <sz val="9.0"/>
      </rPr>
      <t xml:space="preserve">소수 </t>
    </r>
    <r>
      <rPr>
        <rFont val="맑은 고딕"/>
        <color rgb="FF7F7F7F"/>
        <sz val="9.0"/>
      </rPr>
      <t>2</t>
    </r>
    <r>
      <rPr>
        <rFont val="Noto Sans CJK SC"/>
        <color rgb="FF7F7F7F"/>
        <sz val="9.0"/>
      </rPr>
      <t>자리</t>
    </r>
    <r>
      <rPr>
        <rFont val="맑은 고딕"/>
        <color rgb="FF7F7F7F"/>
        <sz val="9.0"/>
      </rPr>
      <t>)</t>
    </r>
  </si>
  <si>
    <r>
      <rPr>
        <rFont val="Noto Sans CJK SC"/>
        <color rgb="FF7F7F7F"/>
        <sz val="9.0"/>
      </rPr>
      <t>예</t>
    </r>
    <r>
      <rPr>
        <rFont val="맑은 고딕"/>
        <color rgb="FF7F7F7F"/>
        <sz val="9.0"/>
      </rPr>
      <t>: 3.85</t>
    </r>
  </si>
  <si>
    <r>
      <rPr>
        <rFont val="Noto Sans CJK SC"/>
        <b/>
        <color rgb="FF000000"/>
        <sz val="10.0"/>
      </rPr>
      <t>전공 평점</t>
    </r>
    <r>
      <rPr>
        <rFont val="맑은 고딕"/>
        <b/>
        <color rgb="FF000000"/>
        <sz val="10.0"/>
      </rPr>
      <t>(</t>
    </r>
    <r>
      <rPr>
        <rFont val="Noto Sans CJK SC"/>
        <b/>
        <color rgb="FF000000"/>
        <sz val="10.0"/>
      </rPr>
      <t>누적</t>
    </r>
    <r>
      <rPr>
        <rFont val="맑은 고딕"/>
        <b/>
        <color rgb="FF000000"/>
        <sz val="10.0"/>
      </rPr>
      <t>)</t>
    </r>
  </si>
  <si>
    <r>
      <rPr>
        <rFont val="맑은 고딕"/>
        <color rgb="FF7F7F7F"/>
        <sz val="9.0"/>
      </rPr>
      <t>[</t>
    </r>
    <r>
      <rPr>
        <rFont val="Noto Sans CJK SC"/>
        <color rgb="FF7F7F7F"/>
        <sz val="9.0"/>
      </rPr>
      <t xml:space="preserve">이수중 </t>
    </r>
    <r>
      <rPr>
        <rFont val="맑은 고딕"/>
        <color rgb="FF7F7F7F"/>
        <sz val="9.0"/>
      </rPr>
      <t xml:space="preserve">/ </t>
    </r>
    <r>
      <rPr>
        <rFont val="Noto Sans CJK SC"/>
        <color rgb="FF7F7F7F"/>
        <sz val="9.0"/>
      </rPr>
      <t xml:space="preserve">이수완료 </t>
    </r>
    <r>
      <rPr>
        <rFont val="맑은 고딕"/>
        <color rgb="FF7F7F7F"/>
        <sz val="9.0"/>
      </rPr>
      <t xml:space="preserve">/ </t>
    </r>
    <r>
      <rPr>
        <rFont val="Noto Sans CJK SC"/>
        <color rgb="FF7F7F7F"/>
        <sz val="9.0"/>
      </rPr>
      <t xml:space="preserve">미이수 </t>
    </r>
    <r>
      <rPr>
        <rFont val="맑은 고딕"/>
        <color rgb="FF7F7F7F"/>
        <sz val="9.0"/>
      </rPr>
      <t xml:space="preserve">/ </t>
    </r>
    <r>
      <rPr>
        <rFont val="Noto Sans CJK SC"/>
        <color rgb="FF7F7F7F"/>
        <sz val="9.0"/>
      </rPr>
      <t>포기</t>
    </r>
    <r>
      <rPr>
        <rFont val="맑은 고딕"/>
        <color rgb="FF7F7F7F"/>
        <sz val="9.0"/>
      </rPr>
      <t>]</t>
    </r>
  </si>
  <si>
    <r>
      <rPr>
        <rFont val="Noto Sans CJK SC"/>
        <color rgb="FF7F7F7F"/>
        <sz val="9.0"/>
      </rPr>
      <t>숫자</t>
    </r>
    <r>
      <rPr>
        <rFont val="맑은 고딕"/>
        <color rgb="FF7F7F7F"/>
        <sz val="9.0"/>
      </rPr>
      <t>(</t>
    </r>
    <r>
      <rPr>
        <rFont val="Noto Sans CJK SC"/>
        <color rgb="FF7F7F7F"/>
        <sz val="9.0"/>
      </rPr>
      <t xml:space="preserve">소수 </t>
    </r>
    <r>
      <rPr>
        <rFont val="맑은 고딕"/>
        <color rgb="FF7F7F7F"/>
        <sz val="9.0"/>
      </rPr>
      <t>2</t>
    </r>
    <r>
      <rPr>
        <rFont val="Noto Sans CJK SC"/>
        <color rgb="FF7F7F7F"/>
        <sz val="9.0"/>
      </rPr>
      <t>자리</t>
    </r>
    <r>
      <rPr>
        <rFont val="맑은 고딕"/>
        <color rgb="FF7F7F7F"/>
        <sz val="9.0"/>
      </rPr>
      <t>)</t>
    </r>
  </si>
  <si>
    <r>
      <rPr>
        <rFont val="Noto Sans CJK SC"/>
        <color rgb="FF7F7F7F"/>
        <sz val="9.0"/>
      </rPr>
      <t>예</t>
    </r>
    <r>
      <rPr>
        <rFont val="맑은 고딕"/>
        <color rgb="FF7F7F7F"/>
        <sz val="9.0"/>
      </rPr>
      <t>: 3.92</t>
    </r>
  </si>
  <si>
    <r>
      <rPr>
        <rFont val="Noto Sans CJK SC"/>
        <b/>
        <color rgb="FFFFFFFF"/>
        <sz val="11.0"/>
      </rPr>
      <t>■ 학습행동</t>
    </r>
    <r>
      <rPr>
        <rFont val="맑은 고딕"/>
        <b/>
        <color rgb="FFFFFFFF"/>
        <sz val="11.0"/>
      </rPr>
      <t>(LMS)</t>
    </r>
  </si>
  <si>
    <r>
      <rPr>
        <rFont val="Noto Sans CJK SC"/>
        <color rgb="FF7F7F7F"/>
        <sz val="9.0"/>
      </rPr>
      <t xml:space="preserve">성균관대 </t>
    </r>
    <r>
      <rPr>
        <rFont val="맑은 고딕"/>
        <color rgb="FF7F7F7F"/>
        <sz val="9.0"/>
      </rPr>
      <t>4.5</t>
    </r>
  </si>
  <si>
    <r>
      <rPr>
        <rFont val="Noto Sans CJK SC"/>
        <color rgb="FF000000"/>
        <sz val="9.0"/>
      </rPr>
      <t>연구</t>
    </r>
    <r>
      <rPr>
        <rFont val="맑은 고딕"/>
        <color rgb="FF000000"/>
        <sz val="9.0"/>
      </rPr>
      <t>·</t>
    </r>
    <r>
      <rPr>
        <rFont val="Noto Sans CJK SC"/>
        <color rgb="FF000000"/>
        <sz val="9.0"/>
      </rPr>
      <t>학술</t>
    </r>
  </si>
  <si>
    <r>
      <rPr>
        <rFont val="맑은 고딕"/>
        <color rgb="FF000000"/>
        <sz val="9.0"/>
      </rPr>
      <t xml:space="preserve">TA </t>
    </r>
    <r>
      <rPr>
        <rFont val="Noto Sans CJK SC"/>
        <color rgb="FF000000"/>
        <sz val="9.0"/>
      </rPr>
      <t>활동</t>
    </r>
  </si>
  <si>
    <r>
      <rPr>
        <rFont val="맑은 고딕"/>
        <color rgb="FF000000"/>
        <sz val="9.0"/>
      </rPr>
      <t xml:space="preserve">SKKU </t>
    </r>
    <r>
      <rPr>
        <rFont val="Noto Sans CJK SC"/>
        <color rgb="FF000000"/>
        <sz val="9.0"/>
      </rPr>
      <t>확보가능</t>
    </r>
  </si>
  <si>
    <r>
      <rPr>
        <rFont val="맑은 고딕"/>
        <b/>
        <color rgb="FF000000"/>
        <sz val="11.0"/>
      </rPr>
      <t xml:space="preserve">LMS </t>
    </r>
    <r>
      <rPr>
        <rFont val="Noto Sans CJK SC"/>
        <b/>
        <color rgb="FF000000"/>
        <sz val="11.0"/>
      </rPr>
      <t>학습데이터</t>
    </r>
  </si>
  <si>
    <r>
      <rPr>
        <rFont val="맑은 고딕"/>
        <i/>
        <color rgb="FF7F7F7F"/>
        <sz val="8.0"/>
      </rPr>
      <t>YYYY-1 / YYYY-2 / YYYY-</t>
    </r>
    <r>
      <rPr>
        <rFont val="Noto Sans CJK SC"/>
        <i/>
        <color rgb="FF7F7F7F"/>
        <sz val="8.0"/>
      </rPr>
      <t xml:space="preserve">여름 </t>
    </r>
    <r>
      <rPr>
        <rFont val="맑은 고딕"/>
        <i/>
        <color rgb="FF7F7F7F"/>
        <sz val="8.0"/>
      </rPr>
      <t>/ YYYY-</t>
    </r>
    <r>
      <rPr>
        <rFont val="Noto Sans CJK SC"/>
        <i/>
        <color rgb="FF7F7F7F"/>
        <sz val="8.0"/>
      </rPr>
      <t>겨울</t>
    </r>
  </si>
  <si>
    <r>
      <rPr>
        <rFont val="Noto Sans CJK SC"/>
        <i/>
        <color rgb="FF7F7F7F"/>
        <sz val="8.0"/>
      </rPr>
      <t>휴학</t>
    </r>
    <r>
      <rPr>
        <rFont val="맑은 고딕"/>
        <i/>
        <color rgb="FF7F7F7F"/>
        <sz val="8.0"/>
      </rPr>
      <t>·</t>
    </r>
    <r>
      <rPr>
        <rFont val="Noto Sans CJK SC"/>
        <i/>
        <color rgb="FF7F7F7F"/>
        <sz val="8.0"/>
      </rPr>
      <t>계절 등</t>
    </r>
  </si>
  <si>
    <t>2023-1</t>
  </si>
  <si>
    <t>2023-2</t>
  </si>
  <si>
    <t>2024-1</t>
  </si>
  <si>
    <t>2024-2</t>
  </si>
  <si>
    <t>2025-1</t>
  </si>
  <si>
    <t>2025-2</t>
  </si>
  <si>
    <t>2026-1</t>
  </si>
  <si>
    <r>
      <rPr>
        <rFont val="Noto Sans CJK SC"/>
        <i/>
        <color rgb="FF7F7F7F"/>
        <sz val="8.0"/>
      </rPr>
      <t>출처</t>
    </r>
    <r>
      <rPr>
        <rFont val="맑은 고딕"/>
        <i/>
        <color rgb="FF7F7F7F"/>
        <sz val="8.0"/>
      </rPr>
      <t xml:space="preserve">: LMS(i-Campus) · </t>
    </r>
    <r>
      <rPr>
        <rFont val="Noto Sans CJK SC"/>
        <i/>
        <color rgb="FF7F7F7F"/>
        <sz val="8.0"/>
      </rPr>
      <t xml:space="preserve">출석앱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자기관리 </t>
    </r>
    <r>
      <rPr>
        <rFont val="맑은 고딕"/>
        <i/>
        <color rgb="FF7F7F7F"/>
        <sz val="8.0"/>
      </rPr>
      <t xml:space="preserve">/ </t>
    </r>
    <r>
      <rPr>
        <rFont val="Noto Sans CJK SC"/>
        <i/>
        <color rgb="FF7F7F7F"/>
        <sz val="8.0"/>
      </rPr>
      <t xml:space="preserve">성실성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마인드맵 </t>
    </r>
    <r>
      <rPr>
        <rFont val="맑은 고딕"/>
        <i/>
        <color rgb="FF7F7F7F"/>
        <sz val="8.0"/>
      </rPr>
      <t>'</t>
    </r>
    <r>
      <rPr>
        <rFont val="Noto Sans CJK SC"/>
        <i/>
        <color rgb="FF7F7F7F"/>
        <sz val="8.0"/>
      </rPr>
      <t>퀴즈 생성 주기</t>
    </r>
    <r>
      <rPr>
        <rFont val="맑은 고딕"/>
        <i/>
        <color rgb="FF7F7F7F"/>
        <sz val="8.0"/>
      </rPr>
      <t xml:space="preserve">' vs </t>
    </r>
    <r>
      <rPr>
        <rFont val="Noto Sans CJK SC"/>
        <i/>
        <color rgb="FF7F7F7F"/>
        <sz val="8.0"/>
      </rPr>
      <t xml:space="preserve">데이터 </t>
    </r>
    <r>
      <rPr>
        <rFont val="맑은 고딕"/>
        <i/>
        <color rgb="FF7F7F7F"/>
        <sz val="8.0"/>
      </rPr>
      <t>'</t>
    </r>
    <r>
      <rPr>
        <rFont val="Noto Sans CJK SC"/>
        <i/>
        <color rgb="FF7F7F7F"/>
        <sz val="8.0"/>
      </rPr>
      <t>퀴즈풀이횟수</t>
    </r>
    <r>
      <rPr>
        <rFont val="맑은 고딕"/>
        <i/>
        <color rgb="FF7F7F7F"/>
        <sz val="8.0"/>
      </rPr>
      <t xml:space="preserve">' </t>
    </r>
    <r>
      <rPr>
        <rFont val="Noto Sans CJK SC"/>
        <i/>
        <color rgb="FF7F7F7F"/>
        <sz val="8.0"/>
      </rPr>
      <t>용어 통일 필요</t>
    </r>
  </si>
  <si>
    <r>
      <rPr>
        <rFont val="Noto Sans CJK SC"/>
        <color rgb="FF000000"/>
        <sz val="9.0"/>
      </rPr>
      <t>실무</t>
    </r>
    <r>
      <rPr>
        <rFont val="맑은 고딕"/>
        <color rgb="FF000000"/>
        <sz val="9.0"/>
      </rPr>
      <t>·</t>
    </r>
    <r>
      <rPr>
        <rFont val="Noto Sans CJK SC"/>
        <color rgb="FF000000"/>
        <sz val="9.0"/>
      </rPr>
      <t>진로</t>
    </r>
  </si>
  <si>
    <t>집계 기간</t>
  </si>
  <si>
    <r>
      <rPr>
        <rFont val="Noto Sans CJK SC"/>
        <color rgb="FF000000"/>
        <sz val="9.0"/>
      </rPr>
      <t>인턴</t>
    </r>
    <r>
      <rPr>
        <rFont val="맑은 고딕"/>
        <color rgb="FF000000"/>
        <sz val="9.0"/>
      </rPr>
      <t>·</t>
    </r>
    <r>
      <rPr>
        <rFont val="Noto Sans CJK SC"/>
        <color rgb="FF000000"/>
        <sz val="9.0"/>
      </rPr>
      <t>현장실습</t>
    </r>
  </si>
  <si>
    <r>
      <rPr>
        <rFont val="Noto Sans CJK SC"/>
        <color rgb="FF000000"/>
        <sz val="9.0"/>
      </rPr>
      <t xml:space="preserve">기존 </t>
    </r>
    <r>
      <rPr>
        <rFont val="맑은 고딕"/>
        <color rgb="FF000000"/>
        <sz val="9.0"/>
      </rPr>
      <t xml:space="preserve">+ SKKU </t>
    </r>
    <r>
      <rPr>
        <rFont val="Noto Sans CJK SC"/>
        <color rgb="FF000000"/>
        <sz val="9.0"/>
      </rPr>
      <t>확보가능</t>
    </r>
  </si>
  <si>
    <r>
      <rPr>
        <rFont val="Noto Sans CJK SC"/>
        <color rgb="FF7F7F7F"/>
        <sz val="9.0"/>
      </rPr>
      <t>예</t>
    </r>
    <r>
      <rPr>
        <rFont val="맑은 고딕"/>
        <color rgb="FF7F7F7F"/>
        <sz val="9.0"/>
      </rPr>
      <t>: 2026-1</t>
    </r>
    <r>
      <rPr>
        <rFont val="Noto Sans CJK SC"/>
        <color rgb="FF7F7F7F"/>
        <sz val="9.0"/>
      </rPr>
      <t>학기</t>
    </r>
  </si>
  <si>
    <r>
      <rPr>
        <rFont val="Noto Sans CJK SC"/>
        <b/>
        <color rgb="FF000000"/>
        <sz val="10.0"/>
      </rPr>
      <t>출석률</t>
    </r>
    <r>
      <rPr>
        <rFont val="맑은 고딕"/>
        <b/>
        <color rgb="FF000000"/>
        <sz val="10.0"/>
      </rPr>
      <t>(%)</t>
    </r>
  </si>
  <si>
    <r>
      <rPr>
        <rFont val="Noto Sans CJK SC"/>
        <color rgb="FF7F7F7F"/>
        <sz val="9.0"/>
      </rPr>
      <t xml:space="preserve">숫자 </t>
    </r>
    <r>
      <rPr>
        <rFont val="맑은 고딕"/>
        <color rgb="FF7F7F7F"/>
        <sz val="9.0"/>
      </rPr>
      <t>0~100</t>
    </r>
  </si>
  <si>
    <r>
      <rPr>
        <rFont val="맑은 고딕"/>
        <color rgb="FF7F7F7F"/>
        <sz val="9.0"/>
      </rPr>
      <t xml:space="preserve">% </t>
    </r>
    <r>
      <rPr>
        <rFont val="Noto Sans CJK SC"/>
        <color rgb="FF7F7F7F"/>
        <sz val="9.0"/>
      </rPr>
      <t>기호 없이 숫자만</t>
    </r>
  </si>
  <si>
    <r>
      <rPr>
        <rFont val="Noto Sans CJK SC"/>
        <b/>
        <color rgb="FF000000"/>
        <sz val="10.0"/>
      </rPr>
      <t>과제 기한 준수율</t>
    </r>
    <r>
      <rPr>
        <rFont val="맑은 고딕"/>
        <b/>
        <color rgb="FF000000"/>
        <sz val="10.0"/>
      </rPr>
      <t>(%)</t>
    </r>
  </si>
  <si>
    <r>
      <rPr>
        <rFont val="Noto Sans CJK SC"/>
        <color rgb="FF7F7F7F"/>
        <sz val="9.0"/>
      </rPr>
      <t xml:space="preserve">숫자 </t>
    </r>
    <r>
      <rPr>
        <rFont val="맑은 고딕"/>
        <color rgb="FF7F7F7F"/>
        <sz val="9.0"/>
      </rPr>
      <t>0~100</t>
    </r>
  </si>
  <si>
    <r>
      <rPr>
        <rFont val="맑은 고딕"/>
        <color rgb="FF7F7F7F"/>
        <sz val="9.0"/>
      </rPr>
      <t xml:space="preserve">% </t>
    </r>
    <r>
      <rPr>
        <rFont val="Noto Sans CJK SC"/>
        <color rgb="FF7F7F7F"/>
        <sz val="9.0"/>
      </rPr>
      <t>기호 없이 숫자만</t>
    </r>
  </si>
  <si>
    <t>주당 평균 로그인 횟수</t>
  </si>
  <si>
    <r>
      <rPr>
        <rFont val="Noto Sans CJK SC"/>
        <color rgb="FF7F7F7F"/>
        <sz val="9.0"/>
      </rPr>
      <t>회</t>
    </r>
    <r>
      <rPr>
        <rFont val="맑은 고딕"/>
        <color rgb="FF7F7F7F"/>
        <sz val="9.0"/>
      </rPr>
      <t>/</t>
    </r>
    <r>
      <rPr>
        <rFont val="Noto Sans CJK SC"/>
        <color rgb="FF7F7F7F"/>
        <sz val="9.0"/>
      </rPr>
      <t>주</t>
    </r>
  </si>
  <si>
    <r>
      <rPr>
        <rFont val="Noto Sans CJK SC"/>
        <b/>
        <color rgb="FF000000"/>
        <sz val="10.0"/>
      </rPr>
      <t>퀴즈 풀이 횟수</t>
    </r>
    <r>
      <rPr>
        <rFont val="맑은 고딕"/>
        <b/>
        <color rgb="FF000000"/>
        <sz val="10.0"/>
      </rPr>
      <t>(</t>
    </r>
    <r>
      <rPr>
        <rFont val="Noto Sans CJK SC"/>
        <b/>
        <color rgb="FF000000"/>
        <sz val="10.0"/>
      </rPr>
      <t>누적</t>
    </r>
    <r>
      <rPr>
        <rFont val="맑은 고딕"/>
        <b/>
        <color rgb="FF000000"/>
        <sz val="10.0"/>
      </rPr>
      <t>)</t>
    </r>
  </si>
  <si>
    <t>집계 기간 내 누적</t>
  </si>
  <si>
    <r>
      <rPr>
        <rFont val="Noto Sans CJK SC"/>
        <b/>
        <color rgb="FF000000"/>
        <sz val="10.0"/>
      </rPr>
      <t>학습계획 달성률</t>
    </r>
    <r>
      <rPr>
        <rFont val="맑은 고딕"/>
        <b/>
        <color rgb="FF000000"/>
        <sz val="10.0"/>
      </rPr>
      <t>(%)</t>
    </r>
  </si>
  <si>
    <r>
      <rPr>
        <rFont val="Noto Sans CJK SC"/>
        <color rgb="FF7F7F7F"/>
        <sz val="9.0"/>
      </rPr>
      <t xml:space="preserve">숫자 </t>
    </r>
    <r>
      <rPr>
        <rFont val="맑은 고딕"/>
        <color rgb="FF7F7F7F"/>
        <sz val="9.0"/>
      </rPr>
      <t>0~100</t>
    </r>
  </si>
  <si>
    <r>
      <rPr>
        <rFont val="Noto Sans CJK SC"/>
        <b/>
        <color rgb="FF000000"/>
        <sz val="11.0"/>
      </rPr>
      <t>교수면담</t>
    </r>
    <r>
      <rPr>
        <rFont val="맑은 고딕"/>
        <b/>
        <color rgb="FF000000"/>
        <sz val="11.0"/>
      </rPr>
      <t>·</t>
    </r>
    <r>
      <rPr>
        <rFont val="Noto Sans CJK SC"/>
        <b/>
        <color rgb="FF000000"/>
        <sz val="11.0"/>
      </rPr>
      <t>학업상담</t>
    </r>
  </si>
  <si>
    <r>
      <rPr>
        <rFont val="Noto Sans CJK SC"/>
        <i/>
        <color rgb="FF7F7F7F"/>
        <sz val="8.0"/>
      </rPr>
      <t>출처</t>
    </r>
    <r>
      <rPr>
        <rFont val="맑은 고딕"/>
        <i/>
        <color rgb="FF7F7F7F"/>
        <sz val="8.0"/>
      </rPr>
      <t xml:space="preserve">: </t>
    </r>
    <r>
      <rPr>
        <rFont val="Noto Sans CJK SC"/>
        <i/>
        <color rgb="FF7F7F7F"/>
        <sz val="8.0"/>
      </rPr>
      <t>학사시스템</t>
    </r>
    <r>
      <rPr>
        <rFont val="맑은 고딕"/>
        <i/>
        <color rgb="FF7F7F7F"/>
        <sz val="8.0"/>
      </rPr>
      <t>(</t>
    </r>
    <r>
      <rPr>
        <rFont val="Noto Sans CJK SC"/>
        <i/>
        <color rgb="FF7F7F7F"/>
        <sz val="8.0"/>
      </rPr>
      <t>과목별 성적</t>
    </r>
    <r>
      <rPr>
        <rFont val="맑은 고딕"/>
        <i/>
        <color rgb="FF7F7F7F"/>
        <sz val="8.0"/>
      </rPr>
      <t>) + LMS(</t>
    </r>
    <r>
      <rPr>
        <rFont val="Noto Sans CJK SC"/>
        <i/>
        <color rgb="FF7F7F7F"/>
        <sz val="8.0"/>
      </rPr>
      <t>과제점수</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발표력 </t>
    </r>
    <r>
      <rPr>
        <rFont val="맑은 고딕"/>
        <i/>
        <color rgb="FF7F7F7F"/>
        <sz val="8.0"/>
      </rPr>
      <t xml:space="preserve">/ </t>
    </r>
    <r>
      <rPr>
        <rFont val="Noto Sans CJK SC"/>
        <i/>
        <color rgb="FF7F7F7F"/>
        <sz val="8.0"/>
      </rPr>
      <t xml:space="preserve">논리적사고 </t>
    </r>
    <r>
      <rPr>
        <rFont val="맑은 고딕"/>
        <i/>
        <color rgb="FF7F7F7F"/>
        <sz val="8.0"/>
      </rPr>
      <t xml:space="preserve">/ </t>
    </r>
    <r>
      <rPr>
        <rFont val="Noto Sans CJK SC"/>
        <i/>
        <color rgb="FF7F7F7F"/>
        <sz val="8.0"/>
      </rPr>
      <t xml:space="preserve">학업성취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과목에 </t>
    </r>
    <r>
      <rPr>
        <rFont val="맑은 고딕"/>
        <i/>
        <color rgb="FF7F7F7F"/>
        <sz val="8.0"/>
      </rPr>
      <t>'</t>
    </r>
    <r>
      <rPr>
        <rFont val="Noto Sans CJK SC"/>
        <i/>
        <color rgb="FF7F7F7F"/>
        <sz val="8.0"/>
      </rPr>
      <t>발표형</t>
    </r>
    <r>
      <rPr>
        <rFont val="맑은 고딕"/>
        <i/>
        <color rgb="FF7F7F7F"/>
        <sz val="8.0"/>
      </rPr>
      <t>·</t>
    </r>
    <r>
      <rPr>
        <rFont val="Noto Sans CJK SC"/>
        <i/>
        <color rgb="FF7F7F7F"/>
        <sz val="8.0"/>
      </rPr>
      <t>토론형</t>
    </r>
    <r>
      <rPr>
        <rFont val="맑은 고딕"/>
        <i/>
        <color rgb="FF7F7F7F"/>
        <sz val="8.0"/>
      </rPr>
      <t xml:space="preserve">' </t>
    </r>
    <r>
      <rPr>
        <rFont val="Noto Sans CJK SC"/>
        <i/>
        <color rgb="FF7F7F7F"/>
        <sz val="8.0"/>
      </rPr>
      <t>태그가 있어야 자동 분류 가능</t>
    </r>
  </si>
  <si>
    <r>
      <rPr>
        <rFont val="Noto Sans CJK SC"/>
        <color rgb="FF000000"/>
        <sz val="9.0"/>
      </rPr>
      <t>실무</t>
    </r>
    <r>
      <rPr>
        <rFont val="맑은 고딕"/>
        <color rgb="FF000000"/>
        <sz val="9.0"/>
      </rPr>
      <t>·</t>
    </r>
    <r>
      <rPr>
        <rFont val="Noto Sans CJK SC"/>
        <color rgb="FF000000"/>
        <sz val="9.0"/>
      </rPr>
      <t>진로</t>
    </r>
  </si>
  <si>
    <r>
      <rPr>
        <rFont val="Noto Sans CJK SC"/>
        <b/>
        <color rgb="FF000000"/>
        <sz val="9.0"/>
      </rPr>
      <t>과제</t>
    </r>
    <r>
      <rPr>
        <rFont val="맑은 고딕"/>
        <b/>
        <color rgb="FF000000"/>
        <sz val="9.0"/>
      </rPr>
      <t>·</t>
    </r>
    <r>
      <rPr>
        <rFont val="Noto Sans CJK SC"/>
        <b/>
        <color rgb="FF000000"/>
        <sz val="9.0"/>
      </rPr>
      <t>보고서 점수</t>
    </r>
  </si>
  <si>
    <t>아르바이트경험</t>
  </si>
  <si>
    <r>
      <rPr>
        <rFont val="맑은 고딕"/>
        <i/>
        <color rgb="FF7F7F7F"/>
        <sz val="8.0"/>
      </rPr>
      <t>YYYY-1 / YYYY-2 / YYYY-</t>
    </r>
    <r>
      <rPr>
        <rFont val="Noto Sans CJK SC"/>
        <i/>
        <color rgb="FF7F7F7F"/>
        <sz val="8.0"/>
      </rPr>
      <t xml:space="preserve">여름 </t>
    </r>
    <r>
      <rPr>
        <rFont val="맑은 고딕"/>
        <i/>
        <color rgb="FF7F7F7F"/>
        <sz val="8.0"/>
      </rPr>
      <t>/ YYYY-</t>
    </r>
    <r>
      <rPr>
        <rFont val="Noto Sans CJK SC"/>
        <i/>
        <color rgb="FF7F7F7F"/>
        <sz val="8.0"/>
      </rPr>
      <t>겨울</t>
    </r>
  </si>
  <si>
    <r>
      <rPr>
        <rFont val="맑은 고딕"/>
        <i/>
        <color rgb="FF7F7F7F"/>
        <sz val="8.0"/>
      </rPr>
      <t>[</t>
    </r>
    <r>
      <rPr>
        <rFont val="Noto Sans CJK SC"/>
        <i/>
        <color rgb="FF7F7F7F"/>
        <sz val="8.0"/>
      </rPr>
      <t xml:space="preserve">발표형 </t>
    </r>
    <r>
      <rPr>
        <rFont val="맑은 고딕"/>
        <i/>
        <color rgb="FF7F7F7F"/>
        <sz val="8.0"/>
      </rPr>
      <t xml:space="preserve">/ </t>
    </r>
    <r>
      <rPr>
        <rFont val="Noto Sans CJK SC"/>
        <i/>
        <color rgb="FF7F7F7F"/>
        <sz val="8.0"/>
      </rPr>
      <t xml:space="preserve">토론형 </t>
    </r>
    <r>
      <rPr>
        <rFont val="맑은 고딕"/>
        <i/>
        <color rgb="FF7F7F7F"/>
        <sz val="8.0"/>
      </rPr>
      <t xml:space="preserve">/ </t>
    </r>
    <r>
      <rPr>
        <rFont val="Noto Sans CJK SC"/>
        <i/>
        <color rgb="FF7F7F7F"/>
        <sz val="8.0"/>
      </rPr>
      <t>과제</t>
    </r>
    <r>
      <rPr>
        <rFont val="맑은 고딕"/>
        <i/>
        <color rgb="FF7F7F7F"/>
        <sz val="8.0"/>
      </rPr>
      <t>·</t>
    </r>
    <r>
      <rPr>
        <rFont val="Noto Sans CJK SC"/>
        <i/>
        <color rgb="FF7F7F7F"/>
        <sz val="8.0"/>
      </rPr>
      <t xml:space="preserve">보고서형 </t>
    </r>
    <r>
      <rPr>
        <rFont val="맑은 고딕"/>
        <i/>
        <color rgb="FF7F7F7F"/>
        <sz val="8.0"/>
      </rPr>
      <t>/ PBL</t>
    </r>
    <r>
      <rPr>
        <rFont val="Noto Sans CJK SC"/>
        <i/>
        <color rgb="FF7F7F7F"/>
        <sz val="8.0"/>
      </rPr>
      <t>형</t>
    </r>
    <r>
      <rPr>
        <rFont val="맑은 고딕"/>
        <i/>
        <color rgb="FF7F7F7F"/>
        <sz val="8.0"/>
      </rPr>
      <t>]</t>
    </r>
  </si>
  <si>
    <r>
      <rPr>
        <rFont val="Noto Sans CJK SC"/>
        <i/>
        <color rgb="FF7F7F7F"/>
        <sz val="8.0"/>
      </rPr>
      <t>출처</t>
    </r>
    <r>
      <rPr>
        <rFont val="맑은 고딕"/>
        <i/>
        <color rgb="FF7F7F7F"/>
        <sz val="8.0"/>
      </rPr>
      <t xml:space="preserve">: </t>
    </r>
    <r>
      <rPr>
        <rFont val="Noto Sans CJK SC"/>
        <i/>
        <color rgb="FF7F7F7F"/>
        <sz val="8.0"/>
      </rPr>
      <t xml:space="preserve">상담 기록 시스템 </t>
    </r>
    <r>
      <rPr>
        <rFont val="맑은 고딕"/>
        <i/>
        <color rgb="FF7F7F7F"/>
        <sz val="8.0"/>
      </rPr>
      <t xml:space="preserve">· LMS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성실성</t>
    </r>
    <r>
      <rPr>
        <rFont val="맑은 고딕"/>
        <i/>
        <color rgb="FF7F7F7F"/>
        <sz val="8.0"/>
      </rPr>
      <t>(</t>
    </r>
    <r>
      <rPr>
        <rFont val="Noto Sans CJK SC"/>
        <i/>
        <color rgb="FF7F7F7F"/>
        <sz val="8.0"/>
      </rPr>
      <t>수업참여도</t>
    </r>
    <r>
      <rPr>
        <rFont val="맑은 고딕"/>
        <i/>
        <color rgb="FF7F7F7F"/>
        <sz val="8.0"/>
      </rPr>
      <t xml:space="preserve">) / </t>
    </r>
    <r>
      <rPr>
        <rFont val="Noto Sans CJK SC"/>
        <i/>
        <color rgb="FF7F7F7F"/>
        <sz val="8.0"/>
      </rPr>
      <t xml:space="preserve">소통능력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기존 데이터셋에선 </t>
    </r>
    <r>
      <rPr>
        <rFont val="맑은 고딕"/>
        <i/>
        <color rgb="FF7F7F7F"/>
        <sz val="8.0"/>
      </rPr>
      <t xml:space="preserve">LMS </t>
    </r>
    <r>
      <rPr>
        <rFont val="Noto Sans CJK SC"/>
        <i/>
        <color rgb="FF7F7F7F"/>
        <sz val="8.0"/>
      </rPr>
      <t>항목 안에 섞여 있어 분리</t>
    </r>
  </si>
  <si>
    <r>
      <rPr>
        <rFont val="Noto Sans CJK SC"/>
        <i/>
        <color rgb="FF7F7F7F"/>
        <sz val="8.0"/>
      </rPr>
      <t>숫자</t>
    </r>
    <r>
      <rPr>
        <rFont val="맑은 고딕"/>
        <i/>
        <color rgb="FF7F7F7F"/>
        <sz val="8.0"/>
      </rPr>
      <t>(100</t>
    </r>
    <r>
      <rPr>
        <rFont val="Noto Sans CJK SC"/>
        <i/>
        <color rgb="FF7F7F7F"/>
        <sz val="8.0"/>
      </rPr>
      <t>점</t>
    </r>
    <r>
      <rPr>
        <rFont val="맑은 고딕"/>
        <i/>
        <color rgb="FF7F7F7F"/>
        <sz val="8.0"/>
      </rPr>
      <t>)</t>
    </r>
  </si>
  <si>
    <r>
      <rPr>
        <rFont val="Noto Sans CJK SC"/>
        <color rgb="FF7F7F7F"/>
        <sz val="9.0"/>
      </rPr>
      <t>예</t>
    </r>
    <r>
      <rPr>
        <rFont val="맑은 고딕"/>
        <color rgb="FF7F7F7F"/>
        <sz val="9.0"/>
      </rPr>
      <t xml:space="preserve">: </t>
    </r>
    <r>
      <rPr>
        <rFont val="Noto Sans CJK SC"/>
        <color rgb="FF7F7F7F"/>
        <sz val="9.0"/>
      </rPr>
      <t>입학</t>
    </r>
    <r>
      <rPr>
        <rFont val="맑은 고딕"/>
        <color rgb="FF7F7F7F"/>
        <sz val="9.0"/>
      </rPr>
      <t>~2026-1</t>
    </r>
  </si>
  <si>
    <t>데이터분석과 의사결정</t>
  </si>
  <si>
    <r>
      <rPr>
        <rFont val="Noto Sans CJK SC"/>
        <b/>
        <color rgb="FF000000"/>
        <sz val="10.0"/>
      </rPr>
      <t>교수 면담 횟수</t>
    </r>
    <r>
      <rPr>
        <rFont val="맑은 고딕"/>
        <b/>
        <color rgb="FF000000"/>
        <sz val="10.0"/>
      </rPr>
      <t>(</t>
    </r>
    <r>
      <rPr>
        <rFont val="Noto Sans CJK SC"/>
        <b/>
        <color rgb="FF000000"/>
        <sz val="10.0"/>
      </rPr>
      <t>누적</t>
    </r>
    <r>
      <rPr>
        <rFont val="맑은 고딕"/>
        <b/>
        <color rgb="FF000000"/>
        <sz val="10.0"/>
      </rPr>
      <t>)</t>
    </r>
  </si>
  <si>
    <t>발표형</t>
  </si>
  <si>
    <r>
      <rPr>
        <rFont val="Noto Sans CJK SC"/>
        <b/>
        <color rgb="FF000000"/>
        <sz val="10.0"/>
      </rPr>
      <t>학업상담 횟수</t>
    </r>
    <r>
      <rPr>
        <rFont val="맑은 고딕"/>
        <b/>
        <color rgb="FF000000"/>
        <sz val="10.0"/>
      </rPr>
      <t>(</t>
    </r>
    <r>
      <rPr>
        <rFont val="Noto Sans CJK SC"/>
        <b/>
        <color rgb="FF000000"/>
        <sz val="10.0"/>
      </rPr>
      <t>누적</t>
    </r>
    <r>
      <rPr>
        <rFont val="맑은 고딕"/>
        <b/>
        <color rgb="FF000000"/>
        <sz val="10.0"/>
      </rPr>
      <t>)</t>
    </r>
  </si>
  <si>
    <t>A+</t>
  </si>
  <si>
    <t>주요 상담 주제</t>
  </si>
  <si>
    <t>공학윤리와 토론</t>
  </si>
  <si>
    <t>짧게 요약</t>
  </si>
  <si>
    <t>토론형</t>
  </si>
  <si>
    <t>A0</t>
  </si>
  <si>
    <t>생산운영관리</t>
  </si>
  <si>
    <r>
      <rPr>
        <rFont val="Noto Sans CJK SC"/>
        <color rgb="FF1F3B8A"/>
        <sz val="10.0"/>
      </rPr>
      <t>과제</t>
    </r>
    <r>
      <rPr>
        <rFont val="맑은 고딕"/>
        <color rgb="FF1F3B8A"/>
        <sz val="10.0"/>
      </rPr>
      <t>·</t>
    </r>
    <r>
      <rPr>
        <rFont val="Noto Sans CJK SC"/>
        <color rgb="FF1F3B8A"/>
        <sz val="10.0"/>
      </rPr>
      <t>보고서형</t>
    </r>
  </si>
  <si>
    <r>
      <rPr>
        <rFont val="Noto Sans CJK SC"/>
        <color rgb="FF000000"/>
        <sz val="9.0"/>
      </rPr>
      <t>실무</t>
    </r>
    <r>
      <rPr>
        <rFont val="맑은 고딕"/>
        <color rgb="FF000000"/>
        <sz val="9.0"/>
      </rPr>
      <t>·</t>
    </r>
    <r>
      <rPr>
        <rFont val="Noto Sans CJK SC"/>
        <color rgb="FF000000"/>
        <sz val="9.0"/>
      </rPr>
      <t>진로</t>
    </r>
  </si>
  <si>
    <r>
      <rPr>
        <rFont val="Noto Sans CJK SC"/>
        <color rgb="FF000000"/>
        <sz val="9.0"/>
      </rPr>
      <t>진로설계</t>
    </r>
    <r>
      <rPr>
        <rFont val="맑은 고딕"/>
        <color rgb="FF000000"/>
        <sz val="9.0"/>
      </rPr>
      <t>·</t>
    </r>
    <r>
      <rPr>
        <rFont val="Noto Sans CJK SC"/>
        <color rgb="FF000000"/>
        <sz val="9.0"/>
      </rPr>
      <t>취업상담</t>
    </r>
  </si>
  <si>
    <t>캡스톤디자인</t>
  </si>
  <si>
    <r>
      <rPr>
        <rFont val="Noto Sans CJK SC"/>
        <b/>
        <color rgb="FF000000"/>
        <sz val="11.0"/>
      </rPr>
      <t>토론</t>
    </r>
    <r>
      <rPr>
        <rFont val="맑은 고딕"/>
        <b/>
        <color rgb="FF000000"/>
        <sz val="11.0"/>
      </rPr>
      <t>·</t>
    </r>
    <r>
      <rPr>
        <rFont val="Noto Sans CJK SC"/>
        <b/>
        <color rgb="FF000000"/>
        <sz val="11.0"/>
      </rPr>
      <t>게시판 참여</t>
    </r>
  </si>
  <si>
    <r>
      <rPr>
        <rFont val="맑은 고딕"/>
        <color rgb="FF1F3B8A"/>
        <sz val="10.0"/>
      </rPr>
      <t>PBL</t>
    </r>
    <r>
      <rPr>
        <rFont val="Noto Sans CJK SC"/>
        <color rgb="FF1F3B8A"/>
        <sz val="10.0"/>
      </rPr>
      <t>형</t>
    </r>
  </si>
  <si>
    <r>
      <rPr>
        <rFont val="Noto Sans CJK SC"/>
        <b/>
        <color rgb="FF000000"/>
        <sz val="11.0"/>
      </rPr>
      <t>수강과목</t>
    </r>
    <r>
      <rPr>
        <rFont val="맑은 고딕"/>
        <b/>
        <color rgb="FF000000"/>
        <sz val="11.0"/>
      </rPr>
      <t>·</t>
    </r>
    <r>
      <rPr>
        <rFont val="Noto Sans CJK SC"/>
        <b/>
        <color rgb="FF000000"/>
        <sz val="11.0"/>
      </rPr>
      <t>심화</t>
    </r>
    <r>
      <rPr>
        <rFont val="맑은 고딕"/>
        <b/>
        <color rgb="FF000000"/>
        <sz val="11.0"/>
      </rPr>
      <t>·</t>
    </r>
    <r>
      <rPr>
        <rFont val="Noto Sans CJK SC"/>
        <b/>
        <color rgb="FF000000"/>
        <sz val="11.0"/>
      </rPr>
      <t>융합 이수</t>
    </r>
  </si>
  <si>
    <r>
      <rPr>
        <rFont val="Noto Sans CJK SC"/>
        <i/>
        <color rgb="FF7F7F7F"/>
        <sz val="8.0"/>
      </rPr>
      <t>출처</t>
    </r>
    <r>
      <rPr>
        <rFont val="맑은 고딕"/>
        <i/>
        <color rgb="FF7F7F7F"/>
        <sz val="8.0"/>
      </rPr>
      <t xml:space="preserve">: LMS(i-Campus)   |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소통능력 </t>
    </r>
    <r>
      <rPr>
        <rFont val="맑은 고딕"/>
        <i/>
        <color rgb="FF7F7F7F"/>
        <sz val="8.0"/>
      </rPr>
      <t xml:space="preserve">/ </t>
    </r>
    <r>
      <rPr>
        <rFont val="Noto Sans CJK SC"/>
        <i/>
        <color rgb="FF7F7F7F"/>
        <sz val="8.0"/>
      </rPr>
      <t xml:space="preserve">수업참여도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교수 관심 </t>
    </r>
    <r>
      <rPr>
        <rFont val="맑은 고딕"/>
        <i/>
        <color rgb="FF7F7F7F"/>
        <sz val="8.0"/>
      </rPr>
      <t>'</t>
    </r>
    <r>
      <rPr>
        <rFont val="Noto Sans CJK SC"/>
        <i/>
        <color rgb="FF7F7F7F"/>
        <sz val="8.0"/>
      </rPr>
      <t>소통능력</t>
    </r>
    <r>
      <rPr>
        <rFont val="맑은 고딕"/>
        <i/>
        <color rgb="FF7F7F7F"/>
        <sz val="8.0"/>
      </rPr>
      <t>'</t>
    </r>
    <r>
      <rPr>
        <rFont val="Noto Sans CJK SC"/>
        <i/>
        <color rgb="FF7F7F7F"/>
        <sz val="8.0"/>
      </rPr>
      <t>의 정량 근거 보강</t>
    </r>
  </si>
  <si>
    <r>
      <rPr>
        <rFont val="Noto Sans CJK SC"/>
        <color rgb="FF7F7F7F"/>
        <sz val="9.0"/>
      </rPr>
      <t>예</t>
    </r>
    <r>
      <rPr>
        <rFont val="맑은 고딕"/>
        <color rgb="FF7F7F7F"/>
        <sz val="9.0"/>
      </rPr>
      <t>: 2026-1</t>
    </r>
    <r>
      <rPr>
        <rFont val="Noto Sans CJK SC"/>
        <color rgb="FF7F7F7F"/>
        <sz val="9.0"/>
      </rPr>
      <t>학기</t>
    </r>
  </si>
  <si>
    <t>토론방 게시글 수</t>
  </si>
  <si>
    <r>
      <rPr>
        <rFont val="Noto Sans CJK SC"/>
        <color rgb="FF000000"/>
        <sz val="9.0"/>
      </rPr>
      <t>창의</t>
    </r>
    <r>
      <rPr>
        <rFont val="맑은 고딕"/>
        <color rgb="FF000000"/>
        <sz val="9.0"/>
      </rPr>
      <t>·</t>
    </r>
    <r>
      <rPr>
        <rFont val="Noto Sans CJK SC"/>
        <color rgb="FF000000"/>
        <sz val="9.0"/>
      </rPr>
      <t>도전</t>
    </r>
  </si>
  <si>
    <r>
      <rPr>
        <rFont val="Noto Sans CJK SC"/>
        <color rgb="FF000000"/>
        <sz val="9.0"/>
      </rPr>
      <t>공모전 참가</t>
    </r>
    <r>
      <rPr>
        <rFont val="맑은 고딕"/>
        <color rgb="FF000000"/>
        <sz val="9.0"/>
      </rPr>
      <t>·</t>
    </r>
    <r>
      <rPr>
        <rFont val="Noto Sans CJK SC"/>
        <color rgb="FF000000"/>
        <sz val="9.0"/>
      </rPr>
      <t>수상</t>
    </r>
  </si>
  <si>
    <r>
      <rPr>
        <rFont val="Noto Sans CJK SC"/>
        <color rgb="FF000000"/>
        <sz val="9.0"/>
      </rPr>
      <t xml:space="preserve">기존 </t>
    </r>
    <r>
      <rPr>
        <rFont val="맑은 고딕"/>
        <color rgb="FF000000"/>
        <sz val="9.0"/>
      </rPr>
      <t xml:space="preserve">+ SKKU </t>
    </r>
    <r>
      <rPr>
        <rFont val="Noto Sans CJK SC"/>
        <color rgb="FF000000"/>
        <sz val="9.0"/>
      </rPr>
      <t>확보가능</t>
    </r>
  </si>
  <si>
    <t>토론방 댓글 수</t>
  </si>
  <si>
    <t>질의응답 참여 횟수</t>
  </si>
  <si>
    <r>
      <rPr>
        <rFont val="Noto Sans CJK SC"/>
        <i/>
        <color rgb="FF7F7F7F"/>
        <sz val="8.0"/>
      </rPr>
      <t>출처</t>
    </r>
    <r>
      <rPr>
        <rFont val="맑은 고딕"/>
        <i/>
        <color rgb="FF7F7F7F"/>
        <sz val="8.0"/>
      </rPr>
      <t xml:space="preserve">: </t>
    </r>
    <r>
      <rPr>
        <rFont val="Noto Sans CJK SC"/>
        <i/>
        <color rgb="FF7F7F7F"/>
        <sz val="8.0"/>
      </rPr>
      <t>학사시스템</t>
    </r>
    <r>
      <rPr>
        <rFont val="맑은 고딕"/>
        <i/>
        <color rgb="FF7F7F7F"/>
        <sz val="8.0"/>
      </rPr>
      <t>(</t>
    </r>
    <r>
      <rPr>
        <rFont val="Noto Sans CJK SC"/>
        <i/>
        <color rgb="FF7F7F7F"/>
        <sz val="8.0"/>
      </rPr>
      <t>수강내역</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탐구력 </t>
    </r>
    <r>
      <rPr>
        <rFont val="맑은 고딕"/>
        <i/>
        <color rgb="FF7F7F7F"/>
        <sz val="8.0"/>
      </rPr>
      <t xml:space="preserve">/ </t>
    </r>
    <r>
      <rPr>
        <rFont val="Noto Sans CJK SC"/>
        <i/>
        <color rgb="FF7F7F7F"/>
        <sz val="8.0"/>
      </rPr>
      <t>종합적사고력</t>
    </r>
    <r>
      <rPr>
        <rFont val="맑은 고딕"/>
        <i/>
        <color rgb="FF7F7F7F"/>
        <sz val="8.0"/>
      </rPr>
      <t>(</t>
    </r>
    <r>
      <rPr>
        <rFont val="Noto Sans CJK SC"/>
        <i/>
        <color rgb="FF7F7F7F"/>
        <sz val="8.0"/>
      </rPr>
      <t>융합적 사고</t>
    </r>
    <r>
      <rPr>
        <rFont val="맑은 고딕"/>
        <i/>
        <color rgb="FF7F7F7F"/>
        <sz val="8.0"/>
      </rPr>
      <t xml:space="preserve">) /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마인드맵의 </t>
    </r>
    <r>
      <rPr>
        <rFont val="맑은 고딕"/>
        <i/>
        <color rgb="FF7F7F7F"/>
        <sz val="8.0"/>
      </rPr>
      <t>'</t>
    </r>
    <r>
      <rPr>
        <rFont val="Noto Sans CJK SC"/>
        <i/>
        <color rgb="FF7F7F7F"/>
        <sz val="8.0"/>
      </rPr>
      <t>융합 전공</t>
    </r>
    <r>
      <rPr>
        <rFont val="맑은 고딕"/>
        <i/>
        <color rgb="FF7F7F7F"/>
        <sz val="8.0"/>
      </rPr>
      <t>'</t>
    </r>
    <r>
      <rPr>
        <rFont val="Noto Sans CJK SC"/>
        <i/>
        <color rgb="FF7F7F7F"/>
        <sz val="8.0"/>
      </rPr>
      <t>은 기존 데이터셋에 없음 → 수강내역에서 도출</t>
    </r>
  </si>
  <si>
    <r>
      <rPr>
        <rFont val="Noto Sans CJK SC"/>
        <b/>
        <color rgb="FFFFFFFF"/>
        <sz val="11.0"/>
      </rPr>
      <t>■ 연구</t>
    </r>
    <r>
      <rPr>
        <rFont val="맑은 고딕"/>
        <b/>
        <color rgb="FFFFFFFF"/>
        <sz val="11.0"/>
      </rPr>
      <t>·</t>
    </r>
    <r>
      <rPr>
        <rFont val="Noto Sans CJK SC"/>
        <b/>
        <color rgb="FFFFFFFF"/>
        <sz val="11.0"/>
      </rPr>
      <t>학술</t>
    </r>
  </si>
  <si>
    <r>
      <rPr>
        <rFont val="Noto Sans CJK SC"/>
        <color rgb="FF7F7F7F"/>
        <sz val="9.0"/>
      </rPr>
      <t>예</t>
    </r>
    <r>
      <rPr>
        <rFont val="맑은 고딕"/>
        <color rgb="FF7F7F7F"/>
        <sz val="9.0"/>
      </rPr>
      <t>: 124</t>
    </r>
  </si>
  <si>
    <r>
      <rPr>
        <rFont val="Noto Sans CJK SC"/>
        <b/>
        <color rgb="FF000000"/>
        <sz val="11.0"/>
      </rPr>
      <t>학회</t>
    </r>
    <r>
      <rPr>
        <rFont val="맑은 고딕"/>
        <b/>
        <color rgb="FF000000"/>
        <sz val="11.0"/>
      </rPr>
      <t>·</t>
    </r>
    <r>
      <rPr>
        <rFont val="Noto Sans CJK SC"/>
        <b/>
        <color rgb="FF000000"/>
        <sz val="11.0"/>
      </rPr>
      <t>연구활동</t>
    </r>
  </si>
  <si>
    <r>
      <rPr>
        <rFont val="Noto Sans CJK SC"/>
        <color rgb="FF7F7F7F"/>
        <sz val="9.0"/>
      </rPr>
      <t xml:space="preserve">없으면 </t>
    </r>
    <r>
      <rPr>
        <rFont val="맑은 고딕"/>
        <color rgb="FF7F7F7F"/>
        <sz val="9.0"/>
      </rPr>
      <t>0</t>
    </r>
  </si>
  <si>
    <r>
      <rPr>
        <rFont val="맑은 고딕"/>
        <i/>
        <color rgb="FF7F7F7F"/>
        <sz val="8.0"/>
      </rPr>
      <t>[</t>
    </r>
    <r>
      <rPr>
        <rFont val="Noto Sans CJK SC"/>
        <i/>
        <color rgb="FF7F7F7F"/>
        <sz val="8.0"/>
      </rPr>
      <t xml:space="preserve">주전공 </t>
    </r>
    <r>
      <rPr>
        <rFont val="맑은 고딕"/>
        <i/>
        <color rgb="FF7F7F7F"/>
        <sz val="8.0"/>
      </rPr>
      <t xml:space="preserve">/ </t>
    </r>
    <r>
      <rPr>
        <rFont val="Noto Sans CJK SC"/>
        <i/>
        <color rgb="FF7F7F7F"/>
        <sz val="8.0"/>
      </rPr>
      <t xml:space="preserve">복수전공 </t>
    </r>
    <r>
      <rPr>
        <rFont val="맑은 고딕"/>
        <i/>
        <color rgb="FF7F7F7F"/>
        <sz val="8.0"/>
      </rPr>
      <t xml:space="preserve">/ </t>
    </r>
    <r>
      <rPr>
        <rFont val="Noto Sans CJK SC"/>
        <i/>
        <color rgb="FF7F7F7F"/>
        <sz val="8.0"/>
      </rPr>
      <t xml:space="preserve">부전공 </t>
    </r>
    <r>
      <rPr>
        <rFont val="맑은 고딕"/>
        <i/>
        <color rgb="FF7F7F7F"/>
        <sz val="8.0"/>
      </rPr>
      <t xml:space="preserve">/ </t>
    </r>
    <r>
      <rPr>
        <rFont val="Noto Sans CJK SC"/>
        <i/>
        <color rgb="FF7F7F7F"/>
        <sz val="8.0"/>
      </rPr>
      <t xml:space="preserve">연계전공 </t>
    </r>
    <r>
      <rPr>
        <rFont val="맑은 고딕"/>
        <i/>
        <color rgb="FF7F7F7F"/>
        <sz val="8.0"/>
      </rPr>
      <t xml:space="preserve">/ </t>
    </r>
    <r>
      <rPr>
        <rFont val="Noto Sans CJK SC"/>
        <i/>
        <color rgb="FF7F7F7F"/>
        <sz val="8.0"/>
      </rPr>
      <t xml:space="preserve">융합전공 </t>
    </r>
    <r>
      <rPr>
        <rFont val="맑은 고딕"/>
        <i/>
        <color rgb="FF7F7F7F"/>
        <sz val="8.0"/>
      </rPr>
      <t xml:space="preserve">/ </t>
    </r>
    <r>
      <rPr>
        <rFont val="Noto Sans CJK SC"/>
        <i/>
        <color rgb="FF7F7F7F"/>
        <sz val="8.0"/>
      </rPr>
      <t>심화전공</t>
    </r>
    <r>
      <rPr>
        <rFont val="맑은 고딕"/>
        <i/>
        <color rgb="FF7F7F7F"/>
        <sz val="8.0"/>
      </rPr>
      <t>]</t>
    </r>
  </si>
  <si>
    <r>
      <rPr>
        <rFont val="맑은 고딕"/>
        <i/>
        <color rgb="FF7F7F7F"/>
        <sz val="8.0"/>
      </rPr>
      <t>[</t>
    </r>
    <r>
      <rPr>
        <rFont val="Noto Sans CJK SC"/>
        <i/>
        <color rgb="FF7F7F7F"/>
        <sz val="8.0"/>
      </rPr>
      <t xml:space="preserve">신청 </t>
    </r>
    <r>
      <rPr>
        <rFont val="맑은 고딕"/>
        <i/>
        <color rgb="FF7F7F7F"/>
        <sz val="8.0"/>
      </rPr>
      <t xml:space="preserve">/ </t>
    </r>
    <r>
      <rPr>
        <rFont val="Noto Sans CJK SC"/>
        <i/>
        <color rgb="FF7F7F7F"/>
        <sz val="8.0"/>
      </rPr>
      <t xml:space="preserve">이수중 </t>
    </r>
    <r>
      <rPr>
        <rFont val="맑은 고딕"/>
        <i/>
        <color rgb="FF7F7F7F"/>
        <sz val="8.0"/>
      </rPr>
      <t xml:space="preserve">/ </t>
    </r>
    <r>
      <rPr>
        <rFont val="Noto Sans CJK SC"/>
        <i/>
        <color rgb="FF7F7F7F"/>
        <sz val="8.0"/>
      </rPr>
      <t>이수완료</t>
    </r>
    <r>
      <rPr>
        <rFont val="맑은 고딕"/>
        <i/>
        <color rgb="FF7F7F7F"/>
        <sz val="8.0"/>
      </rPr>
      <t>]</t>
    </r>
  </si>
  <si>
    <t>주전공</t>
  </si>
  <si>
    <t>이수중</t>
  </si>
  <si>
    <t>융합전공</t>
  </si>
  <si>
    <t>인공지능융합전공</t>
  </si>
  <si>
    <r>
      <rPr>
        <rFont val="Noto Sans CJK SC"/>
        <color rgb="FF000000"/>
        <sz val="9.0"/>
      </rPr>
      <t>창의</t>
    </r>
    <r>
      <rPr>
        <rFont val="맑은 고딕"/>
        <color rgb="FF000000"/>
        <sz val="9.0"/>
      </rPr>
      <t>·</t>
    </r>
    <r>
      <rPr>
        <rFont val="Noto Sans CJK SC"/>
        <color rgb="FF000000"/>
        <sz val="9.0"/>
      </rPr>
      <t>도전</t>
    </r>
  </si>
  <si>
    <t>창업활동</t>
  </si>
  <si>
    <r>
      <rPr>
        <rFont val="Noto Sans CJK SC"/>
        <color rgb="FF000000"/>
        <sz val="9.0"/>
      </rPr>
      <t xml:space="preserve">기존 </t>
    </r>
    <r>
      <rPr>
        <rFont val="맑은 고딕"/>
        <color rgb="FF000000"/>
        <sz val="9.0"/>
      </rPr>
      <t xml:space="preserve">+ SKKU </t>
    </r>
    <r>
      <rPr>
        <rFont val="Noto Sans CJK SC"/>
        <color rgb="FF000000"/>
        <sz val="9.0"/>
      </rPr>
      <t>확보가능</t>
    </r>
  </si>
  <si>
    <r>
      <rPr>
        <rFont val="Noto Sans CJK SC"/>
        <i/>
        <color rgb="FF7F7F7F"/>
        <sz val="8.0"/>
      </rPr>
      <t>출처</t>
    </r>
    <r>
      <rPr>
        <rFont val="맑은 고딕"/>
        <i/>
        <color rgb="FF7F7F7F"/>
        <sz val="8.0"/>
      </rPr>
      <t xml:space="preserve">: </t>
    </r>
    <r>
      <rPr>
        <rFont val="Noto Sans CJK SC"/>
        <i/>
        <color rgb="FF7F7F7F"/>
        <sz val="8.0"/>
      </rPr>
      <t>비교과</t>
    </r>
    <r>
      <rPr>
        <rFont val="맑은 고딕"/>
        <i/>
        <color rgb="FF7F7F7F"/>
        <sz val="8.0"/>
      </rPr>
      <t>·</t>
    </r>
    <r>
      <rPr>
        <rFont val="Noto Sans CJK SC"/>
        <i/>
        <color rgb="FF7F7F7F"/>
        <sz val="8.0"/>
      </rPr>
      <t xml:space="preserve">연구지원 시스템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탐구력 </t>
    </r>
    <r>
      <rPr>
        <rFont val="맑은 고딕"/>
        <i/>
        <color rgb="FF7F7F7F"/>
        <sz val="8.0"/>
      </rPr>
      <t xml:space="preserve">/ </t>
    </r>
    <r>
      <rPr>
        <rFont val="Noto Sans CJK SC"/>
        <i/>
        <color rgb="FF7F7F7F"/>
        <sz val="8.0"/>
      </rPr>
      <t xml:space="preserve">문제해결력   </t>
    </r>
    <r>
      <rPr>
        <rFont val="맑은 고딕"/>
        <i/>
        <color rgb="FF7F7F7F"/>
        <sz val="8.0"/>
      </rPr>
      <t xml:space="preserve">|   </t>
    </r>
    <r>
      <rPr>
        <rFont val="Noto Sans CJK SC"/>
        <i/>
        <color rgb="FF7F7F7F"/>
        <sz val="8.0"/>
      </rPr>
      <t>비고</t>
    </r>
    <r>
      <rPr>
        <rFont val="맑은 고딕"/>
        <i/>
        <color rgb="FF7F7F7F"/>
        <sz val="8.0"/>
      </rPr>
      <t xml:space="preserve">: [B] </t>
    </r>
    <r>
      <rPr>
        <rFont val="Noto Sans CJK SC"/>
        <i/>
        <color rgb="FF7F7F7F"/>
        <sz val="8.0"/>
      </rPr>
      <t>학회</t>
    </r>
    <r>
      <rPr>
        <rFont val="맑은 고딕"/>
        <i/>
        <color rgb="FF7F7F7F"/>
        <sz val="8.0"/>
      </rPr>
      <t>·</t>
    </r>
    <r>
      <rPr>
        <rFont val="Noto Sans CJK SC"/>
        <i/>
        <color rgb="FF7F7F7F"/>
        <sz val="8.0"/>
      </rPr>
      <t xml:space="preserve">연구 </t>
    </r>
    <r>
      <rPr>
        <rFont val="맑은 고딕"/>
        <i/>
        <color rgb="FF7F7F7F"/>
        <sz val="8.0"/>
      </rPr>
      <t>+ [C] URP·</t>
    </r>
    <r>
      <rPr>
        <rFont val="Noto Sans CJK SC"/>
        <i/>
        <color rgb="FF7F7F7F"/>
        <sz val="8.0"/>
      </rPr>
      <t>팀연구프로젝트 통합</t>
    </r>
  </si>
  <si>
    <t>활동 유형</t>
  </si>
  <si>
    <r>
      <rPr>
        <rFont val="Noto Sans CJK SC"/>
        <b/>
        <color rgb="FF000000"/>
        <sz val="9.0"/>
      </rPr>
      <t>활동명</t>
    </r>
    <r>
      <rPr>
        <rFont val="맑은 고딕"/>
        <b/>
        <color rgb="FF000000"/>
        <sz val="9.0"/>
      </rPr>
      <t>·</t>
    </r>
    <r>
      <rPr>
        <rFont val="Noto Sans CJK SC"/>
        <b/>
        <color rgb="FF000000"/>
        <sz val="9.0"/>
      </rPr>
      <t>소속</t>
    </r>
  </si>
  <si>
    <t>역할</t>
  </si>
  <si>
    <t>시작</t>
  </si>
  <si>
    <t>종료</t>
  </si>
  <si>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</si>
  <si>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t>주요 성과</t>
  </si>
  <si>
    <r>
      <rPr>
        <rFont val="맑은 고딕"/>
        <i/>
        <color rgb="FF7F7F7F"/>
        <sz val="8.0"/>
      </rPr>
      <t>[</t>
    </r>
    <r>
      <rPr>
        <rFont val="Noto Sans CJK SC"/>
        <i/>
        <color rgb="FF7F7F7F"/>
        <sz val="8.0"/>
      </rPr>
      <t xml:space="preserve">학부연구생 </t>
    </r>
    <r>
      <rPr>
        <rFont val="맑은 고딕"/>
        <i/>
        <color rgb="FF7F7F7F"/>
        <sz val="8.0"/>
      </rPr>
      <t xml:space="preserve">/ URP / </t>
    </r>
    <r>
      <rPr>
        <rFont val="Noto Sans CJK SC"/>
        <i/>
        <color rgb="FF7F7F7F"/>
        <sz val="8.0"/>
      </rPr>
      <t xml:space="preserve">학회 </t>
    </r>
    <r>
      <rPr>
        <rFont val="맑은 고딕"/>
        <i/>
        <color rgb="FF7F7F7F"/>
        <sz val="8.0"/>
      </rPr>
      <t xml:space="preserve">/ </t>
    </r>
    <r>
      <rPr>
        <rFont val="Noto Sans CJK SC"/>
        <i/>
        <color rgb="FF7F7F7F"/>
        <sz val="8.0"/>
      </rPr>
      <t xml:space="preserve">연구실 인턴 </t>
    </r>
    <r>
      <rPr>
        <rFont val="맑은 고딕"/>
        <i/>
        <color rgb="FF7F7F7F"/>
        <sz val="8.0"/>
      </rPr>
      <t xml:space="preserve">/ </t>
    </r>
    <r>
      <rPr>
        <rFont val="Noto Sans CJK SC"/>
        <i/>
        <color rgb="FF7F7F7F"/>
        <sz val="8.0"/>
      </rPr>
      <t>팀연구프로젝트</t>
    </r>
    <r>
      <rPr>
        <rFont val="맑은 고딕"/>
        <i/>
        <color rgb="FF7F7F7F"/>
        <sz val="8.0"/>
      </rPr>
      <t>]</t>
    </r>
  </si>
  <si>
    <r>
      <rPr>
        <rFont val="Noto Sans CJK SC"/>
        <i/>
        <color rgb="FF7F7F7F"/>
        <sz val="8.0"/>
      </rPr>
      <t>연구실</t>
    </r>
    <r>
      <rPr>
        <rFont val="맑은 고딕"/>
        <i/>
        <color rgb="FF7F7F7F"/>
        <sz val="8.0"/>
      </rPr>
      <t>/</t>
    </r>
    <r>
      <rPr>
        <rFont val="Noto Sans CJK SC"/>
        <i/>
        <color rgb="FF7F7F7F"/>
        <sz val="8.0"/>
      </rPr>
      <t>학회명</t>
    </r>
  </si>
  <si>
    <r>
      <rPr>
        <rFont val="맑은 고딕"/>
        <i/>
        <color rgb="FF7F7F7F"/>
        <sz val="8.0"/>
      </rPr>
      <t xml:space="preserve">YYYY-MM / </t>
    </r>
    <r>
      <rPr>
        <rFont val="Noto Sans CJK SC"/>
        <i/>
        <color rgb="FF7F7F7F"/>
        <sz val="8.0"/>
      </rPr>
      <t>진행중</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</si>
  <si>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공학계열 한정 → 비대상 전공은 </t>
    </r>
    <r>
      <rPr>
        <rFont val="맑은 고딕"/>
        <i/>
        <color rgb="FF7F7F7F"/>
        <sz val="8.0"/>
      </rPr>
      <t>'</t>
    </r>
    <r>
      <rPr>
        <rFont val="Noto Sans CJK SC"/>
        <i/>
        <color rgb="FF7F7F7F"/>
        <sz val="8.0"/>
      </rPr>
      <t>해당 없음</t>
    </r>
    <r>
      <rPr>
        <rFont val="맑은 고딕"/>
        <i/>
        <color rgb="FF7F7F7F"/>
        <sz val="8.0"/>
      </rPr>
      <t xml:space="preserve">' </t>
    </r>
    <r>
      <rPr>
        <rFont val="Noto Sans CJK SC"/>
        <i/>
        <color rgb="FF7F7F7F"/>
        <sz val="8.0"/>
      </rPr>
      <t>처리</t>
    </r>
    <r>
      <rPr>
        <rFont val="맑은 고딕"/>
        <i/>
        <color rgb="FF7F7F7F"/>
        <sz val="8.0"/>
      </rPr>
      <t>(</t>
    </r>
    <r>
      <rPr>
        <rFont val="Noto Sans CJK SC"/>
        <i/>
        <color rgb="FF7F7F7F"/>
        <sz val="8.0"/>
      </rPr>
      <t>불이익 방지</t>
    </r>
    <r>
      <rPr>
        <rFont val="맑은 고딕"/>
        <i/>
        <color rgb="FF7F7F7F"/>
        <sz val="8.0"/>
      </rPr>
      <t>)</t>
    </r>
  </si>
  <si>
    <r>
      <rPr>
        <rFont val="Noto Sans CJK SC"/>
        <b/>
        <color rgb="FF000000"/>
        <sz val="11.0"/>
      </rPr>
      <t>정보탐색 결과물</t>
    </r>
    <r>
      <rPr>
        <rFont val="맑은 고딕"/>
        <b/>
        <color rgb="FF000000"/>
        <sz val="11.0"/>
      </rPr>
      <t>(</t>
    </r>
    <r>
      <rPr>
        <rFont val="Noto Sans CJK SC"/>
        <b/>
        <color rgb="FF000000"/>
        <sz val="11.0"/>
      </rPr>
      <t>논문</t>
    </r>
    <r>
      <rPr>
        <rFont val="맑은 고딕"/>
        <b/>
        <color rgb="FF000000"/>
        <sz val="11.0"/>
      </rPr>
      <t>·</t>
    </r>
    <r>
      <rPr>
        <rFont val="Noto Sans CJK SC"/>
        <b/>
        <color rgb="FF000000"/>
        <sz val="11.0"/>
      </rPr>
      <t>보고서</t>
    </r>
    <r>
      <rPr>
        <rFont val="맑은 고딕"/>
        <b/>
        <color rgb="FF000000"/>
        <sz val="11.0"/>
      </rPr>
      <t>)</t>
    </r>
  </si>
  <si>
    <t>대상</t>
  </si>
  <si>
    <r>
      <rPr>
        <rFont val="Noto Sans CJK SC"/>
        <color rgb="FF7F7F7F"/>
        <sz val="9.0"/>
      </rPr>
      <t xml:space="preserve">비대상 전공이면 상태를 </t>
    </r>
    <r>
      <rPr>
        <rFont val="맑은 고딕"/>
        <color rgb="FF7F7F7F"/>
        <sz val="9.0"/>
      </rPr>
      <t>'</t>
    </r>
    <r>
      <rPr>
        <rFont val="Noto Sans CJK SC"/>
        <color rgb="FF7F7F7F"/>
        <sz val="9.0"/>
      </rPr>
      <t>해당 없음</t>
    </r>
    <r>
      <rPr>
        <rFont val="맑은 고딕"/>
        <color rgb="FF7F7F7F"/>
        <sz val="9.0"/>
      </rPr>
      <t>'</t>
    </r>
    <r>
      <rPr>
        <rFont val="Noto Sans CJK SC"/>
        <color rgb="FF7F7F7F"/>
        <sz val="9.0"/>
      </rPr>
      <t xml:space="preserve">으로  </t>
    </r>
    <r>
      <rPr>
        <rFont val="맑은 고딕"/>
        <color rgb="FF7F7F7F"/>
        <sz val="9.0"/>
      </rPr>
      <t>[</t>
    </r>
    <r>
      <rPr>
        <rFont val="Noto Sans CJK SC"/>
        <color rgb="FF7F7F7F"/>
        <sz val="9.0"/>
      </rPr>
      <t xml:space="preserve">대상 </t>
    </r>
    <r>
      <rPr>
        <rFont val="맑은 고딕"/>
        <color rgb="FF7F7F7F"/>
        <sz val="9.0"/>
      </rPr>
      <t xml:space="preserve">/ </t>
    </r>
    <r>
      <rPr>
        <rFont val="Noto Sans CJK SC"/>
        <color rgb="FF7F7F7F"/>
        <sz val="9.0"/>
      </rPr>
      <t>비대상</t>
    </r>
    <r>
      <rPr>
        <rFont val="맑은 고딕"/>
        <color rgb="FF7F7F7F"/>
        <sz val="9.0"/>
      </rPr>
      <t>]</t>
    </r>
  </si>
  <si>
    <t>산업공학 공학교육인증</t>
  </si>
  <si>
    <r>
      <rPr>
        <rFont val="Noto Sans CJK SC"/>
        <color rgb="FF7F7F7F"/>
        <sz val="9.0"/>
      </rPr>
      <t>예</t>
    </r>
    <r>
      <rPr>
        <rFont val="맑은 고딕"/>
        <color rgb="FF7F7F7F"/>
        <sz val="9.0"/>
      </rPr>
      <t xml:space="preserve">: </t>
    </r>
    <r>
      <rPr>
        <rFont val="Noto Sans CJK SC"/>
        <color rgb="FF7F7F7F"/>
        <sz val="9.0"/>
      </rPr>
      <t>기계공학 공학교육인증</t>
    </r>
  </si>
  <si>
    <r>
      <rPr>
        <rFont val="Noto Sans CJK SC"/>
        <color rgb="FF000000"/>
        <sz val="9.0"/>
      </rPr>
      <t>창의</t>
    </r>
    <r>
      <rPr>
        <rFont val="맑은 고딕"/>
        <color rgb="FF000000"/>
        <sz val="9.0"/>
      </rPr>
      <t>·</t>
    </r>
    <r>
      <rPr>
        <rFont val="Noto Sans CJK SC"/>
        <color rgb="FF000000"/>
        <sz val="9.0"/>
      </rPr>
      <t>도전</t>
    </r>
  </si>
  <si>
    <r>
      <rPr>
        <rFont val="Noto Sans CJK SC"/>
        <color rgb="FF000000"/>
        <sz val="9.0"/>
      </rPr>
      <t>특허출원</t>
    </r>
    <r>
      <rPr>
        <rFont val="맑은 고딕"/>
        <color rgb="FF000000"/>
        <sz val="9.0"/>
      </rPr>
      <t xml:space="preserve">·SW </t>
    </r>
    <r>
      <rPr>
        <rFont val="Noto Sans CJK SC"/>
        <color rgb="FF000000"/>
        <sz val="9.0"/>
      </rPr>
      <t>등록</t>
    </r>
  </si>
  <si>
    <r>
      <rPr>
        <rFont val="맑은 고딕"/>
        <color rgb="FF000000"/>
        <sz val="9.0"/>
      </rPr>
      <t xml:space="preserve">SKKU </t>
    </r>
    <r>
      <rPr>
        <rFont val="Noto Sans CJK SC"/>
        <color rgb="FF000000"/>
        <sz val="9.0"/>
      </rPr>
      <t>확보가능</t>
    </r>
  </si>
  <si>
    <r>
      <rPr>
        <rFont val="맑은 고딕"/>
        <color rgb="FF7F7F7F"/>
        <sz val="9.0"/>
      </rPr>
      <t>[</t>
    </r>
    <r>
      <rPr>
        <rFont val="Noto Sans CJK SC"/>
        <color rgb="FF7F7F7F"/>
        <sz val="9.0"/>
      </rPr>
      <t xml:space="preserve">이수중 </t>
    </r>
    <r>
      <rPr>
        <rFont val="맑은 고딕"/>
        <color rgb="FF7F7F7F"/>
        <sz val="9.0"/>
      </rPr>
      <t xml:space="preserve">/ </t>
    </r>
    <r>
      <rPr>
        <rFont val="Noto Sans CJK SC"/>
        <color rgb="FF7F7F7F"/>
        <sz val="9.0"/>
      </rPr>
      <t xml:space="preserve">이수완료 </t>
    </r>
    <r>
      <rPr>
        <rFont val="맑은 고딕"/>
        <color rgb="FF7F7F7F"/>
        <sz val="9.0"/>
      </rPr>
      <t xml:space="preserve">/ </t>
    </r>
    <r>
      <rPr>
        <rFont val="Noto Sans CJK SC"/>
        <color rgb="FF7F7F7F"/>
        <sz val="9.0"/>
      </rPr>
      <t xml:space="preserve">미이수 </t>
    </r>
    <r>
      <rPr>
        <rFont val="맑은 고딕"/>
        <color rgb="FF7F7F7F"/>
        <sz val="9.0"/>
      </rPr>
      <t xml:space="preserve">/ </t>
    </r>
    <r>
      <rPr>
        <rFont val="Noto Sans CJK SC"/>
        <color rgb="FF7F7F7F"/>
        <sz val="9.0"/>
      </rPr>
      <t>포기</t>
    </r>
    <r>
      <rPr>
        <rFont val="맑은 고딕"/>
        <color rgb="FF7F7F7F"/>
        <sz val="9.0"/>
      </rPr>
      <t>]</t>
    </r>
  </si>
  <si>
    <r>
      <rPr>
        <rFont val="Noto Sans CJK SC"/>
        <b/>
        <color rgb="FFFFFFFF"/>
        <sz val="11.0"/>
      </rPr>
      <t>■ 학습행동</t>
    </r>
    <r>
      <rPr>
        <rFont val="맑은 고딕"/>
        <b/>
        <color rgb="FFFFFFFF"/>
        <sz val="11.0"/>
      </rPr>
      <t>(LMS)</t>
    </r>
  </si>
  <si>
    <r>
      <rPr>
        <rFont val="맑은 고딕"/>
        <b/>
        <color rgb="FF000000"/>
        <sz val="11.0"/>
      </rPr>
      <t xml:space="preserve">LMS </t>
    </r>
    <r>
      <rPr>
        <rFont val="Noto Sans CJK SC"/>
        <b/>
        <color rgb="FF000000"/>
        <sz val="11.0"/>
      </rPr>
      <t>학습데이터</t>
    </r>
  </si>
  <si>
    <r>
      <rPr>
        <rFont val="Noto Sans CJK SC"/>
        <i/>
        <color rgb="FF7F7F7F"/>
        <sz val="8.0"/>
      </rPr>
      <t>출처</t>
    </r>
    <r>
      <rPr>
        <rFont val="맑은 고딕"/>
        <i/>
        <color rgb="FF7F7F7F"/>
        <sz val="8.0"/>
      </rPr>
      <t xml:space="preserve">: </t>
    </r>
    <r>
      <rPr>
        <rFont val="Noto Sans CJK SC"/>
        <i/>
        <color rgb="FF7F7F7F"/>
        <sz val="8.0"/>
      </rPr>
      <t>학생 등록</t>
    </r>
    <r>
      <rPr>
        <rFont val="맑은 고딕"/>
        <i/>
        <color rgb="FF7F7F7F"/>
        <sz val="8.0"/>
      </rPr>
      <t>(</t>
    </r>
    <r>
      <rPr>
        <rFont val="Noto Sans CJK SC"/>
        <i/>
        <color rgb="FF7F7F7F"/>
        <sz val="8.0"/>
      </rPr>
      <t>포트폴리오</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자원</t>
    </r>
    <r>
      <rPr>
        <rFont val="맑은 고딕"/>
        <i/>
        <color rgb="FF7F7F7F"/>
        <sz val="8.0"/>
      </rPr>
      <t>·</t>
    </r>
    <r>
      <rPr>
        <rFont val="Noto Sans CJK SC"/>
        <i/>
        <color rgb="FF7F7F7F"/>
        <sz val="8.0"/>
      </rPr>
      <t>정보기술활용</t>
    </r>
    <r>
      <rPr>
        <rFont val="맑은 고딕"/>
        <i/>
        <color rgb="FF7F7F7F"/>
        <sz val="8.0"/>
      </rPr>
      <t>(</t>
    </r>
    <r>
      <rPr>
        <rFont val="Noto Sans CJK SC"/>
        <i/>
        <color rgb="FF7F7F7F"/>
        <sz val="8.0"/>
      </rPr>
      <t>정보탐색</t>
    </r>
    <r>
      <rPr>
        <rFont val="맑은 고딕"/>
        <i/>
        <color rgb="FF7F7F7F"/>
        <sz val="8.0"/>
      </rPr>
      <t xml:space="preserve">) / </t>
    </r>
    <r>
      <rPr>
        <rFont val="Noto Sans CJK SC"/>
        <i/>
        <color rgb="FF7F7F7F"/>
        <sz val="8.0"/>
      </rPr>
      <t xml:space="preserve">논리적사고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게재 수준</t>
    </r>
    <r>
      <rPr>
        <rFont val="맑은 고딕"/>
        <i/>
        <color rgb="FF7F7F7F"/>
        <sz val="8.0"/>
      </rPr>
      <t>(</t>
    </r>
    <r>
      <rPr>
        <rFont val="Noto Sans CJK SC"/>
        <i/>
        <color rgb="FF7F7F7F"/>
        <sz val="8.0"/>
      </rPr>
      <t>학술지</t>
    </r>
    <r>
      <rPr>
        <rFont val="맑은 고딕"/>
        <i/>
        <color rgb="FF7F7F7F"/>
        <sz val="8.0"/>
      </rPr>
      <t>·</t>
    </r>
    <r>
      <rPr>
        <rFont val="Noto Sans CJK SC"/>
        <i/>
        <color rgb="FF7F7F7F"/>
        <sz val="8.0"/>
      </rPr>
      <t>학회</t>
    </r>
    <r>
      <rPr>
        <rFont val="맑은 고딕"/>
        <i/>
        <color rgb="FF7F7F7F"/>
        <sz val="8.0"/>
      </rPr>
      <t>·</t>
    </r>
    <r>
      <rPr>
        <rFont val="Noto Sans CJK SC"/>
        <i/>
        <color rgb="FF7F7F7F"/>
        <sz val="8.0"/>
      </rPr>
      <t>교내</t>
    </r>
    <r>
      <rPr>
        <rFont val="맑은 고딕"/>
        <i/>
        <color rgb="FF7F7F7F"/>
        <sz val="8.0"/>
      </rPr>
      <t xml:space="preserve">) </t>
    </r>
    <r>
      <rPr>
        <rFont val="Noto Sans CJK SC"/>
        <i/>
        <color rgb="FF7F7F7F"/>
        <sz val="8.0"/>
      </rPr>
      <t>구분 기준 필요</t>
    </r>
  </si>
  <si>
    <t>유형</t>
  </si>
  <si>
    <t>제목</t>
  </si>
  <si>
    <t>게재 수준</t>
  </si>
  <si>
    <t>진행 상태</t>
  </si>
  <si>
    <t>저자 구분</t>
  </si>
  <si>
    <r>
      <rPr>
        <rFont val="Noto Sans CJK SC"/>
        <b/>
        <color rgb="FF000000"/>
        <sz val="9.0"/>
      </rPr>
      <t>발표</t>
    </r>
    <r>
      <rPr>
        <rFont val="맑은 고딕"/>
        <b/>
        <color rgb="FF000000"/>
        <sz val="9.0"/>
      </rPr>
      <t>·</t>
    </r>
    <r>
      <rPr>
        <rFont val="Noto Sans CJK SC"/>
        <b/>
        <color rgb="FF000000"/>
        <sz val="9.0"/>
      </rPr>
      <t>게재 연월</t>
    </r>
  </si>
  <si>
    <r>
      <rPr>
        <rFont val="맑은 고딕"/>
        <i/>
        <color rgb="FF7F7F7F"/>
        <sz val="8.0"/>
      </rPr>
      <t>[</t>
    </r>
    <r>
      <rPr>
        <rFont val="Noto Sans CJK SC"/>
        <i/>
        <color rgb="FF7F7F7F"/>
        <sz val="8.0"/>
      </rPr>
      <t xml:space="preserve">논문 </t>
    </r>
    <r>
      <rPr>
        <rFont val="맑은 고딕"/>
        <i/>
        <color rgb="FF7F7F7F"/>
        <sz val="8.0"/>
      </rPr>
      <t xml:space="preserve">/ </t>
    </r>
    <r>
      <rPr>
        <rFont val="Noto Sans CJK SC"/>
        <i/>
        <color rgb="FF7F7F7F"/>
        <sz val="8.0"/>
      </rPr>
      <t xml:space="preserve">보고서 </t>
    </r>
    <r>
      <rPr>
        <rFont val="맑은 고딕"/>
        <i/>
        <color rgb="FF7F7F7F"/>
        <sz val="8.0"/>
      </rPr>
      <t xml:space="preserve">/ </t>
    </r>
    <r>
      <rPr>
        <rFont val="Noto Sans CJK SC"/>
        <i/>
        <color rgb="FF7F7F7F"/>
        <sz val="8.0"/>
      </rPr>
      <t>학술발표자료</t>
    </r>
    <r>
      <rPr>
        <rFont val="맑은 고딕"/>
        <i/>
        <color rgb="FF7F7F7F"/>
        <sz val="8.0"/>
      </rPr>
      <t>]</t>
    </r>
  </si>
  <si>
    <r>
      <rPr>
        <rFont val="맑은 고딕"/>
        <i/>
        <color rgb="FF7F7F7F"/>
        <sz val="8.0"/>
      </rPr>
      <t>[</t>
    </r>
    <r>
      <rPr>
        <rFont val="Noto Sans CJK SC"/>
        <i/>
        <color rgb="FF7F7F7F"/>
        <sz val="8.0"/>
      </rPr>
      <t xml:space="preserve">국제학술지 </t>
    </r>
    <r>
      <rPr>
        <rFont val="맑은 고딕"/>
        <i/>
        <color rgb="FF7F7F7F"/>
        <sz val="8.0"/>
      </rPr>
      <t xml:space="preserve">/ </t>
    </r>
    <r>
      <rPr>
        <rFont val="Noto Sans CJK SC"/>
        <i/>
        <color rgb="FF7F7F7F"/>
        <sz val="8.0"/>
      </rPr>
      <t xml:space="preserve">국내학술지 </t>
    </r>
    <r>
      <rPr>
        <rFont val="맑은 고딕"/>
        <i/>
        <color rgb="FF7F7F7F"/>
        <sz val="8.0"/>
      </rPr>
      <t xml:space="preserve">/ </t>
    </r>
    <r>
      <rPr>
        <rFont val="Noto Sans CJK SC"/>
        <i/>
        <color rgb="FF7F7F7F"/>
        <sz val="8.0"/>
      </rPr>
      <t xml:space="preserve">국제학술대회 </t>
    </r>
    <r>
      <rPr>
        <rFont val="맑은 고딕"/>
        <i/>
        <color rgb="FF7F7F7F"/>
        <sz val="8.0"/>
      </rPr>
      <t xml:space="preserve">/ </t>
    </r>
    <r>
      <rPr>
        <rFont val="Noto Sans CJK SC"/>
        <i/>
        <color rgb="FF7F7F7F"/>
        <sz val="8.0"/>
      </rPr>
      <t xml:space="preserve">국내학술대회 </t>
    </r>
    <r>
      <rPr>
        <rFont val="맑은 고딕"/>
        <i/>
        <color rgb="FF7F7F7F"/>
        <sz val="8.0"/>
      </rPr>
      <t xml:space="preserve">/ </t>
    </r>
    <r>
      <rPr>
        <rFont val="Noto Sans CJK SC"/>
        <i/>
        <color rgb="FF7F7F7F"/>
        <sz val="8.0"/>
      </rPr>
      <t>교내</t>
    </r>
    <r>
      <rPr>
        <rFont val="맑은 고딕"/>
        <i/>
        <color rgb="FF7F7F7F"/>
        <sz val="8.0"/>
      </rPr>
      <t>]</t>
    </r>
  </si>
  <si>
    <r>
      <rPr>
        <rFont val="맑은 고딕"/>
        <i/>
        <color rgb="FF7F7F7F"/>
        <sz val="8.0"/>
      </rPr>
      <t>[</t>
    </r>
    <r>
      <rPr>
        <rFont val="Noto Sans CJK SC"/>
        <i/>
        <color rgb="FF7F7F7F"/>
        <sz val="8.0"/>
      </rPr>
      <t xml:space="preserve">게재 </t>
    </r>
    <r>
      <rPr>
        <rFont val="맑은 고딕"/>
        <i/>
        <color rgb="FF7F7F7F"/>
        <sz val="8.0"/>
      </rPr>
      <t xml:space="preserve">/ </t>
    </r>
    <r>
      <rPr>
        <rFont val="Noto Sans CJK SC"/>
        <i/>
        <color rgb="FF7F7F7F"/>
        <sz val="8.0"/>
      </rPr>
      <t xml:space="preserve">게재승인 </t>
    </r>
    <r>
      <rPr>
        <rFont val="맑은 고딕"/>
        <i/>
        <color rgb="FF7F7F7F"/>
        <sz val="8.0"/>
      </rPr>
      <t xml:space="preserve">/ </t>
    </r>
    <r>
      <rPr>
        <rFont val="Noto Sans CJK SC"/>
        <i/>
        <color rgb="FF7F7F7F"/>
        <sz val="8.0"/>
      </rPr>
      <t xml:space="preserve">투고 </t>
    </r>
    <r>
      <rPr>
        <rFont val="맑은 고딕"/>
        <i/>
        <color rgb="FF7F7F7F"/>
        <sz val="8.0"/>
      </rPr>
      <t xml:space="preserve">/ </t>
    </r>
    <r>
      <rPr>
        <rFont val="Noto Sans CJK SC"/>
        <i/>
        <color rgb="FF7F7F7F"/>
        <sz val="8.0"/>
      </rPr>
      <t>작성중</t>
    </r>
    <r>
      <rPr>
        <rFont val="맑은 고딕"/>
        <i/>
        <color rgb="FF7F7F7F"/>
        <sz val="8.0"/>
      </rPr>
      <t>]</t>
    </r>
  </si>
  <si>
    <r>
      <rPr>
        <rFont val="맑은 고딕"/>
        <i/>
        <color rgb="FF7F7F7F"/>
        <sz val="8.0"/>
      </rPr>
      <t>[</t>
    </r>
    <r>
      <rPr>
        <rFont val="Noto Sans CJK SC"/>
        <i/>
        <color rgb="FF7F7F7F"/>
        <sz val="8.0"/>
      </rPr>
      <t xml:space="preserve">단독 </t>
    </r>
    <r>
      <rPr>
        <rFont val="맑은 고딕"/>
        <i/>
        <color rgb="FF7F7F7F"/>
        <sz val="8.0"/>
      </rPr>
      <t xml:space="preserve">/ </t>
    </r>
    <r>
      <rPr>
        <rFont val="Noto Sans CJK SC"/>
        <i/>
        <color rgb="FF7F7F7F"/>
        <sz val="8.0"/>
      </rPr>
      <t>제</t>
    </r>
    <r>
      <rPr>
        <rFont val="맑은 고딕"/>
        <i/>
        <color rgb="FF7F7F7F"/>
        <sz val="8.0"/>
      </rPr>
      <t>1</t>
    </r>
    <r>
      <rPr>
        <rFont val="Noto Sans CJK SC"/>
        <i/>
        <color rgb="FF7F7F7F"/>
        <sz val="8.0"/>
      </rPr>
      <t xml:space="preserve">저자 </t>
    </r>
    <r>
      <rPr>
        <rFont val="맑은 고딕"/>
        <i/>
        <color rgb="FF7F7F7F"/>
        <sz val="8.0"/>
      </rPr>
      <t xml:space="preserve">/ </t>
    </r>
    <r>
      <rPr>
        <rFont val="Noto Sans CJK SC"/>
        <i/>
        <color rgb="FF7F7F7F"/>
        <sz val="8.0"/>
      </rPr>
      <t>공동저자</t>
    </r>
    <r>
      <rPr>
        <rFont val="맑은 고딕"/>
        <i/>
        <color rgb="FF7F7F7F"/>
        <sz val="8.0"/>
      </rPr>
      <t>]</t>
    </r>
  </si>
  <si>
    <r>
      <rPr>
        <rFont val="Noto Sans CJK SC"/>
        <i/>
        <color rgb="FF7F7F7F"/>
        <sz val="8.0"/>
      </rPr>
      <t>출처</t>
    </r>
    <r>
      <rPr>
        <rFont val="맑은 고딕"/>
        <i/>
        <color rgb="FF7F7F7F"/>
        <sz val="8.0"/>
      </rPr>
      <t xml:space="preserve">: LMS(i-Campus) · </t>
    </r>
    <r>
      <rPr>
        <rFont val="Noto Sans CJK SC"/>
        <i/>
        <color rgb="FF7F7F7F"/>
        <sz val="8.0"/>
      </rPr>
      <t xml:space="preserve">출석앱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자기관리 </t>
    </r>
    <r>
      <rPr>
        <rFont val="맑은 고딕"/>
        <i/>
        <color rgb="FF7F7F7F"/>
        <sz val="8.0"/>
      </rPr>
      <t xml:space="preserve">/ </t>
    </r>
    <r>
      <rPr>
        <rFont val="Noto Sans CJK SC"/>
        <i/>
        <color rgb="FF7F7F7F"/>
        <sz val="8.0"/>
      </rPr>
      <t xml:space="preserve">성실성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마인드맵 </t>
    </r>
    <r>
      <rPr>
        <rFont val="맑은 고딕"/>
        <i/>
        <color rgb="FF7F7F7F"/>
        <sz val="8.0"/>
      </rPr>
      <t>'</t>
    </r>
    <r>
      <rPr>
        <rFont val="Noto Sans CJK SC"/>
        <i/>
        <color rgb="FF7F7F7F"/>
        <sz val="8.0"/>
      </rPr>
      <t>퀴즈 생성 주기</t>
    </r>
    <r>
      <rPr>
        <rFont val="맑은 고딕"/>
        <i/>
        <color rgb="FF7F7F7F"/>
        <sz val="8.0"/>
      </rPr>
      <t xml:space="preserve">' vs </t>
    </r>
    <r>
      <rPr>
        <rFont val="Noto Sans CJK SC"/>
        <i/>
        <color rgb="FF7F7F7F"/>
        <sz val="8.0"/>
      </rPr>
      <t xml:space="preserve">데이터 </t>
    </r>
    <r>
      <rPr>
        <rFont val="맑은 고딕"/>
        <i/>
        <color rgb="FF7F7F7F"/>
        <sz val="8.0"/>
      </rPr>
      <t>'</t>
    </r>
    <r>
      <rPr>
        <rFont val="Noto Sans CJK SC"/>
        <i/>
        <color rgb="FF7F7F7F"/>
        <sz val="8.0"/>
      </rPr>
      <t>퀴즈풀이횟수</t>
    </r>
    <r>
      <rPr>
        <rFont val="맑은 고딕"/>
        <i/>
        <color rgb="FF7F7F7F"/>
        <sz val="8.0"/>
      </rPr>
      <t xml:space="preserve">' </t>
    </r>
    <r>
      <rPr>
        <rFont val="Noto Sans CJK SC"/>
        <i/>
        <color rgb="FF7F7F7F"/>
        <sz val="8.0"/>
      </rPr>
      <t>용어 통일 필요</t>
    </r>
  </si>
  <si>
    <r>
      <rPr>
        <rFont val="맑은 고딕"/>
        <color rgb="FF1F3B8A"/>
        <sz val="10.0"/>
      </rPr>
      <t>2026-1</t>
    </r>
    <r>
      <rPr>
        <rFont val="Noto Sans CJK SC"/>
        <color rgb="FF1F3B8A"/>
        <sz val="10.0"/>
      </rPr>
      <t>학기</t>
    </r>
  </si>
  <si>
    <r>
      <rPr>
        <rFont val="Noto Sans CJK SC"/>
        <color rgb="FF7F7F7F"/>
        <sz val="9.0"/>
      </rPr>
      <t>예</t>
    </r>
    <r>
      <rPr>
        <rFont val="맑은 고딕"/>
        <color rgb="FF7F7F7F"/>
        <sz val="9.0"/>
      </rPr>
      <t>: 2026-1</t>
    </r>
    <r>
      <rPr>
        <rFont val="Noto Sans CJK SC"/>
        <color rgb="FF7F7F7F"/>
        <sz val="9.0"/>
      </rPr>
      <t>학기</t>
    </r>
  </si>
  <si>
    <r>
      <rPr>
        <rFont val="맑은 고딕"/>
        <b/>
        <color rgb="FF000000"/>
        <sz val="11.0"/>
      </rPr>
      <t xml:space="preserve">TA </t>
    </r>
    <r>
      <rPr>
        <rFont val="Noto Sans CJK SC"/>
        <b/>
        <color rgb="FF000000"/>
        <sz val="11.0"/>
      </rPr>
      <t>활동</t>
    </r>
  </si>
  <si>
    <r>
      <rPr>
        <rFont val="Noto Sans CJK SC"/>
        <b/>
        <color rgb="FF000000"/>
        <sz val="10.0"/>
      </rPr>
      <t>출석률</t>
    </r>
    <r>
      <rPr>
        <rFont val="맑은 고딕"/>
        <b/>
        <color rgb="FF000000"/>
        <sz val="10.0"/>
      </rPr>
      <t>(%)</t>
    </r>
  </si>
  <si>
    <r>
      <rPr>
        <rFont val="Noto Sans CJK SC"/>
        <color rgb="FF7F7F7F"/>
        <sz val="9.0"/>
      </rPr>
      <t xml:space="preserve">숫자 </t>
    </r>
    <r>
      <rPr>
        <rFont val="맑은 고딕"/>
        <color rgb="FF7F7F7F"/>
        <sz val="9.0"/>
      </rPr>
      <t>0~100</t>
    </r>
  </si>
  <si>
    <r>
      <rPr>
        <rFont val="맑은 고딕"/>
        <color rgb="FF7F7F7F"/>
        <sz val="9.0"/>
      </rPr>
      <t xml:space="preserve">% </t>
    </r>
    <r>
      <rPr>
        <rFont val="Noto Sans CJK SC"/>
        <color rgb="FF7F7F7F"/>
        <sz val="9.0"/>
      </rPr>
      <t>기호 없이 숫자만</t>
    </r>
  </si>
  <si>
    <r>
      <rPr>
        <rFont val="Noto Sans CJK SC"/>
        <b/>
        <color rgb="FF000000"/>
        <sz val="10.0"/>
      </rPr>
      <t>과제 기한 준수율</t>
    </r>
    <r>
      <rPr>
        <rFont val="맑은 고딕"/>
        <b/>
        <color rgb="FF000000"/>
        <sz val="10.0"/>
      </rPr>
      <t>(%)</t>
    </r>
  </si>
  <si>
    <t>글로벌</t>
  </si>
  <si>
    <r>
      <rPr>
        <rFont val="Noto Sans CJK SC"/>
        <color rgb="FF7F7F7F"/>
        <sz val="9.0"/>
      </rPr>
      <t xml:space="preserve">숫자 </t>
    </r>
    <r>
      <rPr>
        <rFont val="맑은 고딕"/>
        <color rgb="FF7F7F7F"/>
        <sz val="9.0"/>
      </rPr>
      <t>0~100</t>
    </r>
  </si>
  <si>
    <r>
      <rPr>
        <rFont val="맑은 고딕"/>
        <color rgb="FF7F7F7F"/>
        <sz val="9.0"/>
      </rPr>
      <t xml:space="preserve">% </t>
    </r>
    <r>
      <rPr>
        <rFont val="Noto Sans CJK SC"/>
        <color rgb="FF7F7F7F"/>
        <sz val="9.0"/>
      </rPr>
      <t>기호 없이 숫자만</t>
    </r>
  </si>
  <si>
    <r>
      <rPr>
        <rFont val="Noto Sans CJK SC"/>
        <color rgb="FF000000"/>
        <sz val="9.0"/>
      </rPr>
      <t>교환학생</t>
    </r>
    <r>
      <rPr>
        <rFont val="맑은 고딕"/>
        <color rgb="FF000000"/>
        <sz val="9.0"/>
      </rPr>
      <t>·</t>
    </r>
    <r>
      <rPr>
        <rFont val="Noto Sans CJK SC"/>
        <color rgb="FF000000"/>
        <sz val="9.0"/>
      </rPr>
      <t>해외경험</t>
    </r>
  </si>
  <si>
    <r>
      <rPr>
        <rFont val="Noto Sans CJK SC"/>
        <color rgb="FF7F7F7F"/>
        <sz val="9.0"/>
      </rPr>
      <t>회</t>
    </r>
    <r>
      <rPr>
        <rFont val="맑은 고딕"/>
        <color rgb="FF7F7F7F"/>
        <sz val="9.0"/>
      </rPr>
      <t>/</t>
    </r>
    <r>
      <rPr>
        <rFont val="Noto Sans CJK SC"/>
        <color rgb="FF7F7F7F"/>
        <sz val="9.0"/>
      </rPr>
      <t>주</t>
    </r>
  </si>
  <si>
    <r>
      <rPr>
        <rFont val="Noto Sans CJK SC"/>
        <color rgb="FF000000"/>
        <sz val="9.0"/>
      </rPr>
      <t xml:space="preserve">기존 </t>
    </r>
    <r>
      <rPr>
        <rFont val="맑은 고딕"/>
        <color rgb="FF000000"/>
        <sz val="9.0"/>
      </rPr>
      <t xml:space="preserve">+ SKKU </t>
    </r>
    <r>
      <rPr>
        <rFont val="Noto Sans CJK SC"/>
        <color rgb="FF000000"/>
        <sz val="9.0"/>
      </rPr>
      <t>확보가능</t>
    </r>
  </si>
  <si>
    <r>
      <rPr>
        <rFont val="Noto Sans CJK SC"/>
        <b/>
        <color rgb="FF000000"/>
        <sz val="10.0"/>
      </rPr>
      <t>퀴즈 풀이 횟수</t>
    </r>
    <r>
      <rPr>
        <rFont val="맑은 고딕"/>
        <b/>
        <color rgb="FF000000"/>
        <sz val="10.0"/>
      </rPr>
      <t>(</t>
    </r>
    <r>
      <rPr>
        <rFont val="Noto Sans CJK SC"/>
        <b/>
        <color rgb="FF000000"/>
        <sz val="10.0"/>
      </rPr>
      <t>누적</t>
    </r>
    <r>
      <rPr>
        <rFont val="맑은 고딕"/>
        <b/>
        <color rgb="FF000000"/>
        <sz val="10.0"/>
      </rPr>
      <t>)</t>
    </r>
  </si>
  <si>
    <r>
      <rPr>
        <rFont val="Noto Sans CJK SC"/>
        <b/>
        <color rgb="FF000000"/>
        <sz val="10.0"/>
      </rPr>
      <t>학습계획 달성률</t>
    </r>
    <r>
      <rPr>
        <rFont val="맑은 고딕"/>
        <b/>
        <color rgb="FF000000"/>
        <sz val="10.0"/>
      </rPr>
      <t>(%)</t>
    </r>
  </si>
  <si>
    <r>
      <rPr>
        <rFont val="Noto Sans CJK SC"/>
        <color rgb="FF7F7F7F"/>
        <sz val="9.0"/>
      </rPr>
      <t xml:space="preserve">숫자 </t>
    </r>
    <r>
      <rPr>
        <rFont val="맑은 고딕"/>
        <color rgb="FF7F7F7F"/>
        <sz val="9.0"/>
      </rPr>
      <t>0~100</t>
    </r>
  </si>
  <si>
    <r>
      <rPr>
        <rFont val="Noto Sans CJK SC"/>
        <b/>
        <color rgb="FF000000"/>
        <sz val="11.0"/>
      </rPr>
      <t>교수면담</t>
    </r>
    <r>
      <rPr>
        <rFont val="맑은 고딕"/>
        <b/>
        <color rgb="FF000000"/>
        <sz val="11.0"/>
      </rPr>
      <t>·</t>
    </r>
    <r>
      <rPr>
        <rFont val="Noto Sans CJK SC"/>
        <b/>
        <color rgb="FF000000"/>
        <sz val="11.0"/>
      </rPr>
      <t>학업상담</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</si>
  <si>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xml:space="preserve">· </t>
    </r>
    <r>
      <rPr>
        <rFont val="Noto Sans CJK SC"/>
        <i/>
        <color rgb="FF7F7F7F"/>
        <sz val="8.0"/>
      </rPr>
      <t xml:space="preserve">교수학습센터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 xml:space="preserve">커뮤니케이션 </t>
    </r>
    <r>
      <rPr>
        <rFont val="맑은 고딕"/>
        <i/>
        <color rgb="FF7F7F7F"/>
        <sz val="8.0"/>
      </rPr>
      <t xml:space="preserve">/ </t>
    </r>
    <r>
      <rPr>
        <rFont val="Noto Sans CJK SC"/>
        <i/>
        <color rgb="FF7F7F7F"/>
        <sz val="8.0"/>
      </rPr>
      <t xml:space="preserve">책임감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기존 데이터셋에 없는 신규 근거</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</si>
  <si>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</si>
  <si>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t>주요 역할</t>
  </si>
  <si>
    <t>외국어 수업 이수</t>
  </si>
  <si>
    <r>
      <rPr>
        <rFont val="맑은 고딕"/>
        <color rgb="FF000000"/>
        <sz val="9.0"/>
      </rPr>
      <t xml:space="preserve">SKKU </t>
    </r>
    <r>
      <rPr>
        <rFont val="Noto Sans CJK SC"/>
        <color rgb="FF000000"/>
        <sz val="9.0"/>
      </rPr>
      <t>확보가능</t>
    </r>
  </si>
  <si>
    <r>
      <rPr>
        <rFont val="맑은 고딕"/>
        <i/>
        <color rgb="FF7F7F7F"/>
        <sz val="8.0"/>
      </rPr>
      <t>YYYY-1 / YYYY-2 / YYYY-</t>
    </r>
    <r>
      <rPr>
        <rFont val="Noto Sans CJK SC"/>
        <i/>
        <color rgb="FF7F7F7F"/>
        <sz val="8.0"/>
      </rPr>
      <t xml:space="preserve">여름 </t>
    </r>
    <r>
      <rPr>
        <rFont val="맑은 고딕"/>
        <i/>
        <color rgb="FF7F7F7F"/>
        <sz val="8.0"/>
      </rPr>
      <t>/ YYYY-</t>
    </r>
    <r>
      <rPr>
        <rFont val="Noto Sans CJK SC"/>
        <i/>
        <color rgb="FF7F7F7F"/>
        <sz val="8.0"/>
      </rPr>
      <t>겨울</t>
    </r>
  </si>
  <si>
    <r>
      <rPr>
        <rFont val="Noto Sans CJK SC"/>
        <b/>
        <color rgb="FFFFFFFF"/>
        <sz val="11.0"/>
      </rPr>
      <t>■ 실무</t>
    </r>
    <r>
      <rPr>
        <rFont val="맑은 고딕"/>
        <b/>
        <color rgb="FFFFFFFF"/>
        <sz val="11.0"/>
      </rPr>
      <t>·</t>
    </r>
    <r>
      <rPr>
        <rFont val="Noto Sans CJK SC"/>
        <b/>
        <color rgb="FFFFFFFF"/>
        <sz val="11.0"/>
      </rPr>
      <t>진로</t>
    </r>
  </si>
  <si>
    <r>
      <rPr>
        <rFont val="Noto Sans CJK SC"/>
        <i/>
        <color rgb="FF7F7F7F"/>
        <sz val="8.0"/>
      </rPr>
      <t>출처</t>
    </r>
    <r>
      <rPr>
        <rFont val="맑은 고딕"/>
        <i/>
        <color rgb="FF7F7F7F"/>
        <sz val="8.0"/>
      </rPr>
      <t xml:space="preserve">: </t>
    </r>
    <r>
      <rPr>
        <rFont val="Noto Sans CJK SC"/>
        <i/>
        <color rgb="FF7F7F7F"/>
        <sz val="8.0"/>
      </rPr>
      <t xml:space="preserve">상담 기록 시스템 </t>
    </r>
    <r>
      <rPr>
        <rFont val="맑은 고딕"/>
        <i/>
        <color rgb="FF7F7F7F"/>
        <sz val="8.0"/>
      </rPr>
      <t xml:space="preserve">· LMS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성실성</t>
    </r>
    <r>
      <rPr>
        <rFont val="맑은 고딕"/>
        <i/>
        <color rgb="FF7F7F7F"/>
        <sz val="8.0"/>
      </rPr>
      <t>(</t>
    </r>
    <r>
      <rPr>
        <rFont val="Noto Sans CJK SC"/>
        <i/>
        <color rgb="FF7F7F7F"/>
        <sz val="8.0"/>
      </rPr>
      <t>수업참여도</t>
    </r>
    <r>
      <rPr>
        <rFont val="맑은 고딕"/>
        <i/>
        <color rgb="FF7F7F7F"/>
        <sz val="8.0"/>
      </rPr>
      <t xml:space="preserve">) / </t>
    </r>
    <r>
      <rPr>
        <rFont val="Noto Sans CJK SC"/>
        <i/>
        <color rgb="FF7F7F7F"/>
        <sz val="8.0"/>
      </rPr>
      <t xml:space="preserve">소통능력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기존 데이터셋에선 </t>
    </r>
    <r>
      <rPr>
        <rFont val="맑은 고딕"/>
        <i/>
        <color rgb="FF7F7F7F"/>
        <sz val="8.0"/>
      </rPr>
      <t xml:space="preserve">LMS </t>
    </r>
    <r>
      <rPr>
        <rFont val="Noto Sans CJK SC"/>
        <i/>
        <color rgb="FF7F7F7F"/>
        <sz val="8.0"/>
      </rPr>
      <t>항목 안에 섞여 있어 분리</t>
    </r>
  </si>
  <si>
    <r>
      <rPr>
        <rFont val="Noto Sans CJK SC"/>
        <color rgb="FF1F3B8A"/>
        <sz val="10.0"/>
      </rPr>
      <t>입학</t>
    </r>
    <r>
      <rPr>
        <rFont val="맑은 고딕"/>
        <color rgb="FF1F3B8A"/>
        <sz val="10.0"/>
      </rPr>
      <t>~2026-1</t>
    </r>
  </si>
  <si>
    <r>
      <rPr>
        <rFont val="Noto Sans CJK SC"/>
        <color rgb="FF7F7F7F"/>
        <sz val="9.0"/>
      </rPr>
      <t>예</t>
    </r>
    <r>
      <rPr>
        <rFont val="맑은 고딕"/>
        <color rgb="FF7F7F7F"/>
        <sz val="9.0"/>
      </rPr>
      <t xml:space="preserve">: </t>
    </r>
    <r>
      <rPr>
        <rFont val="Noto Sans CJK SC"/>
        <color rgb="FF7F7F7F"/>
        <sz val="9.0"/>
      </rPr>
      <t>입학</t>
    </r>
    <r>
      <rPr>
        <rFont val="맑은 고딕"/>
        <color rgb="FF7F7F7F"/>
        <sz val="9.0"/>
      </rPr>
      <t>~2026-1</t>
    </r>
  </si>
  <si>
    <r>
      <rPr>
        <rFont val="Noto Sans CJK SC"/>
        <b/>
        <color rgb="FF000000"/>
        <sz val="11.0"/>
      </rPr>
      <t>인턴</t>
    </r>
    <r>
      <rPr>
        <rFont val="맑은 고딕"/>
        <b/>
        <color rgb="FF000000"/>
        <sz val="11.0"/>
      </rPr>
      <t>·</t>
    </r>
    <r>
      <rPr>
        <rFont val="Noto Sans CJK SC"/>
        <b/>
        <color rgb="FF000000"/>
        <sz val="11.0"/>
      </rPr>
      <t>현장실습</t>
    </r>
  </si>
  <si>
    <r>
      <rPr>
        <rFont val="Noto Sans CJK SC"/>
        <b/>
        <color rgb="FF000000"/>
        <sz val="10.0"/>
      </rPr>
      <t>교수 면담 횟수</t>
    </r>
    <r>
      <rPr>
        <rFont val="맑은 고딕"/>
        <b/>
        <color rgb="FF000000"/>
        <sz val="10.0"/>
      </rPr>
      <t>(</t>
    </r>
    <r>
      <rPr>
        <rFont val="Noto Sans CJK SC"/>
        <b/>
        <color rgb="FF000000"/>
        <sz val="10.0"/>
      </rPr>
      <t>누적</t>
    </r>
    <r>
      <rPr>
        <rFont val="맑은 고딕"/>
        <b/>
        <color rgb="FF000000"/>
        <sz val="10.0"/>
      </rPr>
      <t>)</t>
    </r>
  </si>
  <si>
    <r>
      <rPr>
        <rFont val="Noto Sans CJK SC"/>
        <b/>
        <color rgb="FF000000"/>
        <sz val="10.0"/>
      </rPr>
      <t>학업상담 횟수</t>
    </r>
    <r>
      <rPr>
        <rFont val="맑은 고딕"/>
        <b/>
        <color rgb="FF000000"/>
        <sz val="10.0"/>
      </rPr>
      <t>(</t>
    </r>
    <r>
      <rPr>
        <rFont val="Noto Sans CJK SC"/>
        <b/>
        <color rgb="FF000000"/>
        <sz val="10.0"/>
      </rPr>
      <t>누적</t>
    </r>
    <r>
      <rPr>
        <rFont val="맑은 고딕"/>
        <b/>
        <color rgb="FF000000"/>
        <sz val="10.0"/>
      </rPr>
      <t>)</t>
    </r>
  </si>
  <si>
    <r>
      <rPr>
        <rFont val="Noto Sans CJK SC"/>
        <color rgb="FF1F3B8A"/>
        <sz val="10.0"/>
      </rPr>
      <t>캡스톤 주제 선정</t>
    </r>
    <r>
      <rPr>
        <rFont val="맑은 고딕"/>
        <color rgb="FF1F3B8A"/>
        <sz val="10.0"/>
      </rPr>
      <t xml:space="preserve">, </t>
    </r>
    <r>
      <rPr>
        <rFont val="Noto Sans CJK SC"/>
        <color rgb="FF1F3B8A"/>
        <sz val="10.0"/>
      </rPr>
      <t>대학원 진학</t>
    </r>
  </si>
  <si>
    <r>
      <rPr>
        <rFont val="Noto Sans CJK SC"/>
        <color rgb="FF000000"/>
        <sz val="9.0"/>
      </rPr>
      <t>디지털</t>
    </r>
    <r>
      <rPr>
        <rFont val="맑은 고딕"/>
        <color rgb="FF000000"/>
        <sz val="9.0"/>
      </rPr>
      <t>·AI</t>
    </r>
  </si>
  <si>
    <r>
      <rPr>
        <rFont val="맑은 고딕"/>
        <color rgb="FF000000"/>
        <sz val="9.0"/>
      </rPr>
      <t>AI</t>
    </r>
    <r>
      <rPr>
        <rFont val="Noto Sans CJK SC"/>
        <color rgb="FF000000"/>
        <sz val="9.0"/>
      </rPr>
      <t>교육 이수내역</t>
    </r>
  </si>
  <si>
    <r>
      <rPr>
        <rFont val="Noto Sans CJK SC"/>
        <color rgb="FF000000"/>
        <sz val="9.0"/>
      </rPr>
      <t xml:space="preserve">기존 </t>
    </r>
    <r>
      <rPr>
        <rFont val="맑은 고딕"/>
        <color rgb="FF000000"/>
        <sz val="9.0"/>
      </rPr>
      <t xml:space="preserve">+ SKKU </t>
    </r>
    <r>
      <rPr>
        <rFont val="Noto Sans CJK SC"/>
        <color rgb="FF000000"/>
        <sz val="9.0"/>
      </rPr>
      <t>확보가능</t>
    </r>
  </si>
  <si>
    <r>
      <rPr>
        <rFont val="Noto Sans CJK SC"/>
        <b/>
        <color rgb="FF000000"/>
        <sz val="11.0"/>
      </rPr>
      <t>토론</t>
    </r>
    <r>
      <rPr>
        <rFont val="맑은 고딕"/>
        <b/>
        <color rgb="FF000000"/>
        <sz val="11.0"/>
      </rPr>
      <t>·</t>
    </r>
    <r>
      <rPr>
        <rFont val="Noto Sans CJK SC"/>
        <b/>
        <color rgb="FF000000"/>
        <sz val="11.0"/>
      </rPr>
      <t>게시판 참여</t>
    </r>
  </si>
  <si>
    <r>
      <rPr>
        <rFont val="맑은 고딕"/>
        <b/>
        <color rgb="FF2F4A8A"/>
        <sz val="14.0"/>
      </rPr>
      <t>[</t>
    </r>
    <r>
      <rPr>
        <rFont val="Noto Sans CJK SC"/>
        <b/>
        <color rgb="FF2F4A8A"/>
        <sz val="14.0"/>
      </rPr>
      <t xml:space="preserve">샘플 </t>
    </r>
    <r>
      <rPr>
        <rFont val="맑은 고딕"/>
        <b/>
        <color rgb="FF2F4A8A"/>
        <sz val="14.0"/>
      </rPr>
      <t xml:space="preserve">S01] </t>
    </r>
    <r>
      <rPr>
        <rFont val="Noto Sans CJK SC"/>
        <b/>
        <color rgb="FF2F4A8A"/>
        <sz val="14.0"/>
      </rPr>
      <t xml:space="preserve">김민준 — 충실형 </t>
    </r>
    <r>
      <rPr>
        <rFont val="맑은 고딕"/>
        <b/>
        <color rgb="FF2F4A8A"/>
        <sz val="14.0"/>
      </rPr>
      <t>(</t>
    </r>
    <r>
      <rPr>
        <rFont val="Noto Sans CJK SC"/>
        <b/>
        <color rgb="FF2F4A8A"/>
        <sz val="14.0"/>
      </rPr>
      <t>가상 데이터</t>
    </r>
    <r>
      <rPr>
        <rFont val="맑은 고딕"/>
        <b/>
        <color rgb="FF2F4A8A"/>
        <sz val="14.0"/>
      </rPr>
      <t>)</t>
    </r>
  </si>
  <si>
    <r>
      <rPr>
        <rFont val="Noto Sans CJK SC"/>
        <color rgb="FF595959"/>
        <sz val="9.0"/>
      </rPr>
      <t>평가 테스트 포인트</t>
    </r>
    <r>
      <rPr>
        <rFont val="맑은 고딕"/>
        <color rgb="FF595959"/>
        <sz val="9.0"/>
      </rPr>
      <t xml:space="preserve">: </t>
    </r>
    <r>
      <rPr>
        <rFont val="Noto Sans CJK SC"/>
        <color rgb="FF595959"/>
        <sz val="9.0"/>
      </rPr>
      <t xml:space="preserve">대부분 값 있음 </t>
    </r>
    <r>
      <rPr>
        <rFont val="맑은 고딕"/>
        <color rgb="FF595959"/>
        <sz val="9.0"/>
      </rPr>
      <t xml:space="preserve">+ </t>
    </r>
    <r>
      <rPr>
        <rFont val="Noto Sans CJK SC"/>
        <color rgb="FF595959"/>
        <sz val="9.0"/>
      </rPr>
      <t xml:space="preserve">일부 </t>
    </r>
    <r>
      <rPr>
        <rFont val="맑은 고딕"/>
        <color rgb="FF595959"/>
        <sz val="9.0"/>
      </rPr>
      <t>'</t>
    </r>
    <r>
      <rPr>
        <rFont val="Noto Sans CJK SC"/>
        <color rgb="FF595959"/>
        <sz val="9.0"/>
      </rPr>
      <t>활동 없음</t>
    </r>
    <r>
      <rPr>
        <rFont val="맑은 고딕"/>
        <color rgb="FF595959"/>
        <sz val="9.0"/>
      </rPr>
      <t>'(</t>
    </r>
    <r>
      <rPr>
        <rFont val="Noto Sans CJK SC"/>
        <color rgb="FF595959"/>
        <sz val="9.0"/>
      </rPr>
      <t>창업</t>
    </r>
    <r>
      <rPr>
        <rFont val="맑은 고딕"/>
        <color rgb="FF595959"/>
        <sz val="9.0"/>
      </rPr>
      <t>·</t>
    </r>
    <r>
      <rPr>
        <rFont val="Noto Sans CJK SC"/>
        <color rgb="FF595959"/>
        <sz val="9.0"/>
      </rPr>
      <t>특허</t>
    </r>
    <r>
      <rPr>
        <rFont val="맑은 고딕"/>
        <color rgb="FF595959"/>
        <sz val="9.0"/>
      </rPr>
      <t>·</t>
    </r>
    <r>
      <rPr>
        <rFont val="Noto Sans CJK SC"/>
        <color rgb="FF595959"/>
        <sz val="9.0"/>
      </rPr>
      <t>해외</t>
    </r>
    <r>
      <rPr>
        <rFont val="맑은 고딕"/>
        <color rgb="FF595959"/>
        <sz val="9.0"/>
      </rPr>
      <t xml:space="preserve">) → </t>
    </r>
    <r>
      <rPr>
        <rFont val="Noto Sans CJK SC"/>
        <color rgb="FF595959"/>
        <sz val="9.0"/>
      </rPr>
      <t>높은 충족도</t>
    </r>
    <r>
      <rPr>
        <rFont val="맑은 고딕"/>
        <color rgb="FF595959"/>
        <sz val="9.0"/>
      </rPr>
      <t xml:space="preserve">, </t>
    </r>
    <r>
      <rPr>
        <rFont val="Noto Sans CJK SC"/>
        <color rgb="FF595959"/>
        <sz val="9.0"/>
      </rPr>
      <t xml:space="preserve">활동 없음은 </t>
    </r>
    <r>
      <rPr>
        <rFont val="맑은 고딕"/>
        <color rgb="FF595959"/>
        <sz val="9.0"/>
      </rPr>
      <t>0</t>
    </r>
    <r>
      <rPr>
        <rFont val="Noto Sans CJK SC"/>
        <color rgb="FF595959"/>
        <sz val="9.0"/>
      </rPr>
      <t>점 처리되는지 확인</t>
    </r>
  </si>
  <si>
    <r>
      <rPr>
        <rFont val="맑은 고딕"/>
        <color rgb="FF000000"/>
        <sz val="9.0"/>
      </rPr>
      <t xml:space="preserve">SKKU </t>
    </r>
    <r>
      <rPr>
        <rFont val="Noto Sans CJK SC"/>
        <color rgb="FF000000"/>
        <sz val="9.0"/>
      </rPr>
      <t>확보가능</t>
    </r>
  </si>
  <si>
    <r>
      <rPr>
        <rFont val="Noto Sans CJK SC"/>
        <i/>
        <color rgb="FF7F7F7F"/>
        <sz val="8.0"/>
      </rPr>
      <t>출처</t>
    </r>
    <r>
      <rPr>
        <rFont val="맑은 고딕"/>
        <i/>
        <color rgb="FF7F7F7F"/>
        <sz val="8.0"/>
      </rPr>
      <t xml:space="preserve">: </t>
    </r>
    <r>
      <rPr>
        <rFont val="Noto Sans CJK SC"/>
        <i/>
        <color rgb="FF7F7F7F"/>
        <sz val="8.0"/>
      </rPr>
      <t xml:space="preserve">현장실습 지원 시스템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인턴십</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커뮤니케이션</t>
    </r>
    <r>
      <rPr>
        <rFont val="맑은 고딕"/>
        <i/>
        <color rgb="FF7F7F7F"/>
        <sz val="8.0"/>
      </rPr>
      <t>(</t>
    </r>
    <r>
      <rPr>
        <rFont val="Noto Sans CJK SC"/>
        <i/>
        <color rgb="FF7F7F7F"/>
        <sz val="8.0"/>
      </rPr>
      <t>협업</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기간</t>
    </r>
    <r>
      <rPr>
        <rFont val="맑은 고딕"/>
        <i/>
        <color rgb="FF7F7F7F"/>
        <sz val="8.0"/>
      </rPr>
      <t>(</t>
    </r>
    <r>
      <rPr>
        <rFont val="Noto Sans CJK SC"/>
        <i/>
        <color rgb="FF7F7F7F"/>
        <sz val="8.0"/>
      </rPr>
      <t>개월</t>
    </r>
    <r>
      <rPr>
        <rFont val="맑은 고딕"/>
        <i/>
        <color rgb="FF7F7F7F"/>
        <sz val="8.0"/>
      </rPr>
      <t>)</t>
    </r>
    <r>
      <rPr>
        <rFont val="Noto Sans CJK SC"/>
        <i/>
        <color rgb="FF7F7F7F"/>
        <sz val="8.0"/>
      </rPr>
      <t>과 직무 관련성을 함께 추출</t>
    </r>
  </si>
  <si>
    <t>기관명</t>
  </si>
  <si>
    <r>
      <rPr>
        <rFont val="Noto Sans CJK SC"/>
        <color rgb="FF595959"/>
        <sz val="9.0"/>
      </rPr>
      <t>데이터 상태</t>
    </r>
    <r>
      <rPr>
        <rFont val="맑은 고딕"/>
        <color rgb="FF595959"/>
        <sz val="9.0"/>
      </rPr>
      <t xml:space="preserve">: </t>
    </r>
    <r>
      <rPr>
        <rFont val="Noto Sans CJK SC"/>
        <color rgb="FF595959"/>
        <sz val="9.0"/>
      </rPr>
      <t xml:space="preserve">값 있음 </t>
    </r>
    <r>
      <rPr>
        <rFont val="맑은 고딕"/>
        <color rgb="FF595959"/>
        <sz val="9.0"/>
      </rPr>
      <t xml:space="preserve">/ </t>
    </r>
    <r>
      <rPr>
        <rFont val="Noto Sans CJK SC"/>
        <color rgb="FF595959"/>
        <sz val="9.0"/>
      </rPr>
      <t>활동 없음</t>
    </r>
    <r>
      <rPr>
        <rFont val="맑은 고딕"/>
        <color rgb="FF595959"/>
        <sz val="9.0"/>
      </rPr>
      <t>(0</t>
    </r>
    <r>
      <rPr>
        <rFont val="Noto Sans CJK SC"/>
        <color rgb="FF595959"/>
        <sz val="9.0"/>
      </rPr>
      <t>점</t>
    </r>
    <r>
      <rPr>
        <rFont val="맑은 고딕"/>
        <color rgb="FF595959"/>
        <sz val="9.0"/>
      </rPr>
      <t xml:space="preserve">) / </t>
    </r>
    <r>
      <rPr>
        <rFont val="Noto Sans CJK SC"/>
        <color rgb="FF595959"/>
        <sz val="9.0"/>
      </rPr>
      <t>미수집</t>
    </r>
    <r>
      <rPr>
        <rFont val="맑은 고딕"/>
        <color rgb="FF595959"/>
        <sz val="9.0"/>
      </rPr>
      <t>(</t>
    </r>
    <r>
      <rPr>
        <rFont val="Noto Sans CJK SC"/>
        <color rgb="FF595959"/>
        <sz val="9.0"/>
      </rPr>
      <t>계산 제외</t>
    </r>
    <r>
      <rPr>
        <rFont val="맑은 고딕"/>
        <color rgb="FF595959"/>
        <sz val="9.0"/>
      </rPr>
      <t xml:space="preserve">) / </t>
    </r>
    <r>
      <rPr>
        <rFont val="Noto Sans CJK SC"/>
        <color rgb="FF595959"/>
        <sz val="9.0"/>
      </rPr>
      <t>해당 없음</t>
    </r>
    <r>
      <rPr>
        <rFont val="맑은 고딕"/>
        <color rgb="FF595959"/>
        <sz val="9.0"/>
      </rPr>
      <t>(</t>
    </r>
    <r>
      <rPr>
        <rFont val="Noto Sans CJK SC"/>
        <color rgb="FF595959"/>
        <sz val="9.0"/>
      </rPr>
      <t>불이익 없음</t>
    </r>
    <r>
      <rPr>
        <rFont val="맑은 고딕"/>
        <color rgb="FF595959"/>
        <sz val="9.0"/>
      </rPr>
      <t xml:space="preserve">) · </t>
    </r>
    <r>
      <rPr>
        <rFont val="Noto Sans CJK SC"/>
        <color rgb="FF595959"/>
        <sz val="9.0"/>
      </rPr>
      <t xml:space="preserve">상태 미선택 </t>
    </r>
    <r>
      <rPr>
        <rFont val="맑은 고딕"/>
        <color rgb="FF595959"/>
        <sz val="9.0"/>
      </rPr>
      <t xml:space="preserve">= </t>
    </r>
    <r>
      <rPr>
        <rFont val="Noto Sans CJK SC"/>
        <color rgb="FF595959"/>
        <sz val="9.0"/>
      </rPr>
      <t>미수집 간주</t>
    </r>
  </si>
  <si>
    <r>
      <rPr>
        <rFont val="Noto Sans CJK SC"/>
        <b/>
        <color rgb="FF000000"/>
        <sz val="9.0"/>
      </rPr>
      <t>직무</t>
    </r>
    <r>
      <rPr>
        <rFont val="맑은 고딕"/>
        <b/>
        <color rgb="FF000000"/>
        <sz val="9.0"/>
      </rPr>
      <t>·</t>
    </r>
    <r>
      <rPr>
        <rFont val="Noto Sans CJK SC"/>
        <b/>
        <color rgb="FF000000"/>
        <sz val="9.0"/>
      </rPr>
      <t>부서</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</si>
  <si>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</si>
  <si>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t>전공 관련성</t>
  </si>
  <si>
    <r>
      <rPr>
        <rFont val="Noto Sans CJK SC"/>
        <b/>
        <color rgb="FFFFFFFF"/>
        <sz val="11.0"/>
      </rPr>
      <t xml:space="preserve">■ 학생 기본정보  </t>
    </r>
    <r>
      <rPr>
        <rFont val="맑은 고딕"/>
        <b/>
        <color rgb="FFFFFFFF"/>
        <sz val="11.0"/>
      </rPr>
      <t>(</t>
    </r>
    <r>
      <rPr>
        <rFont val="Noto Sans CJK SC"/>
        <b/>
        <color rgb="FFFFFFFF"/>
        <sz val="11.0"/>
      </rPr>
      <t>학년 보정</t>
    </r>
    <r>
      <rPr>
        <rFont val="맑은 고딕"/>
        <b/>
        <color rgb="FFFFFFFF"/>
        <sz val="11.0"/>
      </rPr>
      <t>·</t>
    </r>
    <r>
      <rPr>
        <rFont val="Noto Sans CJK SC"/>
        <b/>
        <color rgb="FFFFFFFF"/>
        <sz val="11.0"/>
      </rPr>
      <t>학적 구분</t>
    </r>
    <r>
      <rPr>
        <rFont val="맑은 고딕"/>
        <b/>
        <color rgb="FFFFFFFF"/>
        <sz val="11.0"/>
      </rPr>
      <t>·</t>
    </r>
    <r>
      <rPr>
        <rFont val="Noto Sans CJK SC"/>
        <b/>
        <color rgb="FFFFFFFF"/>
        <sz val="11.0"/>
      </rPr>
      <t>전공 특수성 판단에 사용</t>
    </r>
    <r>
      <rPr>
        <rFont val="맑은 고딕"/>
        <b/>
        <color rgb="FFFFFFFF"/>
        <sz val="11.0"/>
      </rPr>
      <t>)</t>
    </r>
  </si>
  <si>
    <r>
      <rPr>
        <rFont val="맑은 고딕"/>
        <b/>
        <color rgb="FF000000"/>
        <sz val="9.0"/>
      </rPr>
      <t>3</t>
    </r>
    <r>
      <rPr>
        <rFont val="Noto Sans CJK SC"/>
        <b/>
        <color rgb="FF000000"/>
        <sz val="9.0"/>
      </rPr>
      <t>품 인정</t>
    </r>
  </si>
  <si>
    <r>
      <rPr>
        <rFont val="Noto Sans CJK SC"/>
        <i/>
        <color rgb="FF7F7F7F"/>
        <sz val="8.0"/>
      </rPr>
      <t>출처</t>
    </r>
    <r>
      <rPr>
        <rFont val="맑은 고딕"/>
        <i/>
        <color rgb="FF7F7F7F"/>
        <sz val="8.0"/>
      </rPr>
      <t xml:space="preserve">: LMS(i-Campus)   |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소통능력 </t>
    </r>
    <r>
      <rPr>
        <rFont val="맑은 고딕"/>
        <i/>
        <color rgb="FF7F7F7F"/>
        <sz val="8.0"/>
      </rPr>
      <t xml:space="preserve">/ </t>
    </r>
    <r>
      <rPr>
        <rFont val="Noto Sans CJK SC"/>
        <i/>
        <color rgb="FF7F7F7F"/>
        <sz val="8.0"/>
      </rPr>
      <t xml:space="preserve">수업참여도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교수 관심 </t>
    </r>
    <r>
      <rPr>
        <rFont val="맑은 고딕"/>
        <i/>
        <color rgb="FF7F7F7F"/>
        <sz val="8.0"/>
      </rPr>
      <t>'</t>
    </r>
    <r>
      <rPr>
        <rFont val="Noto Sans CJK SC"/>
        <i/>
        <color rgb="FF7F7F7F"/>
        <sz val="8.0"/>
      </rPr>
      <t>소통능력</t>
    </r>
    <r>
      <rPr>
        <rFont val="맑은 고딕"/>
        <i/>
        <color rgb="FF7F7F7F"/>
        <sz val="8.0"/>
      </rPr>
      <t>'</t>
    </r>
    <r>
      <rPr>
        <rFont val="Noto Sans CJK SC"/>
        <i/>
        <color rgb="FF7F7F7F"/>
        <sz val="8.0"/>
      </rPr>
      <t>의 정량 근거 보강</t>
    </r>
  </si>
  <si>
    <r>
      <rPr>
        <rFont val="맑은 고딕"/>
        <i/>
        <color rgb="FF7F7F7F"/>
        <sz val="8.0"/>
      </rPr>
      <t>[</t>
    </r>
    <r>
      <rPr>
        <rFont val="Noto Sans CJK SC"/>
        <i/>
        <color rgb="FF7F7F7F"/>
        <sz val="8.0"/>
      </rPr>
      <t xml:space="preserve">인턴십 </t>
    </r>
    <r>
      <rPr>
        <rFont val="맑은 고딕"/>
        <i/>
        <color rgb="FF7F7F7F"/>
        <sz val="8.0"/>
      </rPr>
      <t xml:space="preserve">/ </t>
    </r>
    <r>
      <rPr>
        <rFont val="Noto Sans CJK SC"/>
        <i/>
        <color rgb="FF7F7F7F"/>
        <sz val="8.0"/>
      </rPr>
      <t xml:space="preserve">현장실습 </t>
    </r>
    <r>
      <rPr>
        <rFont val="맑은 고딕"/>
        <i/>
        <color rgb="FF7F7F7F"/>
        <sz val="8.0"/>
      </rPr>
      <t xml:space="preserve">/ </t>
    </r>
    <r>
      <rPr>
        <rFont val="Noto Sans CJK SC"/>
        <i/>
        <color rgb="FF7F7F7F"/>
        <sz val="8.0"/>
      </rPr>
      <t xml:space="preserve">연구체험 </t>
    </r>
    <r>
      <rPr>
        <rFont val="맑은 고딕"/>
        <i/>
        <color rgb="FF7F7F7F"/>
        <sz val="8.0"/>
      </rPr>
      <t xml:space="preserve">/ </t>
    </r>
    <r>
      <rPr>
        <rFont val="Noto Sans CJK SC"/>
        <i/>
        <color rgb="FF7F7F7F"/>
        <sz val="8.0"/>
      </rPr>
      <t>문제해결프로젝트</t>
    </r>
    <r>
      <rPr>
        <rFont val="맑은 고딕"/>
        <i/>
        <color rgb="FF7F7F7F"/>
        <sz val="8.0"/>
      </rPr>
      <t>]</t>
    </r>
  </si>
  <si>
    <r>
      <rPr>
        <rFont val="맑은 고딕"/>
        <color rgb="FF1F3B8A"/>
        <sz val="10.0"/>
      </rPr>
      <t>2026-1</t>
    </r>
    <r>
      <rPr>
        <rFont val="Noto Sans CJK SC"/>
        <color rgb="FF1F3B8A"/>
        <sz val="10.0"/>
      </rPr>
      <t>학기</t>
    </r>
  </si>
  <si>
    <r>
      <rPr>
        <rFont val="Noto Sans CJK SC"/>
        <color rgb="FF7F7F7F"/>
        <sz val="9.0"/>
      </rPr>
      <t>예</t>
    </r>
    <r>
      <rPr>
        <rFont val="맑은 고딕"/>
        <color rgb="FF7F7F7F"/>
        <sz val="9.0"/>
      </rPr>
      <t>: 2026-1</t>
    </r>
    <r>
      <rPr>
        <rFont val="Noto Sans CJK SC"/>
        <color rgb="FF7F7F7F"/>
        <sz val="9.0"/>
      </rPr>
      <t>학기</t>
    </r>
  </si>
  <si>
    <r>
      <rPr>
        <rFont val="맑은 고딕"/>
        <i/>
        <color rgb="FF7F7F7F"/>
        <sz val="8.0"/>
      </rPr>
      <t>[</t>
    </r>
    <r>
      <rPr>
        <rFont val="Noto Sans CJK SC"/>
        <i/>
        <color rgb="FF7F7F7F"/>
        <sz val="8.0"/>
      </rPr>
      <t xml:space="preserve">관련 </t>
    </r>
    <r>
      <rPr>
        <rFont val="맑은 고딕"/>
        <i/>
        <color rgb="FF7F7F7F"/>
        <sz val="8.0"/>
      </rPr>
      <t xml:space="preserve">/ </t>
    </r>
    <r>
      <rPr>
        <rFont val="Noto Sans CJK SC"/>
        <i/>
        <color rgb="FF7F7F7F"/>
        <sz val="8.0"/>
      </rPr>
      <t xml:space="preserve">일부 관련 </t>
    </r>
    <r>
      <rPr>
        <rFont val="맑은 고딕"/>
        <i/>
        <color rgb="FF7F7F7F"/>
        <sz val="8.0"/>
      </rPr>
      <t xml:space="preserve">/ </t>
    </r>
    <r>
      <rPr>
        <rFont val="Noto Sans CJK SC"/>
        <i/>
        <color rgb="FF7F7F7F"/>
        <sz val="8.0"/>
      </rPr>
      <t>무관</t>
    </r>
    <r>
      <rPr>
        <rFont val="맑은 고딕"/>
        <i/>
        <color rgb="FF7F7F7F"/>
        <sz val="8.0"/>
      </rPr>
      <t>]</t>
    </r>
  </si>
  <si>
    <t>[Y / N]</t>
  </si>
  <si>
    <r>
      <rPr>
        <rFont val="Noto Sans CJK SC"/>
        <color rgb="FF7F7F7F"/>
        <sz val="9.0"/>
      </rPr>
      <t xml:space="preserve">숫자 </t>
    </r>
    <r>
      <rPr>
        <rFont val="맑은 고딕"/>
        <color rgb="FF7F7F7F"/>
        <sz val="9.0"/>
      </rPr>
      <t>10</t>
    </r>
    <r>
      <rPr>
        <rFont val="Noto Sans CJK SC"/>
        <color rgb="FF7F7F7F"/>
        <sz val="9.0"/>
      </rPr>
      <t>자리</t>
    </r>
    <r>
      <rPr>
        <rFont val="맑은 고딕"/>
        <color rgb="FF7F7F7F"/>
        <sz val="9.0"/>
      </rPr>
      <t>(</t>
    </r>
    <r>
      <rPr>
        <rFont val="Noto Sans CJK SC"/>
        <color rgb="FF7F7F7F"/>
        <sz val="9.0"/>
      </rPr>
      <t>텍스트</t>
    </r>
    <r>
      <rPr>
        <rFont val="맑은 고딕"/>
        <color rgb="FF7F7F7F"/>
        <sz val="9.0"/>
      </rPr>
      <t>)</t>
    </r>
  </si>
  <si>
    <r>
      <rPr>
        <rFont val="Noto Sans CJK SC"/>
        <b/>
        <color rgb="FFFFFFFF"/>
        <sz val="11.0"/>
      </rPr>
      <t>■ 연구</t>
    </r>
    <r>
      <rPr>
        <rFont val="맑은 고딕"/>
        <b/>
        <color rgb="FFFFFFFF"/>
        <sz val="11.0"/>
      </rPr>
      <t>·</t>
    </r>
    <r>
      <rPr>
        <rFont val="Noto Sans CJK SC"/>
        <b/>
        <color rgb="FFFFFFFF"/>
        <sz val="11.0"/>
      </rPr>
      <t>학술</t>
    </r>
  </si>
  <si>
    <r>
      <rPr>
        <rFont val="Noto Sans CJK SC"/>
        <color rgb="FF7F7F7F"/>
        <sz val="9.0"/>
      </rPr>
      <t>예</t>
    </r>
    <r>
      <rPr>
        <rFont val="맑은 고딕"/>
        <color rgb="FF7F7F7F"/>
        <sz val="9.0"/>
      </rPr>
      <t xml:space="preserve">: </t>
    </r>
    <r>
      <rPr>
        <rFont val="Noto Sans CJK SC"/>
        <color rgb="FF7F7F7F"/>
        <sz val="9.0"/>
      </rPr>
      <t>공과대학</t>
    </r>
  </si>
  <si>
    <r>
      <rPr>
        <rFont val="Noto Sans CJK SC"/>
        <b/>
        <color rgb="FF000000"/>
        <sz val="10.0"/>
      </rPr>
      <t>주전공</t>
    </r>
    <r>
      <rPr>
        <rFont val="맑은 고딕"/>
        <b/>
        <color rgb="FF000000"/>
        <sz val="10.0"/>
      </rPr>
      <t>(</t>
    </r>
    <r>
      <rPr>
        <rFont val="Noto Sans CJK SC"/>
        <b/>
        <color rgb="FF000000"/>
        <sz val="10.0"/>
      </rPr>
      <t>학과</t>
    </r>
    <r>
      <rPr>
        <rFont val="맑은 고딕"/>
        <b/>
        <color rgb="FF000000"/>
        <sz val="10.0"/>
      </rPr>
      <t>)</t>
    </r>
  </si>
  <si>
    <r>
      <rPr>
        <rFont val="Noto Sans CJK SC"/>
        <color rgb="FF7F7F7F"/>
        <sz val="9.0"/>
      </rPr>
      <t>예</t>
    </r>
    <r>
      <rPr>
        <rFont val="맑은 고딕"/>
        <color rgb="FF7F7F7F"/>
        <sz val="9.0"/>
      </rPr>
      <t xml:space="preserve">: </t>
    </r>
    <r>
      <rPr>
        <rFont val="Noto Sans CJK SC"/>
        <color rgb="FF7F7F7F"/>
        <sz val="9.0"/>
      </rPr>
      <t>기계공학부</t>
    </r>
  </si>
  <si>
    <r>
      <rPr>
        <rFont val="Noto Sans CJK SC"/>
        <color rgb="FF000000"/>
        <sz val="9.0"/>
      </rPr>
      <t>디지털</t>
    </r>
    <r>
      <rPr>
        <rFont val="맑은 고딕"/>
        <color rgb="FF000000"/>
        <sz val="9.0"/>
      </rPr>
      <t>·AI</t>
    </r>
  </si>
  <si>
    <r>
      <rPr>
        <rFont val="Noto Sans CJK SC"/>
        <b/>
        <color rgb="FF000000"/>
        <sz val="11.0"/>
      </rPr>
      <t>학회</t>
    </r>
    <r>
      <rPr>
        <rFont val="맑은 고딕"/>
        <b/>
        <color rgb="FF000000"/>
        <sz val="11.0"/>
      </rPr>
      <t>·</t>
    </r>
    <r>
      <rPr>
        <rFont val="Noto Sans CJK SC"/>
        <b/>
        <color rgb="FF000000"/>
        <sz val="11.0"/>
      </rPr>
      <t>연구활동</t>
    </r>
  </si>
  <si>
    <r>
      <rPr>
        <rFont val="맑은 고딕"/>
        <color rgb="FF000000"/>
        <sz val="9.0"/>
      </rPr>
      <t xml:space="preserve">AI </t>
    </r>
    <r>
      <rPr>
        <rFont val="Noto Sans CJK SC"/>
        <color rgb="FF000000"/>
        <sz val="9.0"/>
      </rPr>
      <t>프로젝트</t>
    </r>
    <r>
      <rPr>
        <rFont val="맑은 고딕"/>
        <color rgb="FF000000"/>
        <sz val="9.0"/>
      </rPr>
      <t>·</t>
    </r>
    <r>
      <rPr>
        <rFont val="Noto Sans CJK SC"/>
        <color rgb="FF000000"/>
        <sz val="9.0"/>
      </rPr>
      <t>대회</t>
    </r>
  </si>
  <si>
    <r>
      <rPr>
        <rFont val="Noto Sans CJK SC"/>
        <color rgb="FF7F7F7F"/>
        <sz val="9.0"/>
      </rPr>
      <t xml:space="preserve">숫자 </t>
    </r>
    <r>
      <rPr>
        <rFont val="맑은 고딕"/>
        <color rgb="FF7F7F7F"/>
        <sz val="9.0"/>
      </rPr>
      <t>1~6</t>
    </r>
  </si>
  <si>
    <r>
      <rPr>
        <rFont val="맑은 고딕"/>
        <color rgb="FF000000"/>
        <sz val="9.0"/>
      </rPr>
      <t xml:space="preserve">SKKU </t>
    </r>
    <r>
      <rPr>
        <rFont val="Noto Sans CJK SC"/>
        <color rgb="FF000000"/>
        <sz val="9.0"/>
      </rPr>
      <t>확보가능</t>
    </r>
  </si>
  <si>
    <r>
      <rPr>
        <rFont val="Noto Sans CJK SC"/>
        <color rgb="FF7F7F7F"/>
        <sz val="9.0"/>
      </rPr>
      <t>학사시스템 기준 현재 학년</t>
    </r>
    <r>
      <rPr>
        <rFont val="맑은 고딕"/>
        <color rgb="FF7F7F7F"/>
        <sz val="9.0"/>
      </rPr>
      <t>(</t>
    </r>
    <r>
      <rPr>
        <rFont val="Noto Sans CJK SC"/>
        <color rgb="FF7F7F7F"/>
        <sz val="9.0"/>
      </rPr>
      <t>숫자만</t>
    </r>
    <r>
      <rPr>
        <rFont val="맑은 고딕"/>
        <color rgb="FF7F7F7F"/>
        <sz val="9.0"/>
      </rPr>
      <t>)</t>
    </r>
  </si>
  <si>
    <r>
      <rPr>
        <rFont val="Noto Sans CJK SC"/>
        <color rgb="FF7F7F7F"/>
        <sz val="9.0"/>
      </rPr>
      <t>휴학 학기 제외</t>
    </r>
    <r>
      <rPr>
        <rFont val="맑은 고딕"/>
        <color rgb="FF7F7F7F"/>
        <sz val="9.0"/>
      </rPr>
      <t xml:space="preserve">, </t>
    </r>
    <r>
      <rPr>
        <rFont val="Noto Sans CJK SC"/>
        <color rgb="FF7F7F7F"/>
        <sz val="9.0"/>
      </rPr>
      <t>본교 기준</t>
    </r>
    <r>
      <rPr>
        <rFont val="맑은 고딕"/>
        <color rgb="FF7F7F7F"/>
        <sz val="9.0"/>
      </rPr>
      <t xml:space="preserve">. </t>
    </r>
    <r>
      <rPr>
        <rFont val="Noto Sans CJK SC"/>
        <color rgb="FF7F7F7F"/>
        <sz val="9.0"/>
      </rPr>
      <t>학년 보정에 사용</t>
    </r>
  </si>
  <si>
    <r>
      <rPr>
        <rFont val="Noto Sans CJK SC"/>
        <color rgb="FF7F7F7F"/>
        <sz val="9.0"/>
      </rPr>
      <t>예</t>
    </r>
    <r>
      <rPr>
        <rFont val="맑은 고딕"/>
        <color rgb="FF7F7F7F"/>
        <sz val="9.0"/>
      </rPr>
      <t>: 2023-03</t>
    </r>
  </si>
  <si>
    <r>
      <rPr>
        <rFont val="맑은 고딕"/>
        <color rgb="FF7F7F7F"/>
        <sz val="9.0"/>
      </rPr>
      <t>N</t>
    </r>
    <r>
      <rPr>
        <rFont val="Noto Sans CJK SC"/>
        <color rgb="FF7F7F7F"/>
        <sz val="9.0"/>
      </rPr>
      <t xml:space="preserve">이면 </t>
    </r>
    <r>
      <rPr>
        <rFont val="맑은 고딕"/>
        <color rgb="FF7F7F7F"/>
        <sz val="9.0"/>
      </rPr>
      <t>4</t>
    </r>
    <r>
      <rPr>
        <rFont val="Noto Sans CJK SC"/>
        <color rgb="FF7F7F7F"/>
        <sz val="9.0"/>
      </rPr>
      <t xml:space="preserve">번 카테고리는 </t>
    </r>
    <r>
      <rPr>
        <rFont val="맑은 고딕"/>
        <color rgb="FF7F7F7F"/>
        <sz val="9.0"/>
      </rPr>
      <t>'</t>
    </r>
    <r>
      <rPr>
        <rFont val="Noto Sans CJK SC"/>
        <color rgb="FF7F7F7F"/>
        <sz val="9.0"/>
      </rPr>
      <t>해당 없음</t>
    </r>
    <r>
      <rPr>
        <rFont val="맑은 고딕"/>
        <color rgb="FF7F7F7F"/>
        <sz val="9.0"/>
      </rPr>
      <t>'</t>
    </r>
  </si>
  <si>
    <r>
      <rPr>
        <rFont val="Noto Sans CJK SC"/>
        <i/>
        <color rgb="FF7F7F7F"/>
        <sz val="8.0"/>
      </rPr>
      <t>출처</t>
    </r>
    <r>
      <rPr>
        <rFont val="맑은 고딕"/>
        <i/>
        <color rgb="FF7F7F7F"/>
        <sz val="8.0"/>
      </rPr>
      <t xml:space="preserve">: </t>
    </r>
    <r>
      <rPr>
        <rFont val="Noto Sans CJK SC"/>
        <i/>
        <color rgb="FF7F7F7F"/>
        <sz val="8.0"/>
      </rPr>
      <t>학생 등록</t>
    </r>
    <r>
      <rPr>
        <rFont val="맑은 고딕"/>
        <i/>
        <color rgb="FF7F7F7F"/>
        <sz val="8.0"/>
      </rPr>
      <t>(</t>
    </r>
    <r>
      <rPr>
        <rFont val="Noto Sans CJK SC"/>
        <i/>
        <color rgb="FF7F7F7F"/>
        <sz val="8.0"/>
      </rPr>
      <t>고용보험 자격이력 등</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커뮤니케이션 </t>
    </r>
    <r>
      <rPr>
        <rFont val="맑은 고딕"/>
        <i/>
        <color rgb="FF7F7F7F"/>
        <sz val="8.0"/>
      </rPr>
      <t xml:space="preserve">/ </t>
    </r>
    <r>
      <rPr>
        <rFont val="Noto Sans CJK SC"/>
        <i/>
        <color rgb="FF7F7F7F"/>
        <sz val="8.0"/>
      </rPr>
      <t xml:space="preserve">책임감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증빙 신뢰도 낮음 → 기간 위주 정량화 권장</t>
    </r>
  </si>
  <si>
    <r>
      <rPr>
        <rFont val="Noto Sans CJK SC"/>
        <i/>
        <color rgb="FF7F7F7F"/>
        <sz val="8.0"/>
      </rPr>
      <t>출처</t>
    </r>
    <r>
      <rPr>
        <rFont val="맑은 고딕"/>
        <i/>
        <color rgb="FF7F7F7F"/>
        <sz val="8.0"/>
      </rPr>
      <t xml:space="preserve">: </t>
    </r>
    <r>
      <rPr>
        <rFont val="Noto Sans CJK SC"/>
        <i/>
        <color rgb="FF7F7F7F"/>
        <sz val="8.0"/>
      </rPr>
      <t>비교과</t>
    </r>
    <r>
      <rPr>
        <rFont val="맑은 고딕"/>
        <i/>
        <color rgb="FF7F7F7F"/>
        <sz val="8.0"/>
      </rPr>
      <t>·</t>
    </r>
    <r>
      <rPr>
        <rFont val="Noto Sans CJK SC"/>
        <i/>
        <color rgb="FF7F7F7F"/>
        <sz val="8.0"/>
      </rPr>
      <t xml:space="preserve">연구지원 시스템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탐구력 </t>
    </r>
    <r>
      <rPr>
        <rFont val="맑은 고딕"/>
        <i/>
        <color rgb="FF7F7F7F"/>
        <sz val="8.0"/>
      </rPr>
      <t xml:space="preserve">/ </t>
    </r>
    <r>
      <rPr>
        <rFont val="Noto Sans CJK SC"/>
        <i/>
        <color rgb="FF7F7F7F"/>
        <sz val="8.0"/>
      </rPr>
      <t xml:space="preserve">문제해결력   </t>
    </r>
    <r>
      <rPr>
        <rFont val="맑은 고딕"/>
        <i/>
        <color rgb="FF7F7F7F"/>
        <sz val="8.0"/>
      </rPr>
      <t xml:space="preserve">|   </t>
    </r>
    <r>
      <rPr>
        <rFont val="Noto Sans CJK SC"/>
        <i/>
        <color rgb="FF7F7F7F"/>
        <sz val="8.0"/>
      </rPr>
      <t>비고</t>
    </r>
    <r>
      <rPr>
        <rFont val="맑은 고딕"/>
        <i/>
        <color rgb="FF7F7F7F"/>
        <sz val="8.0"/>
      </rPr>
      <t xml:space="preserve">: [B] </t>
    </r>
    <r>
      <rPr>
        <rFont val="Noto Sans CJK SC"/>
        <i/>
        <color rgb="FF7F7F7F"/>
        <sz val="8.0"/>
      </rPr>
      <t>학회</t>
    </r>
    <r>
      <rPr>
        <rFont val="맑은 고딕"/>
        <i/>
        <color rgb="FF7F7F7F"/>
        <sz val="8.0"/>
      </rPr>
      <t>·</t>
    </r>
    <r>
      <rPr>
        <rFont val="Noto Sans CJK SC"/>
        <i/>
        <color rgb="FF7F7F7F"/>
        <sz val="8.0"/>
      </rPr>
      <t xml:space="preserve">연구 </t>
    </r>
    <r>
      <rPr>
        <rFont val="맑은 고딕"/>
        <i/>
        <color rgb="FF7F7F7F"/>
        <sz val="8.0"/>
      </rPr>
      <t>+ [C] URP·</t>
    </r>
    <r>
      <rPr>
        <rFont val="Noto Sans CJK SC"/>
        <i/>
        <color rgb="FF7F7F7F"/>
        <sz val="8.0"/>
      </rPr>
      <t>팀연구프로젝트 통합</t>
    </r>
  </si>
  <si>
    <r>
      <rPr>
        <rFont val="Noto Sans CJK SC"/>
        <color rgb="FF7F7F7F"/>
        <sz val="9.0"/>
      </rPr>
      <t>데이터 추출</t>
    </r>
    <r>
      <rPr>
        <rFont val="맑은 고딕"/>
        <color rgb="FF7F7F7F"/>
        <sz val="9.0"/>
      </rPr>
      <t>(</t>
    </r>
    <r>
      <rPr>
        <rFont val="Noto Sans CJK SC"/>
        <color rgb="FF7F7F7F"/>
        <sz val="9.0"/>
      </rPr>
      <t>또는 제출</t>
    </r>
    <r>
      <rPr>
        <rFont val="맑은 고딕"/>
        <color rgb="FF7F7F7F"/>
        <sz val="9.0"/>
      </rPr>
      <t xml:space="preserve">) </t>
    </r>
    <r>
      <rPr>
        <rFont val="Noto Sans CJK SC"/>
        <color rgb="FF7F7F7F"/>
        <sz val="9.0"/>
      </rPr>
      <t>기준일</t>
    </r>
  </si>
  <si>
    <t>업종</t>
  </si>
  <si>
    <t>시스템 연동</t>
  </si>
  <si>
    <t>직무</t>
  </si>
  <si>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</si>
  <si>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Noto Sans CJK SC"/>
        <b/>
        <color rgb="FF000000"/>
        <sz val="9.0"/>
      </rPr>
      <t>활동명</t>
    </r>
    <r>
      <rPr>
        <rFont val="맑은 고딕"/>
        <b/>
        <color rgb="FF000000"/>
        <sz val="9.0"/>
      </rPr>
      <t>·</t>
    </r>
    <r>
      <rPr>
        <rFont val="Noto Sans CJK SC"/>
        <b/>
        <color rgb="FF000000"/>
        <sz val="9.0"/>
      </rPr>
      <t>소속</t>
    </r>
  </si>
  <si>
    <r>
      <rPr>
        <rFont val="Noto Sans CJK SC"/>
        <b/>
        <color rgb="FF000000"/>
        <sz val="10.0"/>
      </rPr>
      <t>개인정보 수집</t>
    </r>
    <r>
      <rPr>
        <rFont val="맑은 고딕"/>
        <b/>
        <color rgb="FF000000"/>
        <sz val="10.0"/>
      </rPr>
      <t>·</t>
    </r>
    <r>
      <rPr>
        <rFont val="Noto Sans CJK SC"/>
        <b/>
        <color rgb="FF000000"/>
        <sz val="10.0"/>
      </rPr>
      <t>이용 동의</t>
    </r>
  </si>
  <si>
    <t>주당 근무시간</t>
  </si>
  <si>
    <t>증빙</t>
  </si>
  <si>
    <r>
      <rPr>
        <rFont val="맑은 고딕"/>
        <color rgb="FF7F7F7F"/>
        <sz val="9.0"/>
      </rPr>
      <t>N</t>
    </r>
    <r>
      <rPr>
        <rFont val="Noto Sans CJK SC"/>
        <color rgb="FF7F7F7F"/>
        <sz val="9.0"/>
      </rPr>
      <t>이면 평가 대상에서 제외</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</si>
  <si>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</si>
  <si>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Noto Sans CJK SC"/>
        <b/>
        <color rgb="FFFFFFFF"/>
        <sz val="11.0"/>
      </rPr>
      <t>■ 학업</t>
    </r>
    <r>
      <rPr>
        <rFont val="맑은 고딕"/>
        <b/>
        <color rgb="FFFFFFFF"/>
        <sz val="11.0"/>
      </rPr>
      <t>·</t>
    </r>
    <r>
      <rPr>
        <rFont val="Noto Sans CJK SC"/>
        <b/>
        <color rgb="FFFFFFFF"/>
        <sz val="11.0"/>
      </rPr>
      <t>교과</t>
    </r>
  </si>
  <si>
    <r>
      <rPr>
        <rFont val="맑은 고딕"/>
        <i/>
        <color rgb="FF7F7F7F"/>
        <sz val="8.0"/>
      </rPr>
      <t>[</t>
    </r>
    <r>
      <rPr>
        <rFont val="Noto Sans CJK SC"/>
        <i/>
        <color rgb="FF7F7F7F"/>
        <sz val="8.0"/>
      </rPr>
      <t xml:space="preserve">고용보험 </t>
    </r>
    <r>
      <rPr>
        <rFont val="맑은 고딕"/>
        <i/>
        <color rgb="FF7F7F7F"/>
        <sz val="8.0"/>
      </rPr>
      <t xml:space="preserve">/ </t>
    </r>
    <r>
      <rPr>
        <rFont val="Noto Sans CJK SC"/>
        <i/>
        <color rgb="FF7F7F7F"/>
        <sz val="8.0"/>
      </rPr>
      <t>재직</t>
    </r>
    <r>
      <rPr>
        <rFont val="맑은 고딕"/>
        <i/>
        <color rgb="FF7F7F7F"/>
        <sz val="8.0"/>
      </rPr>
      <t>·</t>
    </r>
    <r>
      <rPr>
        <rFont val="Noto Sans CJK SC"/>
        <i/>
        <color rgb="FF7F7F7F"/>
        <sz val="8.0"/>
      </rPr>
      <t xml:space="preserve">경력증명 </t>
    </r>
    <r>
      <rPr>
        <rFont val="맑은 고딕"/>
        <i/>
        <color rgb="FF7F7F7F"/>
        <sz val="8.0"/>
      </rPr>
      <t xml:space="preserve">/ </t>
    </r>
    <r>
      <rPr>
        <rFont val="Noto Sans CJK SC"/>
        <i/>
        <color rgb="FF7F7F7F"/>
        <sz val="8.0"/>
      </rPr>
      <t>없음</t>
    </r>
    <r>
      <rPr>
        <rFont val="맑은 고딕"/>
        <i/>
        <color rgb="FF7F7F7F"/>
        <sz val="8.0"/>
      </rPr>
      <t>]</t>
    </r>
  </si>
  <si>
    <r>
      <rPr>
        <rFont val="맑은 고딕"/>
        <i/>
        <color rgb="FF7F7F7F"/>
        <sz val="8.0"/>
      </rPr>
      <t>[</t>
    </r>
    <r>
      <rPr>
        <rFont val="Noto Sans CJK SC"/>
        <i/>
        <color rgb="FF7F7F7F"/>
        <sz val="8.0"/>
      </rPr>
      <t xml:space="preserve">학부연구생 </t>
    </r>
    <r>
      <rPr>
        <rFont val="맑은 고딕"/>
        <i/>
        <color rgb="FF7F7F7F"/>
        <sz val="8.0"/>
      </rPr>
      <t xml:space="preserve">/ URP / </t>
    </r>
    <r>
      <rPr>
        <rFont val="Noto Sans CJK SC"/>
        <i/>
        <color rgb="FF7F7F7F"/>
        <sz val="8.0"/>
      </rPr>
      <t xml:space="preserve">학회 </t>
    </r>
    <r>
      <rPr>
        <rFont val="맑은 고딕"/>
        <i/>
        <color rgb="FF7F7F7F"/>
        <sz val="8.0"/>
      </rPr>
      <t xml:space="preserve">/ </t>
    </r>
    <r>
      <rPr>
        <rFont val="Noto Sans CJK SC"/>
        <i/>
        <color rgb="FF7F7F7F"/>
        <sz val="8.0"/>
      </rPr>
      <t xml:space="preserve">연구실 인턴 </t>
    </r>
    <r>
      <rPr>
        <rFont val="맑은 고딕"/>
        <i/>
        <color rgb="FF7F7F7F"/>
        <sz val="8.0"/>
      </rPr>
      <t xml:space="preserve">/ </t>
    </r>
    <r>
      <rPr>
        <rFont val="Noto Sans CJK SC"/>
        <i/>
        <color rgb="FF7F7F7F"/>
        <sz val="8.0"/>
      </rPr>
      <t>팀연구프로젝트</t>
    </r>
    <r>
      <rPr>
        <rFont val="맑은 고딕"/>
        <i/>
        <color rgb="FF7F7F7F"/>
        <sz val="8.0"/>
      </rPr>
      <t>]</t>
    </r>
  </si>
  <si>
    <r>
      <rPr>
        <rFont val="Noto Sans CJK SC"/>
        <i/>
        <color rgb="FF7F7F7F"/>
        <sz val="8.0"/>
      </rPr>
      <t>연구실</t>
    </r>
    <r>
      <rPr>
        <rFont val="맑은 고딕"/>
        <i/>
        <color rgb="FF7F7F7F"/>
        <sz val="8.0"/>
      </rPr>
      <t>/</t>
    </r>
    <r>
      <rPr>
        <rFont val="Noto Sans CJK SC"/>
        <i/>
        <color rgb="FF7F7F7F"/>
        <sz val="8.0"/>
      </rPr>
      <t>학회명</t>
    </r>
  </si>
  <si>
    <r>
      <rPr>
        <rFont val="Noto Sans CJK SC"/>
        <b/>
        <color rgb="FF000000"/>
        <sz val="11.0"/>
      </rPr>
      <t>성적데이터</t>
    </r>
    <r>
      <rPr>
        <rFont val="맑은 고딕"/>
        <b/>
        <color rgb="FF000000"/>
        <sz val="11.0"/>
      </rPr>
      <t>(</t>
    </r>
    <r>
      <rPr>
        <rFont val="Noto Sans CJK SC"/>
        <b/>
        <color rgb="FF000000"/>
        <sz val="11.0"/>
      </rPr>
      <t>전공</t>
    </r>
    <r>
      <rPr>
        <rFont val="맑은 고딕"/>
        <b/>
        <color rgb="FF000000"/>
        <sz val="11.0"/>
      </rPr>
      <t>·</t>
    </r>
    <r>
      <rPr>
        <rFont val="Noto Sans CJK SC"/>
        <b/>
        <color rgb="FF000000"/>
        <sz val="11.0"/>
      </rPr>
      <t>학기별</t>
    </r>
    <r>
      <rPr>
        <rFont val="맑은 고딕"/>
        <b/>
        <color rgb="FF000000"/>
        <sz val="11.0"/>
      </rPr>
      <t>)</t>
    </r>
  </si>
  <si>
    <r>
      <rPr>
        <rFont val="맑은 고딕"/>
        <i/>
        <color rgb="FF7F7F7F"/>
        <sz val="8.0"/>
      </rPr>
      <t xml:space="preserve">YYYY-MM / </t>
    </r>
    <r>
      <rPr>
        <rFont val="Noto Sans CJK SC"/>
        <i/>
        <color rgb="FF7F7F7F"/>
        <sz val="8.0"/>
      </rPr>
      <t>진행중</t>
    </r>
  </si>
  <si>
    <r>
      <rPr>
        <rFont val="Noto Sans CJK SC"/>
        <b/>
        <color rgb="FF000000"/>
        <sz val="11.0"/>
      </rPr>
      <t>진로설계</t>
    </r>
    <r>
      <rPr>
        <rFont val="맑은 고딕"/>
        <b/>
        <color rgb="FF000000"/>
        <sz val="11.0"/>
      </rPr>
      <t>·</t>
    </r>
    <r>
      <rPr>
        <rFont val="Noto Sans CJK SC"/>
        <b/>
        <color rgb="FF000000"/>
        <sz val="11.0"/>
      </rPr>
      <t>취업상담</t>
    </r>
  </si>
  <si>
    <t>학부연구생</t>
  </si>
  <si>
    <t>스마트팩토리연구실</t>
  </si>
  <si>
    <r>
      <rPr>
        <rFont val="Noto Sans CJK SC"/>
        <color rgb="FF1F3B8A"/>
        <sz val="10.0"/>
      </rPr>
      <t>데이터 전처리</t>
    </r>
    <r>
      <rPr>
        <rFont val="맑은 고딕"/>
        <color rgb="FF1F3B8A"/>
        <sz val="10.0"/>
      </rPr>
      <t>·</t>
    </r>
    <r>
      <rPr>
        <rFont val="Noto Sans CJK SC"/>
        <color rgb="FF1F3B8A"/>
        <sz val="10.0"/>
      </rPr>
      <t>실험 보조</t>
    </r>
  </si>
  <si>
    <t>2025-03</t>
  </si>
  <si>
    <t>2026-02</t>
  </si>
  <si>
    <r>
      <rPr>
        <rFont val="Noto Sans CJK SC"/>
        <color rgb="FF000000"/>
        <sz val="9.0"/>
      </rPr>
      <t>디지털</t>
    </r>
    <r>
      <rPr>
        <rFont val="맑은 고딕"/>
        <color rgb="FF000000"/>
        <sz val="9.0"/>
      </rPr>
      <t>·AI</t>
    </r>
  </si>
  <si>
    <r>
      <rPr>
        <rFont val="Noto Sans CJK SC"/>
        <color rgb="FF1F3B8A"/>
        <sz val="10.0"/>
      </rPr>
      <t xml:space="preserve">국내학술대회 포스터 </t>
    </r>
    <r>
      <rPr>
        <rFont val="맑은 고딕"/>
        <color rgb="FF1F3B8A"/>
        <sz val="10.0"/>
      </rPr>
      <t>1</t>
    </r>
    <r>
      <rPr>
        <rFont val="Noto Sans CJK SC"/>
        <color rgb="FF1F3B8A"/>
        <sz val="10.0"/>
      </rPr>
      <t>편</t>
    </r>
    <r>
      <rPr>
        <rFont val="맑은 고딕"/>
        <color rgb="FF1F3B8A"/>
        <sz val="10.0"/>
      </rPr>
      <t>(</t>
    </r>
    <r>
      <rPr>
        <rFont val="Noto Sans CJK SC"/>
        <color rgb="FF1F3B8A"/>
        <sz val="10.0"/>
      </rPr>
      <t>공동저자</t>
    </r>
    <r>
      <rPr>
        <rFont val="맑은 고딕"/>
        <color rgb="FF1F3B8A"/>
        <sz val="10.0"/>
      </rPr>
      <t>)</t>
    </r>
  </si>
  <si>
    <t>협업툴 활용경험</t>
  </si>
  <si>
    <t>URP</t>
  </si>
  <si>
    <r>
      <rPr>
        <rFont val="맑은 고딕"/>
        <color rgb="FF1F3B8A"/>
        <sz val="10.0"/>
      </rPr>
      <t xml:space="preserve">URP 2025 </t>
    </r>
    <r>
      <rPr>
        <rFont val="Noto Sans CJK SC"/>
        <color rgb="FF1F3B8A"/>
        <sz val="10.0"/>
      </rPr>
      <t>하계</t>
    </r>
  </si>
  <si>
    <t>팀장</t>
  </si>
  <si>
    <t>2025-07</t>
  </si>
  <si>
    <t>2025-08</t>
  </si>
  <si>
    <t>결과보고서 우수팀 선정</t>
  </si>
  <si>
    <r>
      <rPr>
        <rFont val="Noto Sans CJK SC"/>
        <b/>
        <color rgb="FF000000"/>
        <sz val="11.0"/>
      </rPr>
      <t>정보탐색 결과물</t>
    </r>
    <r>
      <rPr>
        <rFont val="맑은 고딕"/>
        <b/>
        <color rgb="FF000000"/>
        <sz val="11.0"/>
      </rPr>
      <t>(</t>
    </r>
    <r>
      <rPr>
        <rFont val="Noto Sans CJK SC"/>
        <b/>
        <color rgb="FF000000"/>
        <sz val="11.0"/>
      </rPr>
      <t>논문</t>
    </r>
    <r>
      <rPr>
        <rFont val="맑은 고딕"/>
        <b/>
        <color rgb="FF000000"/>
        <sz val="11.0"/>
      </rPr>
      <t>·</t>
    </r>
    <r>
      <rPr>
        <rFont val="Noto Sans CJK SC"/>
        <b/>
        <color rgb="FF000000"/>
        <sz val="11.0"/>
      </rPr>
      <t>보고서</t>
    </r>
    <r>
      <rPr>
        <rFont val="맑은 고딕"/>
        <b/>
        <color rgb="FF000000"/>
        <sz val="11.0"/>
      </rPr>
      <t>)</t>
    </r>
  </si>
  <si>
    <r>
      <rPr>
        <rFont val="Noto Sans CJK SC"/>
        <i/>
        <color rgb="FF7F7F7F"/>
        <sz val="8.0"/>
      </rPr>
      <t>출처</t>
    </r>
    <r>
      <rPr>
        <rFont val="맑은 고딕"/>
        <i/>
        <color rgb="FF7F7F7F"/>
        <sz val="8.0"/>
      </rPr>
      <t xml:space="preserve">: </t>
    </r>
    <r>
      <rPr>
        <rFont val="Noto Sans CJK SC"/>
        <i/>
        <color rgb="FF7F7F7F"/>
        <sz val="8.0"/>
      </rPr>
      <t>학사시스템</t>
    </r>
    <r>
      <rPr>
        <rFont val="맑은 고딕"/>
        <i/>
        <color rgb="FF7F7F7F"/>
        <sz val="8.0"/>
      </rPr>
      <t>(</t>
    </r>
    <r>
      <rPr>
        <rFont val="Noto Sans CJK SC"/>
        <i/>
        <color rgb="FF7F7F7F"/>
        <sz val="8.0"/>
      </rPr>
      <t>성적</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학업성취 </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xml:space="preserve">: [C] </t>
    </r>
    <r>
      <rPr>
        <rFont val="Noto Sans CJK SC"/>
        <i/>
        <color rgb="FF7F7F7F"/>
        <sz val="8.0"/>
      </rPr>
      <t>전공별</t>
    </r>
    <r>
      <rPr>
        <rFont val="맑은 고딕"/>
        <i/>
        <color rgb="FF7F7F7F"/>
        <sz val="8.0"/>
      </rPr>
      <t>·</t>
    </r>
    <r>
      <rPr>
        <rFont val="Noto Sans CJK SC"/>
        <i/>
        <color rgb="FF7F7F7F"/>
        <sz val="8.0"/>
      </rPr>
      <t>학기별 성적 통합</t>
    </r>
    <r>
      <rPr>
        <rFont val="맑은 고딕"/>
        <i/>
        <color rgb="FF7F7F7F"/>
        <sz val="8.0"/>
      </rPr>
      <t xml:space="preserve">. </t>
    </r>
    <r>
      <rPr>
        <rFont val="Noto Sans CJK SC"/>
        <i/>
        <color rgb="FF7F7F7F"/>
        <sz val="8.0"/>
      </rPr>
      <t xml:space="preserve">학기별 추이로 </t>
    </r>
    <r>
      <rPr>
        <rFont val="맑은 고딕"/>
        <i/>
        <color rgb="FF7F7F7F"/>
        <sz val="8.0"/>
      </rPr>
      <t>'</t>
    </r>
    <r>
      <rPr>
        <rFont val="Noto Sans CJK SC"/>
        <i/>
        <color rgb="FF7F7F7F"/>
        <sz val="8.0"/>
      </rPr>
      <t>성장</t>
    </r>
    <r>
      <rPr>
        <rFont val="맑은 고딕"/>
        <i/>
        <color rgb="FF7F7F7F"/>
        <sz val="8.0"/>
      </rPr>
      <t xml:space="preserve">' </t>
    </r>
    <r>
      <rPr>
        <rFont val="Noto Sans CJK SC"/>
        <i/>
        <color rgb="FF7F7F7F"/>
        <sz val="8.0"/>
      </rPr>
      <t>지표 추가 가능</t>
    </r>
  </si>
  <si>
    <r>
      <rPr>
        <rFont val="Noto Sans CJK SC"/>
        <i/>
        <color rgb="FF7F7F7F"/>
        <sz val="8.0"/>
      </rPr>
      <t>출처</t>
    </r>
    <r>
      <rPr>
        <rFont val="맑은 고딕"/>
        <i/>
        <color rgb="FF7F7F7F"/>
        <sz val="8.0"/>
      </rPr>
      <t xml:space="preserve">: </t>
    </r>
    <r>
      <rPr>
        <rFont val="Noto Sans CJK SC"/>
        <i/>
        <color rgb="FF7F7F7F"/>
        <sz val="8.0"/>
      </rPr>
      <t xml:space="preserve">경력개발 </t>
    </r>
    <r>
      <rPr>
        <rFont val="맑은 고딕"/>
        <i/>
        <color rgb="FF7F7F7F"/>
        <sz val="8.0"/>
      </rPr>
      <t xml:space="preserve">· </t>
    </r>
    <r>
      <rPr>
        <rFont val="Noto Sans CJK SC"/>
        <i/>
        <color rgb="FF7F7F7F"/>
        <sz val="8.0"/>
      </rPr>
      <t xml:space="preserve">상담 시스템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자기관리</t>
    </r>
    <r>
      <rPr>
        <rFont val="맑은 고딕"/>
        <i/>
        <color rgb="FF7F7F7F"/>
        <sz val="8.0"/>
      </rPr>
      <t>(</t>
    </r>
    <r>
      <rPr>
        <rFont val="Noto Sans CJK SC"/>
        <i/>
        <color rgb="FF7F7F7F"/>
        <sz val="8.0"/>
      </rPr>
      <t>계획 수립</t>
    </r>
    <r>
      <rPr>
        <rFont val="맑은 고딕"/>
        <i/>
        <color rgb="FF7F7F7F"/>
        <sz val="8.0"/>
      </rPr>
      <t xml:space="preserve">) /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t>
    </r>
    <r>
      <rPr>
        <rFont val="Noto Sans CJK SC"/>
        <i/>
        <color rgb="FF7F7F7F"/>
        <sz val="8.0"/>
      </rPr>
      <t>계획 수립 및 실행 능력</t>
    </r>
    <r>
      <rPr>
        <rFont val="맑은 고딕"/>
        <i/>
        <color rgb="FF7F7F7F"/>
        <sz val="8.0"/>
      </rPr>
      <t>'</t>
    </r>
    <r>
      <rPr>
        <rFont val="Noto Sans CJK SC"/>
        <i/>
        <color rgb="FF7F7F7F"/>
        <sz val="8.0"/>
      </rPr>
      <t xml:space="preserve">의 근거가 </t>
    </r>
    <r>
      <rPr>
        <rFont val="맑은 고딕"/>
        <i/>
        <color rgb="FF7F7F7F"/>
        <sz val="8.0"/>
      </rPr>
      <t xml:space="preserve">LMS </t>
    </r>
    <r>
      <rPr>
        <rFont val="Noto Sans CJK SC"/>
        <i/>
        <color rgb="FF7F7F7F"/>
        <sz val="8.0"/>
      </rPr>
      <t>하나뿐인 공백 보완</t>
    </r>
  </si>
  <si>
    <r>
      <rPr>
        <rFont val="Noto Sans CJK SC"/>
        <b/>
        <color rgb="FF000000"/>
        <sz val="10.0"/>
      </rPr>
      <t>전체 평점</t>
    </r>
    <r>
      <rPr>
        <rFont val="맑은 고딕"/>
        <b/>
        <color rgb="FF000000"/>
        <sz val="10.0"/>
      </rPr>
      <t>(</t>
    </r>
    <r>
      <rPr>
        <rFont val="Noto Sans CJK SC"/>
        <b/>
        <color rgb="FF000000"/>
        <sz val="10.0"/>
      </rPr>
      <t>누적</t>
    </r>
    <r>
      <rPr>
        <rFont val="맑은 고딕"/>
        <b/>
        <color rgb="FF000000"/>
        <sz val="10.0"/>
      </rPr>
      <t>)</t>
    </r>
  </si>
  <si>
    <r>
      <rPr>
        <rFont val="Noto Sans CJK SC"/>
        <b/>
        <color rgb="FF000000"/>
        <sz val="10.0"/>
      </rPr>
      <t>진로</t>
    </r>
    <r>
      <rPr>
        <rFont val="맑은 고딕"/>
        <b/>
        <color rgb="FF000000"/>
        <sz val="10.0"/>
      </rPr>
      <t>·</t>
    </r>
    <r>
      <rPr>
        <rFont val="Noto Sans CJK SC"/>
        <b/>
        <color rgb="FF000000"/>
        <sz val="10.0"/>
      </rPr>
      <t>취업 상담 횟수</t>
    </r>
    <r>
      <rPr>
        <rFont val="맑은 고딕"/>
        <b/>
        <color rgb="FF000000"/>
        <sz val="10.0"/>
      </rPr>
      <t>(</t>
    </r>
    <r>
      <rPr>
        <rFont val="Noto Sans CJK SC"/>
        <b/>
        <color rgb="FF000000"/>
        <sz val="10.0"/>
      </rPr>
      <t>누적</t>
    </r>
    <r>
      <rPr>
        <rFont val="맑은 고딕"/>
        <b/>
        <color rgb="FF000000"/>
        <sz val="10.0"/>
      </rPr>
      <t>)</t>
    </r>
  </si>
  <si>
    <r>
      <rPr>
        <rFont val="Noto Sans CJK SC"/>
        <color rgb="FF7F7F7F"/>
        <sz val="9.0"/>
      </rPr>
      <t>숫자</t>
    </r>
    <r>
      <rPr>
        <rFont val="맑은 고딕"/>
        <color rgb="FF7F7F7F"/>
        <sz val="9.0"/>
      </rPr>
      <t>(</t>
    </r>
    <r>
      <rPr>
        <rFont val="Noto Sans CJK SC"/>
        <color rgb="FF7F7F7F"/>
        <sz val="9.0"/>
      </rPr>
      <t xml:space="preserve">소수 </t>
    </r>
    <r>
      <rPr>
        <rFont val="맑은 고딕"/>
        <color rgb="FF7F7F7F"/>
        <sz val="9.0"/>
      </rPr>
      <t>2</t>
    </r>
    <r>
      <rPr>
        <rFont val="Noto Sans CJK SC"/>
        <color rgb="FF7F7F7F"/>
        <sz val="9.0"/>
      </rPr>
      <t>자리</t>
    </r>
    <r>
      <rPr>
        <rFont val="맑은 고딕"/>
        <color rgb="FF7F7F7F"/>
        <sz val="9.0"/>
      </rPr>
      <t>)</t>
    </r>
  </si>
  <si>
    <r>
      <rPr>
        <rFont val="Noto Sans CJK SC"/>
        <color rgb="FF7F7F7F"/>
        <sz val="9.0"/>
      </rPr>
      <t>예</t>
    </r>
    <r>
      <rPr>
        <rFont val="맑은 고딕"/>
        <color rgb="FF7F7F7F"/>
        <sz val="9.0"/>
      </rPr>
      <t>: 3.85</t>
    </r>
  </si>
  <si>
    <r>
      <rPr>
        <rFont val="Noto Sans CJK SC"/>
        <b/>
        <color rgb="FF000000"/>
        <sz val="10.0"/>
      </rPr>
      <t>전공 평점</t>
    </r>
    <r>
      <rPr>
        <rFont val="맑은 고딕"/>
        <b/>
        <color rgb="FF000000"/>
        <sz val="10.0"/>
      </rPr>
      <t>(</t>
    </r>
    <r>
      <rPr>
        <rFont val="Noto Sans CJK SC"/>
        <b/>
        <color rgb="FF000000"/>
        <sz val="10.0"/>
      </rPr>
      <t>누적</t>
    </r>
    <r>
      <rPr>
        <rFont val="맑은 고딕"/>
        <b/>
        <color rgb="FF000000"/>
        <sz val="10.0"/>
      </rPr>
      <t>)</t>
    </r>
  </si>
  <si>
    <r>
      <rPr>
        <rFont val="Noto Sans CJK SC"/>
        <color rgb="FF7F7F7F"/>
        <sz val="9.0"/>
      </rPr>
      <t>숫자</t>
    </r>
    <r>
      <rPr>
        <rFont val="맑은 고딕"/>
        <color rgb="FF7F7F7F"/>
        <sz val="9.0"/>
      </rPr>
      <t>(</t>
    </r>
    <r>
      <rPr>
        <rFont val="Noto Sans CJK SC"/>
        <color rgb="FF7F7F7F"/>
        <sz val="9.0"/>
      </rPr>
      <t xml:space="preserve">소수 </t>
    </r>
    <r>
      <rPr>
        <rFont val="맑은 고딕"/>
        <color rgb="FF7F7F7F"/>
        <sz val="9.0"/>
      </rPr>
      <t>2</t>
    </r>
    <r>
      <rPr>
        <rFont val="Noto Sans CJK SC"/>
        <color rgb="FF7F7F7F"/>
        <sz val="9.0"/>
      </rPr>
      <t>자리</t>
    </r>
    <r>
      <rPr>
        <rFont val="맑은 고딕"/>
        <color rgb="FF7F7F7F"/>
        <sz val="9.0"/>
      </rPr>
      <t>)</t>
    </r>
  </si>
  <si>
    <r>
      <rPr>
        <rFont val="Noto Sans CJK SC"/>
        <color rgb="FF7F7F7F"/>
        <sz val="9.0"/>
      </rPr>
      <t>예</t>
    </r>
    <r>
      <rPr>
        <rFont val="맑은 고딕"/>
        <color rgb="FF7F7F7F"/>
        <sz val="9.0"/>
      </rPr>
      <t>: 3.92</t>
    </r>
  </si>
  <si>
    <t>진로 목표 설정 여부</t>
  </si>
  <si>
    <r>
      <rPr>
        <rFont val="Noto Sans CJK SC"/>
        <color rgb="FF7F7F7F"/>
        <sz val="9.0"/>
      </rPr>
      <t xml:space="preserve">성균관대 </t>
    </r>
    <r>
      <rPr>
        <rFont val="맑은 고딕"/>
        <color rgb="FF7F7F7F"/>
        <sz val="9.0"/>
      </rPr>
      <t>4.5</t>
    </r>
  </si>
  <si>
    <r>
      <rPr>
        <rFont val="Noto Sans CJK SC"/>
        <b/>
        <color rgb="FF000000"/>
        <sz val="10.0"/>
      </rPr>
      <t>희망 직무</t>
    </r>
    <r>
      <rPr>
        <rFont val="맑은 고딕"/>
        <b/>
        <color rgb="FF000000"/>
        <sz val="10.0"/>
      </rPr>
      <t>·</t>
    </r>
    <r>
      <rPr>
        <rFont val="Noto Sans CJK SC"/>
        <b/>
        <color rgb="FF000000"/>
        <sz val="10.0"/>
      </rPr>
      <t>분야</t>
    </r>
  </si>
  <si>
    <t>진로 목표 기록</t>
  </si>
  <si>
    <t>서술</t>
  </si>
  <si>
    <r>
      <rPr>
        <rFont val="맑은 고딕"/>
        <color rgb="FF7F7F7F"/>
        <sz val="9.0"/>
      </rPr>
      <t>1~3</t>
    </r>
    <r>
      <rPr>
        <rFont val="Noto Sans CJK SC"/>
        <color rgb="FF7F7F7F"/>
        <sz val="9.0"/>
      </rPr>
      <t>문장</t>
    </r>
  </si>
  <si>
    <r>
      <rPr>
        <rFont val="Noto Sans CJK SC"/>
        <b/>
        <color rgb="FFFFFFFF"/>
        <sz val="11.0"/>
      </rPr>
      <t>■ 창의</t>
    </r>
    <r>
      <rPr>
        <rFont val="맑은 고딕"/>
        <b/>
        <color rgb="FFFFFFFF"/>
        <sz val="11.0"/>
      </rPr>
      <t>·</t>
    </r>
    <r>
      <rPr>
        <rFont val="Noto Sans CJK SC"/>
        <b/>
        <color rgb="FFFFFFFF"/>
        <sz val="11.0"/>
      </rPr>
      <t>도전</t>
    </r>
  </si>
  <si>
    <r>
      <rPr>
        <rFont val="Noto Sans CJK SC"/>
        <i/>
        <color rgb="FF7F7F7F"/>
        <sz val="8.0"/>
      </rPr>
      <t>출처</t>
    </r>
    <r>
      <rPr>
        <rFont val="맑은 고딕"/>
        <i/>
        <color rgb="FF7F7F7F"/>
        <sz val="8.0"/>
      </rPr>
      <t xml:space="preserve">: </t>
    </r>
    <r>
      <rPr>
        <rFont val="Noto Sans CJK SC"/>
        <i/>
        <color rgb="FF7F7F7F"/>
        <sz val="8.0"/>
      </rPr>
      <t>학생 등록</t>
    </r>
    <r>
      <rPr>
        <rFont val="맑은 고딕"/>
        <i/>
        <color rgb="FF7F7F7F"/>
        <sz val="8.0"/>
      </rPr>
      <t>(</t>
    </r>
    <r>
      <rPr>
        <rFont val="Noto Sans CJK SC"/>
        <i/>
        <color rgb="FF7F7F7F"/>
        <sz val="8.0"/>
      </rPr>
      <t>포트폴리오</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자원</t>
    </r>
    <r>
      <rPr>
        <rFont val="맑은 고딕"/>
        <i/>
        <color rgb="FF7F7F7F"/>
        <sz val="8.0"/>
      </rPr>
      <t>·</t>
    </r>
    <r>
      <rPr>
        <rFont val="Noto Sans CJK SC"/>
        <i/>
        <color rgb="FF7F7F7F"/>
        <sz val="8.0"/>
      </rPr>
      <t>정보기술활용</t>
    </r>
    <r>
      <rPr>
        <rFont val="맑은 고딕"/>
        <i/>
        <color rgb="FF7F7F7F"/>
        <sz val="8.0"/>
      </rPr>
      <t>(</t>
    </r>
    <r>
      <rPr>
        <rFont val="Noto Sans CJK SC"/>
        <i/>
        <color rgb="FF7F7F7F"/>
        <sz val="8.0"/>
      </rPr>
      <t>정보탐색</t>
    </r>
    <r>
      <rPr>
        <rFont val="맑은 고딕"/>
        <i/>
        <color rgb="FF7F7F7F"/>
        <sz val="8.0"/>
      </rPr>
      <t xml:space="preserve">) / </t>
    </r>
    <r>
      <rPr>
        <rFont val="Noto Sans CJK SC"/>
        <i/>
        <color rgb="FF7F7F7F"/>
        <sz val="8.0"/>
      </rPr>
      <t xml:space="preserve">논리적사고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게재 수준</t>
    </r>
    <r>
      <rPr>
        <rFont val="맑은 고딕"/>
        <i/>
        <color rgb="FF7F7F7F"/>
        <sz val="8.0"/>
      </rPr>
      <t>(</t>
    </r>
    <r>
      <rPr>
        <rFont val="Noto Sans CJK SC"/>
        <i/>
        <color rgb="FF7F7F7F"/>
        <sz val="8.0"/>
      </rPr>
      <t>학술지</t>
    </r>
    <r>
      <rPr>
        <rFont val="맑은 고딕"/>
        <i/>
        <color rgb="FF7F7F7F"/>
        <sz val="8.0"/>
      </rPr>
      <t>·</t>
    </r>
    <r>
      <rPr>
        <rFont val="Noto Sans CJK SC"/>
        <i/>
        <color rgb="FF7F7F7F"/>
        <sz val="8.0"/>
      </rPr>
      <t>학회</t>
    </r>
    <r>
      <rPr>
        <rFont val="맑은 고딕"/>
        <i/>
        <color rgb="FF7F7F7F"/>
        <sz val="8.0"/>
      </rPr>
      <t>·</t>
    </r>
    <r>
      <rPr>
        <rFont val="Noto Sans CJK SC"/>
        <i/>
        <color rgb="FF7F7F7F"/>
        <sz val="8.0"/>
      </rPr>
      <t>교내</t>
    </r>
    <r>
      <rPr>
        <rFont val="맑은 고딕"/>
        <i/>
        <color rgb="FF7F7F7F"/>
        <sz val="8.0"/>
      </rPr>
      <t xml:space="preserve">) </t>
    </r>
    <r>
      <rPr>
        <rFont val="Noto Sans CJK SC"/>
        <i/>
        <color rgb="FF7F7F7F"/>
        <sz val="8.0"/>
      </rPr>
      <t>구분 기준 필요</t>
    </r>
  </si>
  <si>
    <r>
      <rPr>
        <rFont val="맑은 고딕"/>
        <i/>
        <color rgb="FF7F7F7F"/>
        <sz val="8.0"/>
      </rPr>
      <t>YYYY-1 / YYYY-2 / YYYY-</t>
    </r>
    <r>
      <rPr>
        <rFont val="Noto Sans CJK SC"/>
        <i/>
        <color rgb="FF7F7F7F"/>
        <sz val="8.0"/>
      </rPr>
      <t xml:space="preserve">여름 </t>
    </r>
    <r>
      <rPr>
        <rFont val="맑은 고딕"/>
        <i/>
        <color rgb="FF7F7F7F"/>
        <sz val="8.0"/>
      </rPr>
      <t>/ YYYY-</t>
    </r>
    <r>
      <rPr>
        <rFont val="Noto Sans CJK SC"/>
        <i/>
        <color rgb="FF7F7F7F"/>
        <sz val="8.0"/>
      </rPr>
      <t>겨울</t>
    </r>
  </si>
  <si>
    <r>
      <rPr>
        <rFont val="Noto Sans CJK SC"/>
        <color rgb="FF000000"/>
        <sz val="9.0"/>
      </rPr>
      <t>공동체</t>
    </r>
    <r>
      <rPr>
        <rFont val="맑은 고딕"/>
        <color rgb="FF000000"/>
        <sz val="9.0"/>
      </rPr>
      <t>·</t>
    </r>
    <r>
      <rPr>
        <rFont val="Noto Sans CJK SC"/>
        <color rgb="FF000000"/>
        <sz val="9.0"/>
      </rPr>
      <t>리더십</t>
    </r>
  </si>
  <si>
    <r>
      <rPr>
        <rFont val="Noto Sans CJK SC"/>
        <b/>
        <color rgb="FF000000"/>
        <sz val="11.0"/>
      </rPr>
      <t>공모전 참가</t>
    </r>
    <r>
      <rPr>
        <rFont val="맑은 고딕"/>
        <b/>
        <color rgb="FF000000"/>
        <sz val="11.0"/>
      </rPr>
      <t>·</t>
    </r>
    <r>
      <rPr>
        <rFont val="Noto Sans CJK SC"/>
        <b/>
        <color rgb="FF000000"/>
        <sz val="11.0"/>
      </rPr>
      <t>수상</t>
    </r>
  </si>
  <si>
    <r>
      <rPr>
        <rFont val="Noto Sans CJK SC"/>
        <i/>
        <color rgb="FF7F7F7F"/>
        <sz val="8.0"/>
      </rPr>
      <t>휴학</t>
    </r>
    <r>
      <rPr>
        <rFont val="맑은 고딕"/>
        <i/>
        <color rgb="FF7F7F7F"/>
        <sz val="8.0"/>
      </rPr>
      <t>·</t>
    </r>
    <r>
      <rPr>
        <rFont val="Noto Sans CJK SC"/>
        <i/>
        <color rgb="FF7F7F7F"/>
        <sz val="8.0"/>
      </rPr>
      <t>계절 등</t>
    </r>
  </si>
  <si>
    <r>
      <rPr>
        <rFont val="Noto Sans CJK SC"/>
        <b/>
        <color rgb="FF000000"/>
        <sz val="9.0"/>
      </rPr>
      <t>발표</t>
    </r>
    <r>
      <rPr>
        <rFont val="맑은 고딕"/>
        <b/>
        <color rgb="FF000000"/>
        <sz val="9.0"/>
      </rPr>
      <t>·</t>
    </r>
    <r>
      <rPr>
        <rFont val="Noto Sans CJK SC"/>
        <b/>
        <color rgb="FF000000"/>
        <sz val="9.0"/>
      </rPr>
      <t>게재 연월</t>
    </r>
  </si>
  <si>
    <r>
      <rPr>
        <rFont val="Noto Sans CJK SC"/>
        <color rgb="FF000000"/>
        <sz val="9.0"/>
      </rPr>
      <t>동아리</t>
    </r>
    <r>
      <rPr>
        <rFont val="맑은 고딕"/>
        <color rgb="FF000000"/>
        <sz val="9.0"/>
      </rPr>
      <t>·</t>
    </r>
    <r>
      <rPr>
        <rFont val="Noto Sans CJK SC"/>
        <color rgb="FF000000"/>
        <sz val="9.0"/>
      </rPr>
      <t>학생회 활동</t>
    </r>
  </si>
  <si>
    <r>
      <rPr>
        <rFont val="Noto Sans CJK SC"/>
        <color rgb="FF000000"/>
        <sz val="9.0"/>
      </rPr>
      <t xml:space="preserve">기존 </t>
    </r>
    <r>
      <rPr>
        <rFont val="맑은 고딕"/>
        <color rgb="FF000000"/>
        <sz val="9.0"/>
      </rPr>
      <t xml:space="preserve">+ SKKU </t>
    </r>
    <r>
      <rPr>
        <rFont val="Noto Sans CJK SC"/>
        <color rgb="FF000000"/>
        <sz val="9.0"/>
      </rPr>
      <t>확보가능</t>
    </r>
  </si>
  <si>
    <r>
      <rPr>
        <rFont val="맑은 고딕"/>
        <i/>
        <color rgb="FF7F7F7F"/>
        <sz val="8.0"/>
      </rPr>
      <t>[</t>
    </r>
    <r>
      <rPr>
        <rFont val="Noto Sans CJK SC"/>
        <i/>
        <color rgb="FF7F7F7F"/>
        <sz val="8.0"/>
      </rPr>
      <t xml:space="preserve">논문 </t>
    </r>
    <r>
      <rPr>
        <rFont val="맑은 고딕"/>
        <i/>
        <color rgb="FF7F7F7F"/>
        <sz val="8.0"/>
      </rPr>
      <t xml:space="preserve">/ </t>
    </r>
    <r>
      <rPr>
        <rFont val="Noto Sans CJK SC"/>
        <i/>
        <color rgb="FF7F7F7F"/>
        <sz val="8.0"/>
      </rPr>
      <t xml:space="preserve">보고서 </t>
    </r>
    <r>
      <rPr>
        <rFont val="맑은 고딕"/>
        <i/>
        <color rgb="FF7F7F7F"/>
        <sz val="8.0"/>
      </rPr>
      <t xml:space="preserve">/ </t>
    </r>
    <r>
      <rPr>
        <rFont val="Noto Sans CJK SC"/>
        <i/>
        <color rgb="FF7F7F7F"/>
        <sz val="8.0"/>
      </rPr>
      <t>학술발표자료</t>
    </r>
    <r>
      <rPr>
        <rFont val="맑은 고딕"/>
        <i/>
        <color rgb="FF7F7F7F"/>
        <sz val="8.0"/>
      </rPr>
      <t>]</t>
    </r>
  </si>
  <si>
    <r>
      <rPr>
        <rFont val="맑은 고딕"/>
        <i/>
        <color rgb="FF7F7F7F"/>
        <sz val="8.0"/>
      </rPr>
      <t>[</t>
    </r>
    <r>
      <rPr>
        <rFont val="Noto Sans CJK SC"/>
        <i/>
        <color rgb="FF7F7F7F"/>
        <sz val="8.0"/>
      </rPr>
      <t xml:space="preserve">국제학술지 </t>
    </r>
    <r>
      <rPr>
        <rFont val="맑은 고딕"/>
        <i/>
        <color rgb="FF7F7F7F"/>
        <sz val="8.0"/>
      </rPr>
      <t xml:space="preserve">/ </t>
    </r>
    <r>
      <rPr>
        <rFont val="Noto Sans CJK SC"/>
        <i/>
        <color rgb="FF7F7F7F"/>
        <sz val="8.0"/>
      </rPr>
      <t xml:space="preserve">국내학술지 </t>
    </r>
    <r>
      <rPr>
        <rFont val="맑은 고딕"/>
        <i/>
        <color rgb="FF7F7F7F"/>
        <sz val="8.0"/>
      </rPr>
      <t xml:space="preserve">/ </t>
    </r>
    <r>
      <rPr>
        <rFont val="Noto Sans CJK SC"/>
        <i/>
        <color rgb="FF7F7F7F"/>
        <sz val="8.0"/>
      </rPr>
      <t xml:space="preserve">국제학술대회 </t>
    </r>
    <r>
      <rPr>
        <rFont val="맑은 고딕"/>
        <i/>
        <color rgb="FF7F7F7F"/>
        <sz val="8.0"/>
      </rPr>
      <t xml:space="preserve">/ </t>
    </r>
    <r>
      <rPr>
        <rFont val="Noto Sans CJK SC"/>
        <i/>
        <color rgb="FF7F7F7F"/>
        <sz val="8.0"/>
      </rPr>
      <t xml:space="preserve">국내학술대회 </t>
    </r>
    <r>
      <rPr>
        <rFont val="맑은 고딕"/>
        <i/>
        <color rgb="FF7F7F7F"/>
        <sz val="8.0"/>
      </rPr>
      <t xml:space="preserve">/ </t>
    </r>
    <r>
      <rPr>
        <rFont val="Noto Sans CJK SC"/>
        <i/>
        <color rgb="FF7F7F7F"/>
        <sz val="8.0"/>
      </rPr>
      <t>교내</t>
    </r>
    <r>
      <rPr>
        <rFont val="맑은 고딕"/>
        <i/>
        <color rgb="FF7F7F7F"/>
        <sz val="8.0"/>
      </rPr>
      <t>]</t>
    </r>
  </si>
  <si>
    <r>
      <rPr>
        <rFont val="맑은 고딕"/>
        <i/>
        <color rgb="FF7F7F7F"/>
        <sz val="8.0"/>
      </rPr>
      <t>[</t>
    </r>
    <r>
      <rPr>
        <rFont val="Noto Sans CJK SC"/>
        <i/>
        <color rgb="FF7F7F7F"/>
        <sz val="8.0"/>
      </rPr>
      <t xml:space="preserve">게재 </t>
    </r>
    <r>
      <rPr>
        <rFont val="맑은 고딕"/>
        <i/>
        <color rgb="FF7F7F7F"/>
        <sz val="8.0"/>
      </rPr>
      <t xml:space="preserve">/ </t>
    </r>
    <r>
      <rPr>
        <rFont val="Noto Sans CJK SC"/>
        <i/>
        <color rgb="FF7F7F7F"/>
        <sz val="8.0"/>
      </rPr>
      <t xml:space="preserve">게재승인 </t>
    </r>
    <r>
      <rPr>
        <rFont val="맑은 고딕"/>
        <i/>
        <color rgb="FF7F7F7F"/>
        <sz val="8.0"/>
      </rPr>
      <t xml:space="preserve">/ </t>
    </r>
    <r>
      <rPr>
        <rFont val="Noto Sans CJK SC"/>
        <i/>
        <color rgb="FF7F7F7F"/>
        <sz val="8.0"/>
      </rPr>
      <t xml:space="preserve">투고 </t>
    </r>
    <r>
      <rPr>
        <rFont val="맑은 고딕"/>
        <i/>
        <color rgb="FF7F7F7F"/>
        <sz val="8.0"/>
      </rPr>
      <t xml:space="preserve">/ </t>
    </r>
    <r>
      <rPr>
        <rFont val="Noto Sans CJK SC"/>
        <i/>
        <color rgb="FF7F7F7F"/>
        <sz val="8.0"/>
      </rPr>
      <t>작성중</t>
    </r>
    <r>
      <rPr>
        <rFont val="맑은 고딕"/>
        <i/>
        <color rgb="FF7F7F7F"/>
        <sz val="8.0"/>
      </rPr>
      <t>]</t>
    </r>
  </si>
  <si>
    <r>
      <rPr>
        <rFont val="맑은 고딕"/>
        <i/>
        <color rgb="FF7F7F7F"/>
        <sz val="8.0"/>
      </rPr>
      <t>[</t>
    </r>
    <r>
      <rPr>
        <rFont val="Noto Sans CJK SC"/>
        <i/>
        <color rgb="FF7F7F7F"/>
        <sz val="8.0"/>
      </rPr>
      <t xml:space="preserve">단독 </t>
    </r>
    <r>
      <rPr>
        <rFont val="맑은 고딕"/>
        <i/>
        <color rgb="FF7F7F7F"/>
        <sz val="8.0"/>
      </rPr>
      <t xml:space="preserve">/ </t>
    </r>
    <r>
      <rPr>
        <rFont val="Noto Sans CJK SC"/>
        <i/>
        <color rgb="FF7F7F7F"/>
        <sz val="8.0"/>
      </rPr>
      <t>제</t>
    </r>
    <r>
      <rPr>
        <rFont val="맑은 고딕"/>
        <i/>
        <color rgb="FF7F7F7F"/>
        <sz val="8.0"/>
      </rPr>
      <t>1</t>
    </r>
    <r>
      <rPr>
        <rFont val="Noto Sans CJK SC"/>
        <i/>
        <color rgb="FF7F7F7F"/>
        <sz val="8.0"/>
      </rPr>
      <t xml:space="preserve">저자 </t>
    </r>
    <r>
      <rPr>
        <rFont val="맑은 고딕"/>
        <i/>
        <color rgb="FF7F7F7F"/>
        <sz val="8.0"/>
      </rPr>
      <t xml:space="preserve">/ </t>
    </r>
    <r>
      <rPr>
        <rFont val="Noto Sans CJK SC"/>
        <i/>
        <color rgb="FF7F7F7F"/>
        <sz val="8.0"/>
      </rPr>
      <t>공동저자</t>
    </r>
    <r>
      <rPr>
        <rFont val="맑은 고딕"/>
        <i/>
        <color rgb="FF7F7F7F"/>
        <sz val="8.0"/>
      </rPr>
      <t>]</t>
    </r>
  </si>
  <si>
    <t>학술발표자료</t>
  </si>
  <si>
    <t>제조 공정 이상탐지를 위한 경량 모델 비교</t>
  </si>
  <si>
    <t>국내학술대회</t>
  </si>
  <si>
    <t>게재</t>
  </si>
  <si>
    <t>공동저자</t>
  </si>
  <si>
    <t>2025-11</t>
  </si>
  <si>
    <t>보고서</t>
  </si>
  <si>
    <r>
      <rPr>
        <rFont val="Noto Sans CJK SC"/>
        <color rgb="FF1F3B8A"/>
        <sz val="10.0"/>
      </rPr>
      <t>물류센터 피킹 경로 최적화</t>
    </r>
    <r>
      <rPr>
        <rFont val="맑은 고딕"/>
        <color rgb="FF1F3B8A"/>
        <sz val="10.0"/>
      </rPr>
      <t xml:space="preserve">(URP </t>
    </r>
    <r>
      <rPr>
        <rFont val="Noto Sans CJK SC"/>
        <color rgb="FF1F3B8A"/>
        <sz val="10.0"/>
      </rPr>
      <t>결과보고서</t>
    </r>
    <r>
      <rPr>
        <rFont val="맑은 고딕"/>
        <color rgb="FF1F3B8A"/>
        <sz val="10.0"/>
      </rPr>
      <t>)</t>
    </r>
  </si>
  <si>
    <t>교내</t>
  </si>
  <si>
    <r>
      <rPr>
        <rFont val="Noto Sans CJK SC"/>
        <color rgb="FF1F3B8A"/>
        <sz val="10.0"/>
      </rPr>
      <t>제</t>
    </r>
    <r>
      <rPr>
        <rFont val="맑은 고딕"/>
        <color rgb="FF1F3B8A"/>
        <sz val="10.0"/>
      </rPr>
      <t>1</t>
    </r>
    <r>
      <rPr>
        <rFont val="Noto Sans CJK SC"/>
        <color rgb="FF1F3B8A"/>
        <sz val="10.0"/>
      </rPr>
      <t>저자</t>
    </r>
  </si>
  <si>
    <r>
      <rPr>
        <rFont val="맑은 고딕"/>
        <b/>
        <color rgb="FF000000"/>
        <sz val="11.0"/>
      </rPr>
      <t xml:space="preserve">TA </t>
    </r>
    <r>
      <rPr>
        <rFont val="Noto Sans CJK SC"/>
        <b/>
        <color rgb="FF000000"/>
        <sz val="11.0"/>
      </rPr>
      <t>활동</t>
    </r>
  </si>
  <si>
    <r>
      <rPr>
        <rFont val="Noto Sans CJK SC"/>
        <i/>
        <color rgb="FF7F7F7F"/>
        <sz val="8.0"/>
      </rPr>
      <t>출처</t>
    </r>
    <r>
      <rPr>
        <rFont val="맑은 고딕"/>
        <i/>
        <color rgb="FF7F7F7F"/>
        <sz val="8.0"/>
      </rPr>
      <t xml:space="preserve">: </t>
    </r>
    <r>
      <rPr>
        <rFont val="Noto Sans CJK SC"/>
        <i/>
        <color rgb="FF7F7F7F"/>
        <sz val="8.0"/>
      </rPr>
      <t xml:space="preserve">비교과 시스템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창의 </t>
    </r>
    <r>
      <rPr>
        <rFont val="맑은 고딕"/>
        <i/>
        <color rgb="FF7F7F7F"/>
        <sz val="8.0"/>
      </rPr>
      <t xml:space="preserve">/ </t>
    </r>
    <r>
      <rPr>
        <rFont val="Noto Sans CJK SC"/>
        <i/>
        <color rgb="FF7F7F7F"/>
        <sz val="8.0"/>
      </rPr>
      <t xml:space="preserve">종합적사고력 </t>
    </r>
    <r>
      <rPr>
        <rFont val="맑은 고딕"/>
        <i/>
        <color rgb="FF7F7F7F"/>
        <sz val="8.0"/>
      </rPr>
      <t xml:space="preserve">/ </t>
    </r>
    <r>
      <rPr>
        <rFont val="Noto Sans CJK SC"/>
        <i/>
        <color rgb="FF7F7F7F"/>
        <sz val="8.0"/>
      </rPr>
      <t xml:space="preserve">문제해결력 </t>
    </r>
    <r>
      <rPr>
        <rFont val="맑은 고딕"/>
        <i/>
        <color rgb="FF7F7F7F"/>
        <sz val="8.0"/>
      </rPr>
      <t xml:space="preserve">/ </t>
    </r>
    <r>
      <rPr>
        <rFont val="Noto Sans CJK SC"/>
        <i/>
        <color rgb="FF7F7F7F"/>
        <sz val="8.0"/>
      </rPr>
      <t xml:space="preserve">도전정신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수상 등급 </t>
    </r>
    <r>
      <rPr>
        <rFont val="맑은 고딕"/>
        <i/>
        <color rgb="FF7F7F7F"/>
        <sz val="8.0"/>
      </rPr>
      <t xml:space="preserve">× </t>
    </r>
    <r>
      <rPr>
        <rFont val="Noto Sans CJK SC"/>
        <i/>
        <color rgb="FF7F7F7F"/>
        <sz val="8.0"/>
      </rPr>
      <t>주관 수준</t>
    </r>
    <r>
      <rPr>
        <rFont val="맑은 고딕"/>
        <i/>
        <color rgb="FF7F7F7F"/>
        <sz val="8.0"/>
      </rPr>
      <t>(</t>
    </r>
    <r>
      <rPr>
        <rFont val="Noto Sans CJK SC"/>
        <i/>
        <color rgb="FF7F7F7F"/>
        <sz val="8.0"/>
      </rPr>
      <t>교내</t>
    </r>
    <r>
      <rPr>
        <rFont val="맑은 고딕"/>
        <i/>
        <color rgb="FF7F7F7F"/>
        <sz val="8.0"/>
      </rPr>
      <t>·</t>
    </r>
    <r>
      <rPr>
        <rFont val="Noto Sans CJK SC"/>
        <i/>
        <color rgb="FF7F7F7F"/>
        <sz val="8.0"/>
      </rPr>
      <t>전국</t>
    </r>
    <r>
      <rPr>
        <rFont val="맑은 고딕"/>
        <i/>
        <color rgb="FF7F7F7F"/>
        <sz val="8.0"/>
      </rPr>
      <t>·</t>
    </r>
    <r>
      <rPr>
        <rFont val="Noto Sans CJK SC"/>
        <i/>
        <color rgb="FF7F7F7F"/>
        <sz val="8.0"/>
      </rPr>
      <t>국제</t>
    </r>
    <r>
      <rPr>
        <rFont val="맑은 고딕"/>
        <i/>
        <color rgb="FF7F7F7F"/>
        <sz val="8.0"/>
      </rPr>
      <t xml:space="preserve">) </t>
    </r>
    <r>
      <rPr>
        <rFont val="Noto Sans CJK SC"/>
        <i/>
        <color rgb="FF7F7F7F"/>
        <sz val="8.0"/>
      </rPr>
      <t>매핑 필요</t>
    </r>
  </si>
  <si>
    <t>대회명</t>
  </si>
  <si>
    <t>주관기관</t>
  </si>
  <si>
    <t>주관 수준</t>
  </si>
  <si>
    <t>결과</t>
  </si>
  <si>
    <t>참가 형태</t>
  </si>
  <si>
    <t>본인 역할</t>
  </si>
  <si>
    <t>연월</t>
  </si>
  <si>
    <r>
      <rPr>
        <rFont val="맑은 고딕"/>
        <i/>
        <color rgb="FF7F7F7F"/>
        <sz val="8.0"/>
      </rPr>
      <t>[</t>
    </r>
    <r>
      <rPr>
        <rFont val="Noto Sans CJK SC"/>
        <i/>
        <color rgb="FF7F7F7F"/>
        <sz val="8.0"/>
      </rPr>
      <t xml:space="preserve">교내 </t>
    </r>
    <r>
      <rPr>
        <rFont val="맑은 고딕"/>
        <i/>
        <color rgb="FF7F7F7F"/>
        <sz val="8.0"/>
      </rPr>
      <t xml:space="preserve">/ </t>
    </r>
    <r>
      <rPr>
        <rFont val="Noto Sans CJK SC"/>
        <i/>
        <color rgb="FF7F7F7F"/>
        <sz val="8.0"/>
      </rPr>
      <t xml:space="preserve">지역 </t>
    </r>
    <r>
      <rPr>
        <rFont val="맑은 고딕"/>
        <i/>
        <color rgb="FF7F7F7F"/>
        <sz val="8.0"/>
      </rPr>
      <t xml:space="preserve">/ </t>
    </r>
    <r>
      <rPr>
        <rFont val="Noto Sans CJK SC"/>
        <i/>
        <color rgb="FF7F7F7F"/>
        <sz val="8.0"/>
      </rPr>
      <t xml:space="preserve">전국 </t>
    </r>
    <r>
      <rPr>
        <rFont val="맑은 고딕"/>
        <i/>
        <color rgb="FF7F7F7F"/>
        <sz val="8.0"/>
      </rPr>
      <t xml:space="preserve">/ </t>
    </r>
    <r>
      <rPr>
        <rFont val="Noto Sans CJK SC"/>
        <i/>
        <color rgb="FF7F7F7F"/>
        <sz val="8.0"/>
      </rPr>
      <t>국제</t>
    </r>
    <r>
      <rPr>
        <rFont val="맑은 고딕"/>
        <i/>
        <color rgb="FF7F7F7F"/>
        <sz val="8.0"/>
      </rPr>
      <t>]</t>
    </r>
  </si>
  <si>
    <r>
      <rPr>
        <rFont val="맑은 고딕"/>
        <i/>
        <color rgb="FF7F7F7F"/>
        <sz val="8.0"/>
      </rPr>
      <t>[</t>
    </r>
    <r>
      <rPr>
        <rFont val="Noto Sans CJK SC"/>
        <i/>
        <color rgb="FF7F7F7F"/>
        <sz val="8.0"/>
      </rPr>
      <t xml:space="preserve">참가 </t>
    </r>
    <r>
      <rPr>
        <rFont val="맑은 고딕"/>
        <i/>
        <color rgb="FF7F7F7F"/>
        <sz val="8.0"/>
      </rPr>
      <t xml:space="preserve">/ </t>
    </r>
    <r>
      <rPr>
        <rFont val="Noto Sans CJK SC"/>
        <i/>
        <color rgb="FF7F7F7F"/>
        <sz val="8.0"/>
      </rPr>
      <t xml:space="preserve">입선 </t>
    </r>
    <r>
      <rPr>
        <rFont val="맑은 고딕"/>
        <i/>
        <color rgb="FF7F7F7F"/>
        <sz val="8.0"/>
      </rPr>
      <t xml:space="preserve">/ </t>
    </r>
    <r>
      <rPr>
        <rFont val="Noto Sans CJK SC"/>
        <i/>
        <color rgb="FF7F7F7F"/>
        <sz val="8.0"/>
      </rPr>
      <t xml:space="preserve">장려 </t>
    </r>
    <r>
      <rPr>
        <rFont val="맑은 고딕"/>
        <i/>
        <color rgb="FF7F7F7F"/>
        <sz val="8.0"/>
      </rPr>
      <t xml:space="preserve">/ </t>
    </r>
    <r>
      <rPr>
        <rFont val="Noto Sans CJK SC"/>
        <i/>
        <color rgb="FF7F7F7F"/>
        <sz val="8.0"/>
      </rPr>
      <t xml:space="preserve">우수 </t>
    </r>
    <r>
      <rPr>
        <rFont val="맑은 고딕"/>
        <i/>
        <color rgb="FF7F7F7F"/>
        <sz val="8.0"/>
      </rPr>
      <t xml:space="preserve">/ </t>
    </r>
    <r>
      <rPr>
        <rFont val="Noto Sans CJK SC"/>
        <i/>
        <color rgb="FF7F7F7F"/>
        <sz val="8.0"/>
      </rPr>
      <t xml:space="preserve">최우수 </t>
    </r>
    <r>
      <rPr>
        <rFont val="맑은 고딕"/>
        <i/>
        <color rgb="FF7F7F7F"/>
        <sz val="8.0"/>
      </rPr>
      <t xml:space="preserve">/ </t>
    </r>
    <r>
      <rPr>
        <rFont val="Noto Sans CJK SC"/>
        <i/>
        <color rgb="FF7F7F7F"/>
        <sz val="8.0"/>
      </rPr>
      <t>대상</t>
    </r>
    <r>
      <rPr>
        <rFont val="맑은 고딕"/>
        <i/>
        <color rgb="FF7F7F7F"/>
        <sz val="8.0"/>
      </rPr>
      <t>]</t>
    </r>
  </si>
  <si>
    <r>
      <rPr>
        <rFont val="맑은 고딕"/>
        <i/>
        <color rgb="FF7F7F7F"/>
        <sz val="8.0"/>
      </rPr>
      <t>[</t>
    </r>
    <r>
      <rPr>
        <rFont val="Noto Sans CJK SC"/>
        <i/>
        <color rgb="FF7F7F7F"/>
        <sz val="8.0"/>
      </rPr>
      <t xml:space="preserve">개인 </t>
    </r>
    <r>
      <rPr>
        <rFont val="맑은 고딕"/>
        <i/>
        <color rgb="FF7F7F7F"/>
        <sz val="8.0"/>
      </rPr>
      <t xml:space="preserve">/ </t>
    </r>
    <r>
      <rPr>
        <rFont val="Noto Sans CJK SC"/>
        <i/>
        <color rgb="FF7F7F7F"/>
        <sz val="8.0"/>
      </rPr>
      <t>팀</t>
    </r>
    <r>
      <rPr>
        <rFont val="맑은 고딕"/>
        <i/>
        <color rgb="FF7F7F7F"/>
        <sz val="8.0"/>
      </rPr>
      <t>]</t>
    </r>
  </si>
  <si>
    <r>
      <rPr>
        <rFont val="Noto Sans CJK SC"/>
        <color rgb="FF000000"/>
        <sz val="9.0"/>
      </rPr>
      <t>공동체</t>
    </r>
    <r>
      <rPr>
        <rFont val="맑은 고딕"/>
        <color rgb="FF000000"/>
        <sz val="9.0"/>
      </rPr>
      <t>·</t>
    </r>
    <r>
      <rPr>
        <rFont val="Noto Sans CJK SC"/>
        <color rgb="FF000000"/>
        <sz val="9.0"/>
      </rPr>
      <t>리더십</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</si>
  <si>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xml:space="preserve">· </t>
    </r>
    <r>
      <rPr>
        <rFont val="Noto Sans CJK SC"/>
        <i/>
        <color rgb="FF7F7F7F"/>
        <sz val="8.0"/>
      </rPr>
      <t xml:space="preserve">교수학습센터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 xml:space="preserve">커뮤니케이션 </t>
    </r>
    <r>
      <rPr>
        <rFont val="맑은 고딕"/>
        <i/>
        <color rgb="FF7F7F7F"/>
        <sz val="8.0"/>
      </rPr>
      <t xml:space="preserve">/ </t>
    </r>
    <r>
      <rPr>
        <rFont val="Noto Sans CJK SC"/>
        <i/>
        <color rgb="FF7F7F7F"/>
        <sz val="8.0"/>
      </rPr>
      <t xml:space="preserve">책임감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기존 데이터셋에 없는 신규 근거</t>
    </r>
  </si>
  <si>
    <t>봉사활동</t>
  </si>
  <si>
    <r>
      <rPr>
        <rFont val="Noto Sans CJK SC"/>
        <color rgb="FF000000"/>
        <sz val="9.0"/>
      </rPr>
      <t xml:space="preserve">기존 </t>
    </r>
    <r>
      <rPr>
        <rFont val="맑은 고딕"/>
        <color rgb="FF000000"/>
        <sz val="9.0"/>
      </rPr>
      <t xml:space="preserve">+ SKKU </t>
    </r>
    <r>
      <rPr>
        <rFont val="Noto Sans CJK SC"/>
        <color rgb="FF000000"/>
        <sz val="9.0"/>
      </rPr>
      <t>확보가능</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</si>
  <si>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</si>
  <si>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Noto Sans CJK SC"/>
        <i/>
        <color rgb="FF7F7F7F"/>
        <sz val="8.0"/>
      </rPr>
      <t>출처</t>
    </r>
    <r>
      <rPr>
        <rFont val="맑은 고딕"/>
        <i/>
        <color rgb="FF7F7F7F"/>
        <sz val="8.0"/>
      </rPr>
      <t xml:space="preserve">: </t>
    </r>
    <r>
      <rPr>
        <rFont val="Noto Sans CJK SC"/>
        <i/>
        <color rgb="FF7F7F7F"/>
        <sz val="8.0"/>
      </rPr>
      <t>학사시스템</t>
    </r>
    <r>
      <rPr>
        <rFont val="맑은 고딕"/>
        <i/>
        <color rgb="FF7F7F7F"/>
        <sz val="8.0"/>
      </rPr>
      <t>(</t>
    </r>
    <r>
      <rPr>
        <rFont val="Noto Sans CJK SC"/>
        <i/>
        <color rgb="FF7F7F7F"/>
        <sz val="8.0"/>
      </rPr>
      <t>과목별 성적</t>
    </r>
    <r>
      <rPr>
        <rFont val="맑은 고딕"/>
        <i/>
        <color rgb="FF7F7F7F"/>
        <sz val="8.0"/>
      </rPr>
      <t>) + LMS(</t>
    </r>
    <r>
      <rPr>
        <rFont val="Noto Sans CJK SC"/>
        <i/>
        <color rgb="FF7F7F7F"/>
        <sz val="8.0"/>
      </rPr>
      <t>과제점수</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발표력 </t>
    </r>
    <r>
      <rPr>
        <rFont val="맑은 고딕"/>
        <i/>
        <color rgb="FF7F7F7F"/>
        <sz val="8.0"/>
      </rPr>
      <t xml:space="preserve">/ </t>
    </r>
    <r>
      <rPr>
        <rFont val="Noto Sans CJK SC"/>
        <i/>
        <color rgb="FF7F7F7F"/>
        <sz val="8.0"/>
      </rPr>
      <t xml:space="preserve">논리적사고 </t>
    </r>
    <r>
      <rPr>
        <rFont val="맑은 고딕"/>
        <i/>
        <color rgb="FF7F7F7F"/>
        <sz val="8.0"/>
      </rPr>
      <t xml:space="preserve">/ </t>
    </r>
    <r>
      <rPr>
        <rFont val="Noto Sans CJK SC"/>
        <i/>
        <color rgb="FF7F7F7F"/>
        <sz val="8.0"/>
      </rPr>
      <t xml:space="preserve">학업성취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과목에 </t>
    </r>
    <r>
      <rPr>
        <rFont val="맑은 고딕"/>
        <i/>
        <color rgb="FF7F7F7F"/>
        <sz val="8.0"/>
      </rPr>
      <t>'</t>
    </r>
    <r>
      <rPr>
        <rFont val="Noto Sans CJK SC"/>
        <i/>
        <color rgb="FF7F7F7F"/>
        <sz val="8.0"/>
      </rPr>
      <t>발표형</t>
    </r>
    <r>
      <rPr>
        <rFont val="맑은 고딕"/>
        <i/>
        <color rgb="FF7F7F7F"/>
        <sz val="8.0"/>
      </rPr>
      <t>·</t>
    </r>
    <r>
      <rPr>
        <rFont val="Noto Sans CJK SC"/>
        <i/>
        <color rgb="FF7F7F7F"/>
        <sz val="8.0"/>
      </rPr>
      <t>토론형</t>
    </r>
    <r>
      <rPr>
        <rFont val="맑은 고딕"/>
        <i/>
        <color rgb="FF7F7F7F"/>
        <sz val="8.0"/>
      </rPr>
      <t xml:space="preserve">' </t>
    </r>
    <r>
      <rPr>
        <rFont val="Noto Sans CJK SC"/>
        <i/>
        <color rgb="FF7F7F7F"/>
        <sz val="8.0"/>
      </rPr>
      <t>태그가 있어야 자동 분류 가능</t>
    </r>
  </si>
  <si>
    <r>
      <rPr>
        <rFont val="맑은 고딕"/>
        <i/>
        <color rgb="FF7F7F7F"/>
        <sz val="8.0"/>
      </rPr>
      <t>YYYY-1 / YYYY-2 / YYYY-</t>
    </r>
    <r>
      <rPr>
        <rFont val="Noto Sans CJK SC"/>
        <i/>
        <color rgb="FF7F7F7F"/>
        <sz val="8.0"/>
      </rPr>
      <t xml:space="preserve">여름 </t>
    </r>
    <r>
      <rPr>
        <rFont val="맑은 고딕"/>
        <i/>
        <color rgb="FF7F7F7F"/>
        <sz val="8.0"/>
      </rPr>
      <t>/ YYYY-</t>
    </r>
    <r>
      <rPr>
        <rFont val="Noto Sans CJK SC"/>
        <i/>
        <color rgb="FF7F7F7F"/>
        <sz val="8.0"/>
      </rPr>
      <t>겨울</t>
    </r>
  </si>
  <si>
    <t>기초통계학</t>
  </si>
  <si>
    <r>
      <rPr>
        <rFont val="Noto Sans CJK SC"/>
        <color rgb="FF1F3B8A"/>
        <sz val="10.0"/>
      </rPr>
      <t>실습 지도</t>
    </r>
    <r>
      <rPr>
        <rFont val="맑은 고딕"/>
        <color rgb="FF1F3B8A"/>
        <sz val="10.0"/>
      </rPr>
      <t>·</t>
    </r>
    <r>
      <rPr>
        <rFont val="Noto Sans CJK SC"/>
        <color rgb="FF1F3B8A"/>
        <sz val="10.0"/>
      </rPr>
      <t>질의응답</t>
    </r>
  </si>
  <si>
    <r>
      <rPr>
        <rFont val="Noto Sans CJK SC"/>
        <b/>
        <color rgb="FF000000"/>
        <sz val="9.0"/>
      </rPr>
      <t>과제</t>
    </r>
    <r>
      <rPr>
        <rFont val="맑은 고딕"/>
        <b/>
        <color rgb="FF000000"/>
        <sz val="9.0"/>
      </rPr>
      <t>·</t>
    </r>
    <r>
      <rPr>
        <rFont val="Noto Sans CJK SC"/>
        <b/>
        <color rgb="FF000000"/>
        <sz val="9.0"/>
      </rPr>
      <t>보고서 점수</t>
    </r>
  </si>
  <si>
    <r>
      <rPr>
        <rFont val="맑은 고딕"/>
        <i/>
        <color rgb="FF7F7F7F"/>
        <sz val="8.0"/>
      </rPr>
      <t>YYYY-1 / YYYY-2 / YYYY-</t>
    </r>
    <r>
      <rPr>
        <rFont val="Noto Sans CJK SC"/>
        <i/>
        <color rgb="FF7F7F7F"/>
        <sz val="8.0"/>
      </rPr>
      <t xml:space="preserve">여름 </t>
    </r>
    <r>
      <rPr>
        <rFont val="맑은 고딕"/>
        <i/>
        <color rgb="FF7F7F7F"/>
        <sz val="8.0"/>
      </rPr>
      <t>/ YYYY-</t>
    </r>
    <r>
      <rPr>
        <rFont val="Noto Sans CJK SC"/>
        <i/>
        <color rgb="FF7F7F7F"/>
        <sz val="8.0"/>
      </rPr>
      <t>겨울</t>
    </r>
  </si>
  <si>
    <r>
      <rPr>
        <rFont val="맑은 고딕"/>
        <i/>
        <color rgb="FF7F7F7F"/>
        <sz val="8.0"/>
      </rPr>
      <t>[</t>
    </r>
    <r>
      <rPr>
        <rFont val="Noto Sans CJK SC"/>
        <i/>
        <color rgb="FF7F7F7F"/>
        <sz val="8.0"/>
      </rPr>
      <t xml:space="preserve">발표형 </t>
    </r>
    <r>
      <rPr>
        <rFont val="맑은 고딕"/>
        <i/>
        <color rgb="FF7F7F7F"/>
        <sz val="8.0"/>
      </rPr>
      <t xml:space="preserve">/ </t>
    </r>
    <r>
      <rPr>
        <rFont val="Noto Sans CJK SC"/>
        <i/>
        <color rgb="FF7F7F7F"/>
        <sz val="8.0"/>
      </rPr>
      <t xml:space="preserve">토론형 </t>
    </r>
    <r>
      <rPr>
        <rFont val="맑은 고딕"/>
        <i/>
        <color rgb="FF7F7F7F"/>
        <sz val="8.0"/>
      </rPr>
      <t xml:space="preserve">/ </t>
    </r>
    <r>
      <rPr>
        <rFont val="Noto Sans CJK SC"/>
        <i/>
        <color rgb="FF7F7F7F"/>
        <sz val="8.0"/>
      </rPr>
      <t>과제</t>
    </r>
    <r>
      <rPr>
        <rFont val="맑은 고딕"/>
        <i/>
        <color rgb="FF7F7F7F"/>
        <sz val="8.0"/>
      </rPr>
      <t>·</t>
    </r>
    <r>
      <rPr>
        <rFont val="Noto Sans CJK SC"/>
        <i/>
        <color rgb="FF7F7F7F"/>
        <sz val="8.0"/>
      </rPr>
      <t xml:space="preserve">보고서형 </t>
    </r>
    <r>
      <rPr>
        <rFont val="맑은 고딕"/>
        <i/>
        <color rgb="FF7F7F7F"/>
        <sz val="8.0"/>
      </rPr>
      <t>/ PBL</t>
    </r>
    <r>
      <rPr>
        <rFont val="Noto Sans CJK SC"/>
        <i/>
        <color rgb="FF7F7F7F"/>
        <sz val="8.0"/>
      </rPr>
      <t>형</t>
    </r>
    <r>
      <rPr>
        <rFont val="맑은 고딕"/>
        <i/>
        <color rgb="FF7F7F7F"/>
        <sz val="8.0"/>
      </rPr>
      <t>]</t>
    </r>
  </si>
  <si>
    <r>
      <rPr>
        <rFont val="Noto Sans CJK SC"/>
        <b/>
        <color rgb="FFFFFFFF"/>
        <sz val="11.0"/>
      </rPr>
      <t>■ 실무</t>
    </r>
    <r>
      <rPr>
        <rFont val="맑은 고딕"/>
        <b/>
        <color rgb="FFFFFFFF"/>
        <sz val="11.0"/>
      </rPr>
      <t>·</t>
    </r>
    <r>
      <rPr>
        <rFont val="Noto Sans CJK SC"/>
        <b/>
        <color rgb="FFFFFFFF"/>
        <sz val="11.0"/>
      </rPr>
      <t>진로</t>
    </r>
  </si>
  <si>
    <r>
      <rPr>
        <rFont val="Noto Sans CJK SC"/>
        <i/>
        <color rgb="FF7F7F7F"/>
        <sz val="8.0"/>
      </rPr>
      <t>숫자</t>
    </r>
    <r>
      <rPr>
        <rFont val="맑은 고딕"/>
        <i/>
        <color rgb="FF7F7F7F"/>
        <sz val="8.0"/>
      </rPr>
      <t>(100</t>
    </r>
    <r>
      <rPr>
        <rFont val="Noto Sans CJK SC"/>
        <i/>
        <color rgb="FF7F7F7F"/>
        <sz val="8.0"/>
      </rPr>
      <t>점</t>
    </r>
    <r>
      <rPr>
        <rFont val="맑은 고딕"/>
        <i/>
        <color rgb="FF7F7F7F"/>
        <sz val="8.0"/>
      </rPr>
      <t>)</t>
    </r>
  </si>
  <si>
    <t>공학커뮤니케이션</t>
  </si>
  <si>
    <r>
      <rPr>
        <rFont val="Noto Sans CJK SC"/>
        <b/>
        <color rgb="FF000000"/>
        <sz val="11.0"/>
      </rPr>
      <t>인턴</t>
    </r>
    <r>
      <rPr>
        <rFont val="맑은 고딕"/>
        <b/>
        <color rgb="FF000000"/>
        <sz val="11.0"/>
      </rPr>
      <t>·</t>
    </r>
    <r>
      <rPr>
        <rFont val="Noto Sans CJK SC"/>
        <b/>
        <color rgb="FF000000"/>
        <sz val="11.0"/>
      </rPr>
      <t>현장실습</t>
    </r>
  </si>
  <si>
    <t>유체역학</t>
  </si>
  <si>
    <r>
      <rPr>
        <rFont val="Noto Sans CJK SC"/>
        <color rgb="FF1F3B8A"/>
        <sz val="10.0"/>
      </rPr>
      <t>과제</t>
    </r>
    <r>
      <rPr>
        <rFont val="맑은 고딕"/>
        <color rgb="FF1F3B8A"/>
        <sz val="10.0"/>
      </rPr>
      <t>·</t>
    </r>
    <r>
      <rPr>
        <rFont val="Noto Sans CJK SC"/>
        <color rgb="FF1F3B8A"/>
        <sz val="10.0"/>
      </rPr>
      <t>보고서형</t>
    </r>
  </si>
  <si>
    <t>B+</t>
  </si>
  <si>
    <t>기계설계 프로젝트</t>
  </si>
  <si>
    <r>
      <rPr>
        <rFont val="맑은 고딕"/>
        <color rgb="FF1F3B8A"/>
        <sz val="10.0"/>
      </rPr>
      <t>PBL</t>
    </r>
    <r>
      <rPr>
        <rFont val="Noto Sans CJK SC"/>
        <color rgb="FF1F3B8A"/>
        <sz val="10.0"/>
      </rPr>
      <t>형</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</si>
  <si>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xml:space="preserve">· </t>
    </r>
    <r>
      <rPr>
        <rFont val="Noto Sans CJK SC"/>
        <i/>
        <color rgb="FF7F7F7F"/>
        <sz val="8.0"/>
      </rPr>
      <t xml:space="preserve">창업지원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창의 </t>
    </r>
    <r>
      <rPr>
        <rFont val="맑은 고딕"/>
        <i/>
        <color rgb="FF7F7F7F"/>
        <sz val="8.0"/>
      </rPr>
      <t xml:space="preserve">/ </t>
    </r>
    <r>
      <rPr>
        <rFont val="Noto Sans CJK SC"/>
        <i/>
        <color rgb="FF7F7F7F"/>
        <sz val="8.0"/>
      </rPr>
      <t>도전정신</t>
    </r>
  </si>
  <si>
    <r>
      <rPr>
        <rFont val="Noto Sans CJK SC"/>
        <color rgb="FF000000"/>
        <sz val="9.0"/>
      </rPr>
      <t>공동체</t>
    </r>
    <r>
      <rPr>
        <rFont val="맑은 고딕"/>
        <color rgb="FF000000"/>
        <sz val="9.0"/>
      </rPr>
      <t>·</t>
    </r>
    <r>
      <rPr>
        <rFont val="Noto Sans CJK SC"/>
        <color rgb="FF000000"/>
        <sz val="9.0"/>
      </rPr>
      <t>리더십</t>
    </r>
  </si>
  <si>
    <r>
      <rPr>
        <rFont val="Noto Sans CJK SC"/>
        <color rgb="FF000000"/>
        <sz val="9.0"/>
      </rPr>
      <t>멘토링</t>
    </r>
    <r>
      <rPr>
        <rFont val="맑은 고딕"/>
        <color rgb="FF000000"/>
        <sz val="9.0"/>
      </rPr>
      <t>·</t>
    </r>
    <r>
      <rPr>
        <rFont val="Noto Sans CJK SC"/>
        <color rgb="FF000000"/>
        <sz val="9.0"/>
      </rPr>
      <t>학습공동체</t>
    </r>
  </si>
  <si>
    <r>
      <rPr>
        <rFont val="Noto Sans CJK SC"/>
        <b/>
        <color rgb="FF000000"/>
        <sz val="11.0"/>
      </rPr>
      <t>수강과목</t>
    </r>
    <r>
      <rPr>
        <rFont val="맑은 고딕"/>
        <b/>
        <color rgb="FF000000"/>
        <sz val="11.0"/>
      </rPr>
      <t>·</t>
    </r>
    <r>
      <rPr>
        <rFont val="Noto Sans CJK SC"/>
        <b/>
        <color rgb="FF000000"/>
        <sz val="11.0"/>
      </rPr>
      <t>심화</t>
    </r>
    <r>
      <rPr>
        <rFont val="맑은 고딕"/>
        <b/>
        <color rgb="FF000000"/>
        <sz val="11.0"/>
      </rPr>
      <t>·</t>
    </r>
    <r>
      <rPr>
        <rFont val="Noto Sans CJK SC"/>
        <b/>
        <color rgb="FF000000"/>
        <sz val="11.0"/>
      </rPr>
      <t>융합 이수</t>
    </r>
  </si>
  <si>
    <r>
      <rPr>
        <rFont val="Noto Sans CJK SC"/>
        <b/>
        <color rgb="FF000000"/>
        <sz val="9.0"/>
      </rPr>
      <t>명칭</t>
    </r>
    <r>
      <rPr>
        <rFont val="맑은 고딕"/>
        <b/>
        <color rgb="FF000000"/>
        <sz val="9.0"/>
      </rPr>
      <t>·</t>
    </r>
    <r>
      <rPr>
        <rFont val="Noto Sans CJK SC"/>
        <b/>
        <color rgb="FF000000"/>
        <sz val="9.0"/>
      </rPr>
      <t>내용</t>
    </r>
  </si>
  <si>
    <r>
      <rPr>
        <rFont val="맑은 고딕"/>
        <i/>
        <color rgb="FF7F7F7F"/>
        <sz val="8.0"/>
      </rPr>
      <t>[</t>
    </r>
    <r>
      <rPr>
        <rFont val="Noto Sans CJK SC"/>
        <i/>
        <color rgb="FF7F7F7F"/>
        <sz val="8.0"/>
      </rPr>
      <t xml:space="preserve">창업교과목 </t>
    </r>
    <r>
      <rPr>
        <rFont val="맑은 고딕"/>
        <i/>
        <color rgb="FF7F7F7F"/>
        <sz val="8.0"/>
      </rPr>
      <t xml:space="preserve">/ </t>
    </r>
    <r>
      <rPr>
        <rFont val="Noto Sans CJK SC"/>
        <i/>
        <color rgb="FF7F7F7F"/>
        <sz val="8.0"/>
      </rPr>
      <t xml:space="preserve">창업경진대회 </t>
    </r>
    <r>
      <rPr>
        <rFont val="맑은 고딕"/>
        <i/>
        <color rgb="FF7F7F7F"/>
        <sz val="8.0"/>
      </rPr>
      <t xml:space="preserve">/ </t>
    </r>
    <r>
      <rPr>
        <rFont val="Noto Sans CJK SC"/>
        <i/>
        <color rgb="FF7F7F7F"/>
        <sz val="8.0"/>
      </rPr>
      <t xml:space="preserve">사업자등록 </t>
    </r>
    <r>
      <rPr>
        <rFont val="맑은 고딕"/>
        <i/>
        <color rgb="FF7F7F7F"/>
        <sz val="8.0"/>
      </rPr>
      <t xml:space="preserve">/ </t>
    </r>
    <r>
      <rPr>
        <rFont val="Noto Sans CJK SC"/>
        <i/>
        <color rgb="FF7F7F7F"/>
        <sz val="8.0"/>
      </rPr>
      <t>창업동아리</t>
    </r>
    <r>
      <rPr>
        <rFont val="맑은 고딕"/>
        <i/>
        <color rgb="FF7F7F7F"/>
        <sz val="8.0"/>
      </rPr>
      <t>]</t>
    </r>
  </si>
  <si>
    <r>
      <rPr>
        <rFont val="Noto Sans CJK SC"/>
        <i/>
        <color rgb="FF7F7F7F"/>
        <sz val="8.0"/>
      </rPr>
      <t>출처</t>
    </r>
    <r>
      <rPr>
        <rFont val="맑은 고딕"/>
        <i/>
        <color rgb="FF7F7F7F"/>
        <sz val="8.0"/>
      </rPr>
      <t xml:space="preserve">: </t>
    </r>
    <r>
      <rPr>
        <rFont val="Noto Sans CJK SC"/>
        <i/>
        <color rgb="FF7F7F7F"/>
        <sz val="8.0"/>
      </rPr>
      <t xml:space="preserve">현장실습 지원 시스템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인턴십</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커뮤니케이션</t>
    </r>
    <r>
      <rPr>
        <rFont val="맑은 고딕"/>
        <i/>
        <color rgb="FF7F7F7F"/>
        <sz val="8.0"/>
      </rPr>
      <t>(</t>
    </r>
    <r>
      <rPr>
        <rFont val="Noto Sans CJK SC"/>
        <i/>
        <color rgb="FF7F7F7F"/>
        <sz val="8.0"/>
      </rPr>
      <t>협업</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기간</t>
    </r>
    <r>
      <rPr>
        <rFont val="맑은 고딕"/>
        <i/>
        <color rgb="FF7F7F7F"/>
        <sz val="8.0"/>
      </rPr>
      <t>(</t>
    </r>
    <r>
      <rPr>
        <rFont val="Noto Sans CJK SC"/>
        <i/>
        <color rgb="FF7F7F7F"/>
        <sz val="8.0"/>
      </rPr>
      <t>개월</t>
    </r>
    <r>
      <rPr>
        <rFont val="맑은 고딕"/>
        <i/>
        <color rgb="FF7F7F7F"/>
        <sz val="8.0"/>
      </rPr>
      <t>)</t>
    </r>
    <r>
      <rPr>
        <rFont val="Noto Sans CJK SC"/>
        <i/>
        <color rgb="FF7F7F7F"/>
        <sz val="8.0"/>
      </rPr>
      <t>과 직무 관련성을 함께 추출</t>
    </r>
  </si>
  <si>
    <r>
      <rPr>
        <rFont val="Noto Sans CJK SC"/>
        <b/>
        <color rgb="FF000000"/>
        <sz val="9.0"/>
      </rPr>
      <t>직무</t>
    </r>
    <r>
      <rPr>
        <rFont val="맑은 고딕"/>
        <b/>
        <color rgb="FF000000"/>
        <sz val="9.0"/>
      </rPr>
      <t>·</t>
    </r>
    <r>
      <rPr>
        <rFont val="Noto Sans CJK SC"/>
        <b/>
        <color rgb="FF000000"/>
        <sz val="9.0"/>
      </rPr>
      <t>부서</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</si>
  <si>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</si>
  <si>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Noto Sans CJK SC"/>
        <b/>
        <color rgb="FF000000"/>
        <sz val="11.0"/>
      </rPr>
      <t>특허출원</t>
    </r>
    <r>
      <rPr>
        <rFont val="맑은 고딕"/>
        <b/>
        <color rgb="FF000000"/>
        <sz val="11.0"/>
      </rPr>
      <t xml:space="preserve">·SW </t>
    </r>
    <r>
      <rPr>
        <rFont val="Noto Sans CJK SC"/>
        <b/>
        <color rgb="FF000000"/>
        <sz val="11.0"/>
      </rPr>
      <t>등록</t>
    </r>
  </si>
  <si>
    <r>
      <rPr>
        <rFont val="맑은 고딕"/>
        <b/>
        <color rgb="FF000000"/>
        <sz val="9.0"/>
      </rPr>
      <t>3</t>
    </r>
    <r>
      <rPr>
        <rFont val="Noto Sans CJK SC"/>
        <b/>
        <color rgb="FF000000"/>
        <sz val="9.0"/>
      </rPr>
      <t>품 인정</t>
    </r>
  </si>
  <si>
    <r>
      <rPr>
        <rFont val="맑은 고딕"/>
        <i/>
        <color rgb="FF7F7F7F"/>
        <sz val="8.0"/>
      </rPr>
      <t>[</t>
    </r>
    <r>
      <rPr>
        <rFont val="Noto Sans CJK SC"/>
        <i/>
        <color rgb="FF7F7F7F"/>
        <sz val="8.0"/>
      </rPr>
      <t xml:space="preserve">인턴십 </t>
    </r>
    <r>
      <rPr>
        <rFont val="맑은 고딕"/>
        <i/>
        <color rgb="FF7F7F7F"/>
        <sz val="8.0"/>
      </rPr>
      <t xml:space="preserve">/ </t>
    </r>
    <r>
      <rPr>
        <rFont val="Noto Sans CJK SC"/>
        <i/>
        <color rgb="FF7F7F7F"/>
        <sz val="8.0"/>
      </rPr>
      <t xml:space="preserve">현장실습 </t>
    </r>
    <r>
      <rPr>
        <rFont val="맑은 고딕"/>
        <i/>
        <color rgb="FF7F7F7F"/>
        <sz val="8.0"/>
      </rPr>
      <t xml:space="preserve">/ </t>
    </r>
    <r>
      <rPr>
        <rFont val="Noto Sans CJK SC"/>
        <i/>
        <color rgb="FF7F7F7F"/>
        <sz val="8.0"/>
      </rPr>
      <t xml:space="preserve">연구체험 </t>
    </r>
    <r>
      <rPr>
        <rFont val="맑은 고딕"/>
        <i/>
        <color rgb="FF7F7F7F"/>
        <sz val="8.0"/>
      </rPr>
      <t xml:space="preserve">/ </t>
    </r>
    <r>
      <rPr>
        <rFont val="Noto Sans CJK SC"/>
        <i/>
        <color rgb="FF7F7F7F"/>
        <sz val="8.0"/>
      </rPr>
      <t>문제해결프로젝트</t>
    </r>
    <r>
      <rPr>
        <rFont val="맑은 고딕"/>
        <i/>
        <color rgb="FF7F7F7F"/>
        <sz val="8.0"/>
      </rPr>
      <t>]</t>
    </r>
  </si>
  <si>
    <r>
      <rPr>
        <rFont val="맑은 고딕"/>
        <i/>
        <color rgb="FF7F7F7F"/>
        <sz val="8.0"/>
      </rPr>
      <t>[</t>
    </r>
    <r>
      <rPr>
        <rFont val="Noto Sans CJK SC"/>
        <i/>
        <color rgb="FF7F7F7F"/>
        <sz val="8.0"/>
      </rPr>
      <t xml:space="preserve">관련 </t>
    </r>
    <r>
      <rPr>
        <rFont val="맑은 고딕"/>
        <i/>
        <color rgb="FF7F7F7F"/>
        <sz val="8.0"/>
      </rPr>
      <t xml:space="preserve">/ </t>
    </r>
    <r>
      <rPr>
        <rFont val="Noto Sans CJK SC"/>
        <i/>
        <color rgb="FF7F7F7F"/>
        <sz val="8.0"/>
      </rPr>
      <t xml:space="preserve">일부 관련 </t>
    </r>
    <r>
      <rPr>
        <rFont val="맑은 고딕"/>
        <i/>
        <color rgb="FF7F7F7F"/>
        <sz val="8.0"/>
      </rPr>
      <t xml:space="preserve">/ </t>
    </r>
    <r>
      <rPr>
        <rFont val="Noto Sans CJK SC"/>
        <i/>
        <color rgb="FF7F7F7F"/>
        <sz val="8.0"/>
      </rPr>
      <t>무관</t>
    </r>
    <r>
      <rPr>
        <rFont val="맑은 고딕"/>
        <i/>
        <color rgb="FF7F7F7F"/>
        <sz val="8.0"/>
      </rPr>
      <t>]</t>
    </r>
  </si>
  <si>
    <r>
      <rPr>
        <rFont val="Noto Sans CJK SC"/>
        <i/>
        <color rgb="FF7F7F7F"/>
        <sz val="8.0"/>
      </rPr>
      <t>출처</t>
    </r>
    <r>
      <rPr>
        <rFont val="맑은 고딕"/>
        <i/>
        <color rgb="FF7F7F7F"/>
        <sz val="8.0"/>
      </rPr>
      <t xml:space="preserve">: </t>
    </r>
    <r>
      <rPr>
        <rFont val="Noto Sans CJK SC"/>
        <i/>
        <color rgb="FF7F7F7F"/>
        <sz val="8.0"/>
      </rPr>
      <t>학사시스템</t>
    </r>
    <r>
      <rPr>
        <rFont val="맑은 고딕"/>
        <i/>
        <color rgb="FF7F7F7F"/>
        <sz val="8.0"/>
      </rPr>
      <t>(</t>
    </r>
    <r>
      <rPr>
        <rFont val="Noto Sans CJK SC"/>
        <i/>
        <color rgb="FF7F7F7F"/>
        <sz val="8.0"/>
      </rPr>
      <t>수강내역</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탐구력 </t>
    </r>
    <r>
      <rPr>
        <rFont val="맑은 고딕"/>
        <i/>
        <color rgb="FF7F7F7F"/>
        <sz val="8.0"/>
      </rPr>
      <t xml:space="preserve">/ </t>
    </r>
    <r>
      <rPr>
        <rFont val="Noto Sans CJK SC"/>
        <i/>
        <color rgb="FF7F7F7F"/>
        <sz val="8.0"/>
      </rPr>
      <t>종합적사고력</t>
    </r>
    <r>
      <rPr>
        <rFont val="맑은 고딕"/>
        <i/>
        <color rgb="FF7F7F7F"/>
        <sz val="8.0"/>
      </rPr>
      <t>(</t>
    </r>
    <r>
      <rPr>
        <rFont val="Noto Sans CJK SC"/>
        <i/>
        <color rgb="FF7F7F7F"/>
        <sz val="8.0"/>
      </rPr>
      <t>융합적 사고</t>
    </r>
    <r>
      <rPr>
        <rFont val="맑은 고딕"/>
        <i/>
        <color rgb="FF7F7F7F"/>
        <sz val="8.0"/>
      </rPr>
      <t xml:space="preserve">) /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마인드맵의 </t>
    </r>
    <r>
      <rPr>
        <rFont val="맑은 고딕"/>
        <i/>
        <color rgb="FF7F7F7F"/>
        <sz val="8.0"/>
      </rPr>
      <t>'</t>
    </r>
    <r>
      <rPr>
        <rFont val="Noto Sans CJK SC"/>
        <i/>
        <color rgb="FF7F7F7F"/>
        <sz val="8.0"/>
      </rPr>
      <t>융합 전공</t>
    </r>
    <r>
      <rPr>
        <rFont val="맑은 고딕"/>
        <i/>
        <color rgb="FF7F7F7F"/>
        <sz val="8.0"/>
      </rPr>
      <t>'</t>
    </r>
    <r>
      <rPr>
        <rFont val="Noto Sans CJK SC"/>
        <i/>
        <color rgb="FF7F7F7F"/>
        <sz val="8.0"/>
      </rPr>
      <t>은 기존 데이터셋에 없음 → 수강내역에서 도출</t>
    </r>
  </si>
  <si>
    <t>인턴십</t>
  </si>
  <si>
    <r>
      <rPr>
        <rFont val="Noto Sans CJK SC"/>
        <color rgb="FF7F7F7F"/>
        <sz val="9.0"/>
      </rPr>
      <t>예</t>
    </r>
    <r>
      <rPr>
        <rFont val="맑은 고딕"/>
        <color rgb="FF7F7F7F"/>
        <sz val="9.0"/>
      </rPr>
      <t>: 124</t>
    </r>
  </si>
  <si>
    <r>
      <rPr>
        <rFont val="Noto Sans CJK SC"/>
        <color rgb="FF1F3B8A"/>
        <sz val="10.0"/>
      </rPr>
      <t>한빛로지스</t>
    </r>
    <r>
      <rPr>
        <rFont val="맑은 고딕"/>
        <color rgb="FF1F3B8A"/>
        <sz val="10.0"/>
      </rPr>
      <t>(</t>
    </r>
    <r>
      <rPr>
        <rFont val="Noto Sans CJK SC"/>
        <color rgb="FF1F3B8A"/>
        <sz val="10.0"/>
      </rPr>
      <t>가상</t>
    </r>
    <r>
      <rPr>
        <rFont val="맑은 고딕"/>
        <color rgb="FF1F3B8A"/>
        <sz val="10.0"/>
      </rPr>
      <t>)</t>
    </r>
  </si>
  <si>
    <t>공급망 데이터 분석팀</t>
  </si>
  <si>
    <r>
      <rPr>
        <rFont val="Noto Sans CJK SC"/>
        <color rgb="FF7F7F7F"/>
        <sz val="9.0"/>
      </rPr>
      <t xml:space="preserve">없으면 </t>
    </r>
    <r>
      <rPr>
        <rFont val="맑은 고딕"/>
        <color rgb="FF7F7F7F"/>
        <sz val="9.0"/>
      </rPr>
      <t>0</t>
    </r>
  </si>
  <si>
    <t>관련</t>
  </si>
  <si>
    <r>
      <rPr>
        <rFont val="맑은 고딕"/>
        <i/>
        <color rgb="FF7F7F7F"/>
        <sz val="8.0"/>
      </rPr>
      <t>[</t>
    </r>
    <r>
      <rPr>
        <rFont val="Noto Sans CJK SC"/>
        <i/>
        <color rgb="FF7F7F7F"/>
        <sz val="8.0"/>
      </rPr>
      <t xml:space="preserve">주전공 </t>
    </r>
    <r>
      <rPr>
        <rFont val="맑은 고딕"/>
        <i/>
        <color rgb="FF7F7F7F"/>
        <sz val="8.0"/>
      </rPr>
      <t xml:space="preserve">/ </t>
    </r>
    <r>
      <rPr>
        <rFont val="Noto Sans CJK SC"/>
        <i/>
        <color rgb="FF7F7F7F"/>
        <sz val="8.0"/>
      </rPr>
      <t xml:space="preserve">복수전공 </t>
    </r>
    <r>
      <rPr>
        <rFont val="맑은 고딕"/>
        <i/>
        <color rgb="FF7F7F7F"/>
        <sz val="8.0"/>
      </rPr>
      <t xml:space="preserve">/ </t>
    </r>
    <r>
      <rPr>
        <rFont val="Noto Sans CJK SC"/>
        <i/>
        <color rgb="FF7F7F7F"/>
        <sz val="8.0"/>
      </rPr>
      <t xml:space="preserve">부전공 </t>
    </r>
    <r>
      <rPr>
        <rFont val="맑은 고딕"/>
        <i/>
        <color rgb="FF7F7F7F"/>
        <sz val="8.0"/>
      </rPr>
      <t xml:space="preserve">/ </t>
    </r>
    <r>
      <rPr>
        <rFont val="Noto Sans CJK SC"/>
        <i/>
        <color rgb="FF7F7F7F"/>
        <sz val="8.0"/>
      </rPr>
      <t xml:space="preserve">연계전공 </t>
    </r>
    <r>
      <rPr>
        <rFont val="맑은 고딕"/>
        <i/>
        <color rgb="FF7F7F7F"/>
        <sz val="8.0"/>
      </rPr>
      <t xml:space="preserve">/ </t>
    </r>
    <r>
      <rPr>
        <rFont val="Noto Sans CJK SC"/>
        <i/>
        <color rgb="FF7F7F7F"/>
        <sz val="8.0"/>
      </rPr>
      <t xml:space="preserve">융합전공 </t>
    </r>
    <r>
      <rPr>
        <rFont val="맑은 고딕"/>
        <i/>
        <color rgb="FF7F7F7F"/>
        <sz val="8.0"/>
      </rPr>
      <t xml:space="preserve">/ </t>
    </r>
    <r>
      <rPr>
        <rFont val="Noto Sans CJK SC"/>
        <i/>
        <color rgb="FF7F7F7F"/>
        <sz val="8.0"/>
      </rPr>
      <t>심화전공</t>
    </r>
    <r>
      <rPr>
        <rFont val="맑은 고딕"/>
        <i/>
        <color rgb="FF7F7F7F"/>
        <sz val="8.0"/>
      </rPr>
      <t>]</t>
    </r>
  </si>
  <si>
    <r>
      <rPr>
        <rFont val="맑은 고딕"/>
        <i/>
        <color rgb="FF7F7F7F"/>
        <sz val="8.0"/>
      </rPr>
      <t>[</t>
    </r>
    <r>
      <rPr>
        <rFont val="Noto Sans CJK SC"/>
        <i/>
        <color rgb="FF7F7F7F"/>
        <sz val="8.0"/>
      </rPr>
      <t xml:space="preserve">신청 </t>
    </r>
    <r>
      <rPr>
        <rFont val="맑은 고딕"/>
        <i/>
        <color rgb="FF7F7F7F"/>
        <sz val="8.0"/>
      </rPr>
      <t xml:space="preserve">/ </t>
    </r>
    <r>
      <rPr>
        <rFont val="Noto Sans CJK SC"/>
        <i/>
        <color rgb="FF7F7F7F"/>
        <sz val="8.0"/>
      </rPr>
      <t xml:space="preserve">이수중 </t>
    </r>
    <r>
      <rPr>
        <rFont val="맑은 고딕"/>
        <i/>
        <color rgb="FF7F7F7F"/>
        <sz val="8.0"/>
      </rPr>
      <t xml:space="preserve">/ </t>
    </r>
    <r>
      <rPr>
        <rFont val="Noto Sans CJK SC"/>
        <i/>
        <color rgb="FF7F7F7F"/>
        <sz val="8.0"/>
      </rPr>
      <t>이수완료</t>
    </r>
    <r>
      <rPr>
        <rFont val="맑은 고딕"/>
        <i/>
        <color rgb="FF7F7F7F"/>
        <sz val="8.0"/>
      </rPr>
      <t>]</t>
    </r>
  </si>
  <si>
    <t>기계공학</t>
  </si>
  <si>
    <r>
      <rPr>
        <rFont val="Noto Sans CJK SC"/>
        <i/>
        <color rgb="FF7F7F7F"/>
        <sz val="8.0"/>
      </rPr>
      <t>출처</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 xml:space="preserve">) </t>
    </r>
    <r>
      <rPr>
        <rFont val="Noto Sans CJK SC"/>
        <i/>
        <color rgb="FF7F7F7F"/>
        <sz val="8.0"/>
      </rPr>
      <t xml:space="preserve">인증 </t>
    </r>
    <r>
      <rPr>
        <rFont val="맑은 고딕"/>
        <i/>
        <color rgb="FF7F7F7F"/>
        <sz val="8.0"/>
      </rPr>
      <t xml:space="preserve">· </t>
    </r>
    <r>
      <rPr>
        <rFont val="Noto Sans CJK SC"/>
        <i/>
        <color rgb="FF7F7F7F"/>
        <sz val="8.0"/>
      </rPr>
      <t xml:space="preserve">학생 등록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창의 </t>
    </r>
    <r>
      <rPr>
        <rFont val="맑은 고딕"/>
        <i/>
        <color rgb="FF7F7F7F"/>
        <sz val="8.0"/>
      </rPr>
      <t xml:space="preserve">/ </t>
    </r>
    <r>
      <rPr>
        <rFont val="Noto Sans CJK SC"/>
        <i/>
        <color rgb="FF7F7F7F"/>
        <sz val="8.0"/>
      </rPr>
      <t xml:space="preserve">도전정신 </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기존 데이터셋에 없는 신규 근거</t>
    </r>
  </si>
  <si>
    <t>연계전공</t>
  </si>
  <si>
    <t>명칭</t>
  </si>
  <si>
    <t>스마트모빌리티 연계전공</t>
  </si>
  <si>
    <r>
      <rPr>
        <rFont val="Noto Sans CJK SC"/>
        <color rgb="FF000000"/>
        <sz val="9.0"/>
      </rPr>
      <t>공동체</t>
    </r>
    <r>
      <rPr>
        <rFont val="맑은 고딕"/>
        <color rgb="FF000000"/>
        <sz val="9.0"/>
      </rPr>
      <t>·</t>
    </r>
    <r>
      <rPr>
        <rFont val="Noto Sans CJK SC"/>
        <color rgb="FF000000"/>
        <sz val="9.0"/>
      </rPr>
      <t>리더십</t>
    </r>
  </si>
  <si>
    <t>팀프로젝트 동료평가</t>
  </si>
  <si>
    <r>
      <rPr>
        <rFont val="Noto Sans CJK SC"/>
        <b/>
        <color rgb="FF000000"/>
        <sz val="9.0"/>
      </rPr>
      <t>출원</t>
    </r>
    <r>
      <rPr>
        <rFont val="맑은 고딕"/>
        <b/>
        <color rgb="FF000000"/>
        <sz val="9.0"/>
      </rPr>
      <t>·</t>
    </r>
    <r>
      <rPr>
        <rFont val="Noto Sans CJK SC"/>
        <b/>
        <color rgb="FF000000"/>
        <sz val="9.0"/>
      </rPr>
      <t>등록번호</t>
    </r>
  </si>
  <si>
    <t>권리 구분</t>
  </si>
  <si>
    <r>
      <rPr>
        <rFont val="맑은 고딕"/>
        <i/>
        <color rgb="FF7F7F7F"/>
        <sz val="8.0"/>
      </rPr>
      <t>[</t>
    </r>
    <r>
      <rPr>
        <rFont val="Noto Sans CJK SC"/>
        <i/>
        <color rgb="FF7F7F7F"/>
        <sz val="8.0"/>
      </rPr>
      <t xml:space="preserve">특허 </t>
    </r>
    <r>
      <rPr>
        <rFont val="맑은 고딕"/>
        <i/>
        <color rgb="FF7F7F7F"/>
        <sz val="8.0"/>
      </rPr>
      <t xml:space="preserve">/ </t>
    </r>
    <r>
      <rPr>
        <rFont val="Noto Sans CJK SC"/>
        <i/>
        <color rgb="FF7F7F7F"/>
        <sz val="8.0"/>
      </rPr>
      <t xml:space="preserve">실용신안 </t>
    </r>
    <r>
      <rPr>
        <rFont val="맑은 고딕"/>
        <i/>
        <color rgb="FF7F7F7F"/>
        <sz val="8.0"/>
      </rPr>
      <t xml:space="preserve">/ </t>
    </r>
    <r>
      <rPr>
        <rFont val="Noto Sans CJK SC"/>
        <i/>
        <color rgb="FF7F7F7F"/>
        <sz val="8.0"/>
      </rPr>
      <t xml:space="preserve">디자인 </t>
    </r>
    <r>
      <rPr>
        <rFont val="맑은 고딕"/>
        <i/>
        <color rgb="FF7F7F7F"/>
        <sz val="8.0"/>
      </rPr>
      <t>/ SW</t>
    </r>
    <r>
      <rPr>
        <rFont val="Noto Sans CJK SC"/>
        <i/>
        <color rgb="FF7F7F7F"/>
        <sz val="8.0"/>
      </rPr>
      <t>등록</t>
    </r>
    <r>
      <rPr>
        <rFont val="맑은 고딕"/>
        <i/>
        <color rgb="FF7F7F7F"/>
        <sz val="8.0"/>
      </rPr>
      <t>]</t>
    </r>
  </si>
  <si>
    <r>
      <rPr>
        <rFont val="Noto Sans CJK SC"/>
        <i/>
        <color rgb="FF7F7F7F"/>
        <sz val="8.0"/>
      </rPr>
      <t>출처</t>
    </r>
    <r>
      <rPr>
        <rFont val="맑은 고딕"/>
        <i/>
        <color rgb="FF7F7F7F"/>
        <sz val="8.0"/>
      </rPr>
      <t xml:space="preserve">: </t>
    </r>
    <r>
      <rPr>
        <rFont val="Noto Sans CJK SC"/>
        <i/>
        <color rgb="FF7F7F7F"/>
        <sz val="8.0"/>
      </rPr>
      <t>학생 등록</t>
    </r>
    <r>
      <rPr>
        <rFont val="맑은 고딕"/>
        <i/>
        <color rgb="FF7F7F7F"/>
        <sz val="8.0"/>
      </rPr>
      <t>(</t>
    </r>
    <r>
      <rPr>
        <rFont val="Noto Sans CJK SC"/>
        <i/>
        <color rgb="FF7F7F7F"/>
        <sz val="8.0"/>
      </rPr>
      <t>고용보험 자격이력 등</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커뮤니케이션 </t>
    </r>
    <r>
      <rPr>
        <rFont val="맑은 고딕"/>
        <i/>
        <color rgb="FF7F7F7F"/>
        <sz val="8.0"/>
      </rPr>
      <t xml:space="preserve">/ </t>
    </r>
    <r>
      <rPr>
        <rFont val="Noto Sans CJK SC"/>
        <i/>
        <color rgb="FF7F7F7F"/>
        <sz val="8.0"/>
      </rPr>
      <t xml:space="preserve">책임감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증빙 신뢰도 낮음 → 기간 위주 정량화 권장</t>
    </r>
  </si>
  <si>
    <r>
      <rPr>
        <rFont val="맑은 고딕"/>
        <i/>
        <color rgb="FF7F7F7F"/>
        <sz val="8.0"/>
      </rPr>
      <t>[</t>
    </r>
    <r>
      <rPr>
        <rFont val="Noto Sans CJK SC"/>
        <i/>
        <color rgb="FF7F7F7F"/>
        <sz val="8.0"/>
      </rPr>
      <t xml:space="preserve">출원 </t>
    </r>
    <r>
      <rPr>
        <rFont val="맑은 고딕"/>
        <i/>
        <color rgb="FF7F7F7F"/>
        <sz val="8.0"/>
      </rPr>
      <t xml:space="preserve">/ </t>
    </r>
    <r>
      <rPr>
        <rFont val="Noto Sans CJK SC"/>
        <i/>
        <color rgb="FF7F7F7F"/>
        <sz val="8.0"/>
      </rPr>
      <t>등록</t>
    </r>
    <r>
      <rPr>
        <rFont val="맑은 고딕"/>
        <i/>
        <color rgb="FF7F7F7F"/>
        <sz val="8.0"/>
      </rPr>
      <t>]</t>
    </r>
  </si>
  <si>
    <r>
      <rPr>
        <rFont val="맑은 고딕"/>
        <i/>
        <color rgb="FF7F7F7F"/>
        <sz val="8.0"/>
      </rPr>
      <t>[</t>
    </r>
    <r>
      <rPr>
        <rFont val="Noto Sans CJK SC"/>
        <i/>
        <color rgb="FF7F7F7F"/>
        <sz val="8.0"/>
      </rPr>
      <t xml:space="preserve">단독 </t>
    </r>
    <r>
      <rPr>
        <rFont val="맑은 고딕"/>
        <i/>
        <color rgb="FF7F7F7F"/>
        <sz val="8.0"/>
      </rPr>
      <t xml:space="preserve">/ </t>
    </r>
    <r>
      <rPr>
        <rFont val="Noto Sans CJK SC"/>
        <i/>
        <color rgb="FF7F7F7F"/>
        <sz val="8.0"/>
      </rPr>
      <t>공동</t>
    </r>
    <r>
      <rPr>
        <rFont val="맑은 고딕"/>
        <i/>
        <color rgb="FF7F7F7F"/>
        <sz val="8.0"/>
      </rPr>
      <t>]</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</si>
  <si>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</si>
  <si>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맑은 고딕"/>
        <i/>
        <color rgb="FF7F7F7F"/>
        <sz val="8.0"/>
      </rPr>
      <t>[</t>
    </r>
    <r>
      <rPr>
        <rFont val="Noto Sans CJK SC"/>
        <i/>
        <color rgb="FF7F7F7F"/>
        <sz val="8.0"/>
      </rPr>
      <t xml:space="preserve">고용보험 </t>
    </r>
    <r>
      <rPr>
        <rFont val="맑은 고딕"/>
        <i/>
        <color rgb="FF7F7F7F"/>
        <sz val="8.0"/>
      </rPr>
      <t xml:space="preserve">/ </t>
    </r>
    <r>
      <rPr>
        <rFont val="Noto Sans CJK SC"/>
        <i/>
        <color rgb="FF7F7F7F"/>
        <sz val="8.0"/>
      </rPr>
      <t>재직</t>
    </r>
    <r>
      <rPr>
        <rFont val="맑은 고딕"/>
        <i/>
        <color rgb="FF7F7F7F"/>
        <sz val="8.0"/>
      </rPr>
      <t>·</t>
    </r>
    <r>
      <rPr>
        <rFont val="Noto Sans CJK SC"/>
        <i/>
        <color rgb="FF7F7F7F"/>
        <sz val="8.0"/>
      </rPr>
      <t xml:space="preserve">경력증명 </t>
    </r>
    <r>
      <rPr>
        <rFont val="맑은 고딕"/>
        <i/>
        <color rgb="FF7F7F7F"/>
        <sz val="8.0"/>
      </rPr>
      <t xml:space="preserve">/ </t>
    </r>
    <r>
      <rPr>
        <rFont val="Noto Sans CJK SC"/>
        <i/>
        <color rgb="FF7F7F7F"/>
        <sz val="8.0"/>
      </rPr>
      <t>없음</t>
    </r>
    <r>
      <rPr>
        <rFont val="맑은 고딕"/>
        <i/>
        <color rgb="FF7F7F7F"/>
        <sz val="8.0"/>
      </rPr>
      <t>]</t>
    </r>
  </si>
  <si>
    <t>■ 글로벌</t>
  </si>
  <si>
    <t>카페</t>
  </si>
  <si>
    <t>바리스타</t>
  </si>
  <si>
    <t>고용보험</t>
  </si>
  <si>
    <r>
      <rPr>
        <rFont val="Noto Sans CJK SC"/>
        <b/>
        <color rgb="FF000000"/>
        <sz val="11.0"/>
      </rPr>
      <t>교환학생</t>
    </r>
    <r>
      <rPr>
        <rFont val="맑은 고딕"/>
        <b/>
        <color rgb="FF000000"/>
        <sz val="11.0"/>
      </rPr>
      <t>·</t>
    </r>
    <r>
      <rPr>
        <rFont val="Noto Sans CJK SC"/>
        <b/>
        <color rgb="FF000000"/>
        <sz val="11.0"/>
      </rPr>
      <t>해외경험</t>
    </r>
  </si>
  <si>
    <r>
      <rPr>
        <rFont val="Noto Sans CJK SC"/>
        <b/>
        <color rgb="FF000000"/>
        <sz val="11.0"/>
      </rPr>
      <t>진로설계</t>
    </r>
    <r>
      <rPr>
        <rFont val="맑은 고딕"/>
        <b/>
        <color rgb="FF000000"/>
        <sz val="11.0"/>
      </rPr>
      <t>·</t>
    </r>
    <r>
      <rPr>
        <rFont val="Noto Sans CJK SC"/>
        <b/>
        <color rgb="FF000000"/>
        <sz val="11.0"/>
      </rPr>
      <t>취업상담</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</si>
  <si>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공학계열 한정 → 비대상 전공은 </t>
    </r>
    <r>
      <rPr>
        <rFont val="맑은 고딕"/>
        <i/>
        <color rgb="FF7F7F7F"/>
        <sz val="8.0"/>
      </rPr>
      <t>'</t>
    </r>
    <r>
      <rPr>
        <rFont val="Noto Sans CJK SC"/>
        <i/>
        <color rgb="FF7F7F7F"/>
        <sz val="8.0"/>
      </rPr>
      <t>해당 없음</t>
    </r>
    <r>
      <rPr>
        <rFont val="맑은 고딕"/>
        <i/>
        <color rgb="FF7F7F7F"/>
        <sz val="8.0"/>
      </rPr>
      <t xml:space="preserve">' </t>
    </r>
    <r>
      <rPr>
        <rFont val="Noto Sans CJK SC"/>
        <i/>
        <color rgb="FF7F7F7F"/>
        <sz val="8.0"/>
      </rPr>
      <t>처리</t>
    </r>
    <r>
      <rPr>
        <rFont val="맑은 고딕"/>
        <i/>
        <color rgb="FF7F7F7F"/>
        <sz val="8.0"/>
      </rPr>
      <t>(</t>
    </r>
    <r>
      <rPr>
        <rFont val="Noto Sans CJK SC"/>
        <i/>
        <color rgb="FF7F7F7F"/>
        <sz val="8.0"/>
      </rPr>
      <t>불이익 방지</t>
    </r>
    <r>
      <rPr>
        <rFont val="맑은 고딕"/>
        <i/>
        <color rgb="FF7F7F7F"/>
        <sz val="8.0"/>
      </rPr>
      <t>)</t>
    </r>
  </si>
  <si>
    <r>
      <rPr>
        <rFont val="Noto Sans CJK SC"/>
        <color rgb="FF7F7F7F"/>
        <sz val="9.0"/>
      </rPr>
      <t xml:space="preserve">비대상 전공이면 상태를 </t>
    </r>
    <r>
      <rPr>
        <rFont val="맑은 고딕"/>
        <color rgb="FF7F7F7F"/>
        <sz val="9.0"/>
      </rPr>
      <t>'</t>
    </r>
    <r>
      <rPr>
        <rFont val="Noto Sans CJK SC"/>
        <color rgb="FF7F7F7F"/>
        <sz val="9.0"/>
      </rPr>
      <t>해당 없음</t>
    </r>
    <r>
      <rPr>
        <rFont val="맑은 고딕"/>
        <color rgb="FF7F7F7F"/>
        <sz val="9.0"/>
      </rPr>
      <t>'</t>
    </r>
    <r>
      <rPr>
        <rFont val="Noto Sans CJK SC"/>
        <color rgb="FF7F7F7F"/>
        <sz val="9.0"/>
      </rPr>
      <t xml:space="preserve">으로  </t>
    </r>
    <r>
      <rPr>
        <rFont val="맑은 고딕"/>
        <color rgb="FF7F7F7F"/>
        <sz val="9.0"/>
      </rPr>
      <t>[</t>
    </r>
    <r>
      <rPr>
        <rFont val="Noto Sans CJK SC"/>
        <color rgb="FF7F7F7F"/>
        <sz val="9.0"/>
      </rPr>
      <t xml:space="preserve">대상 </t>
    </r>
    <r>
      <rPr>
        <rFont val="맑은 고딕"/>
        <color rgb="FF7F7F7F"/>
        <sz val="9.0"/>
      </rPr>
      <t xml:space="preserve">/ </t>
    </r>
    <r>
      <rPr>
        <rFont val="Noto Sans CJK SC"/>
        <color rgb="FF7F7F7F"/>
        <sz val="9.0"/>
      </rPr>
      <t>비대상</t>
    </r>
    <r>
      <rPr>
        <rFont val="맑은 고딕"/>
        <color rgb="FF7F7F7F"/>
        <sz val="9.0"/>
      </rPr>
      <t>]</t>
    </r>
  </si>
  <si>
    <t>기계공학 공학교육인증</t>
  </si>
  <si>
    <r>
      <rPr>
        <rFont val="Noto Sans CJK SC"/>
        <color rgb="FF7F7F7F"/>
        <sz val="9.0"/>
      </rPr>
      <t>예</t>
    </r>
    <r>
      <rPr>
        <rFont val="맑은 고딕"/>
        <color rgb="FF7F7F7F"/>
        <sz val="9.0"/>
      </rPr>
      <t xml:space="preserve">: </t>
    </r>
    <r>
      <rPr>
        <rFont val="Noto Sans CJK SC"/>
        <color rgb="FF7F7F7F"/>
        <sz val="9.0"/>
      </rPr>
      <t>기계공학 공학교육인증</t>
    </r>
  </si>
  <si>
    <r>
      <rPr>
        <rFont val="Noto Sans CJK SC"/>
        <i/>
        <color rgb="FF7F7F7F"/>
        <sz val="8.0"/>
      </rPr>
      <t>출처</t>
    </r>
    <r>
      <rPr>
        <rFont val="맑은 고딕"/>
        <i/>
        <color rgb="FF7F7F7F"/>
        <sz val="8.0"/>
      </rPr>
      <t xml:space="preserve">: </t>
    </r>
    <r>
      <rPr>
        <rFont val="Noto Sans CJK SC"/>
        <i/>
        <color rgb="FF7F7F7F"/>
        <sz val="8.0"/>
      </rPr>
      <t xml:space="preserve">국제처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글로벌</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글로벌</t>
    </r>
    <r>
      <rPr>
        <rFont val="맑은 고딕"/>
        <i/>
        <color rgb="FF7F7F7F"/>
        <sz val="8.0"/>
      </rPr>
      <t>(</t>
    </r>
    <r>
      <rPr>
        <rFont val="Noto Sans CJK SC"/>
        <i/>
        <color rgb="FF7F7F7F"/>
        <sz val="8.0"/>
      </rPr>
      <t>문화적 수용능력</t>
    </r>
    <r>
      <rPr>
        <rFont val="맑은 고딕"/>
        <i/>
        <color rgb="FF7F7F7F"/>
        <sz val="8.0"/>
      </rPr>
      <t xml:space="preserve">)   |   </t>
    </r>
    <r>
      <rPr>
        <rFont val="Noto Sans CJK SC"/>
        <i/>
        <color rgb="FF7F7F7F"/>
        <sz val="8.0"/>
      </rPr>
      <t>비고</t>
    </r>
    <r>
      <rPr>
        <rFont val="맑은 고딕"/>
        <i/>
        <color rgb="FF7F7F7F"/>
        <sz val="8.0"/>
      </rPr>
      <t xml:space="preserve">: [C] </t>
    </r>
    <r>
      <rPr>
        <rFont val="Noto Sans CJK SC"/>
        <i/>
        <color rgb="FF7F7F7F"/>
        <sz val="8.0"/>
      </rPr>
      <t>국제연구</t>
    </r>
    <r>
      <rPr>
        <rFont val="맑은 고딕"/>
        <i/>
        <color rgb="FF7F7F7F"/>
        <sz val="8.0"/>
      </rPr>
      <t>·</t>
    </r>
    <r>
      <rPr>
        <rFont val="Noto Sans CJK SC"/>
        <i/>
        <color rgb="FF7F7F7F"/>
        <sz val="8.0"/>
      </rPr>
      <t>국제문화체험 항목 추가</t>
    </r>
  </si>
  <si>
    <r>
      <rPr>
        <rFont val="Noto Sans CJK SC"/>
        <color rgb="FF000000"/>
        <sz val="9.0"/>
      </rPr>
      <t>자격</t>
    </r>
    <r>
      <rPr>
        <rFont val="맑은 고딕"/>
        <color rgb="FF000000"/>
        <sz val="9.0"/>
      </rPr>
      <t>·</t>
    </r>
    <r>
      <rPr>
        <rFont val="Noto Sans CJK SC"/>
        <color rgb="FF000000"/>
        <sz val="9.0"/>
      </rPr>
      <t>인증</t>
    </r>
  </si>
  <si>
    <r>
      <rPr>
        <rFont val="맑은 고딕"/>
        <color rgb="FF7F7F7F"/>
        <sz val="9.0"/>
      </rPr>
      <t>[</t>
    </r>
    <r>
      <rPr>
        <rFont val="Noto Sans CJK SC"/>
        <color rgb="FF7F7F7F"/>
        <sz val="9.0"/>
      </rPr>
      <t xml:space="preserve">이수중 </t>
    </r>
    <r>
      <rPr>
        <rFont val="맑은 고딕"/>
        <color rgb="FF7F7F7F"/>
        <sz val="9.0"/>
      </rPr>
      <t xml:space="preserve">/ </t>
    </r>
    <r>
      <rPr>
        <rFont val="Noto Sans CJK SC"/>
        <color rgb="FF7F7F7F"/>
        <sz val="9.0"/>
      </rPr>
      <t xml:space="preserve">이수완료 </t>
    </r>
    <r>
      <rPr>
        <rFont val="맑은 고딕"/>
        <color rgb="FF7F7F7F"/>
        <sz val="9.0"/>
      </rPr>
      <t xml:space="preserve">/ </t>
    </r>
    <r>
      <rPr>
        <rFont val="Noto Sans CJK SC"/>
        <color rgb="FF7F7F7F"/>
        <sz val="9.0"/>
      </rPr>
      <t xml:space="preserve">미이수 </t>
    </r>
    <r>
      <rPr>
        <rFont val="맑은 고딕"/>
        <color rgb="FF7F7F7F"/>
        <sz val="9.0"/>
      </rPr>
      <t xml:space="preserve">/ </t>
    </r>
    <r>
      <rPr>
        <rFont val="Noto Sans CJK SC"/>
        <color rgb="FF7F7F7F"/>
        <sz val="9.0"/>
      </rPr>
      <t>포기</t>
    </r>
    <r>
      <rPr>
        <rFont val="맑은 고딕"/>
        <color rgb="FF7F7F7F"/>
        <sz val="9.0"/>
      </rPr>
      <t>]</t>
    </r>
  </si>
  <si>
    <t>국가</t>
  </si>
  <si>
    <r>
      <rPr>
        <rFont val="Noto Sans CJK SC"/>
        <color rgb="FF000000"/>
        <sz val="9.0"/>
      </rPr>
      <t>자격증</t>
    </r>
    <r>
      <rPr>
        <rFont val="맑은 고딕"/>
        <color rgb="FF000000"/>
        <sz val="9.0"/>
      </rPr>
      <t>(</t>
    </r>
    <r>
      <rPr>
        <rFont val="Noto Sans CJK SC"/>
        <color rgb="FF000000"/>
        <sz val="9.0"/>
      </rPr>
      <t>어학</t>
    </r>
    <r>
      <rPr>
        <rFont val="맑은 고딕"/>
        <color rgb="FF000000"/>
        <sz val="9.0"/>
      </rPr>
      <t>)</t>
    </r>
  </si>
  <si>
    <r>
      <rPr>
        <rFont val="Noto Sans CJK SC"/>
        <b/>
        <color rgb="FFFFFFFF"/>
        <sz val="11.0"/>
      </rPr>
      <t>■ 학습행동</t>
    </r>
    <r>
      <rPr>
        <rFont val="맑은 고딕"/>
        <b/>
        <color rgb="FFFFFFFF"/>
        <sz val="11.0"/>
      </rPr>
      <t>(LMS)</t>
    </r>
  </si>
  <si>
    <r>
      <rPr>
        <rFont val="Noto Sans CJK SC"/>
        <b/>
        <color rgb="FF000000"/>
        <sz val="9.0"/>
      </rPr>
      <t>기관</t>
    </r>
    <r>
      <rPr>
        <rFont val="맑은 고딕"/>
        <b/>
        <color rgb="FF000000"/>
        <sz val="9.0"/>
      </rPr>
      <t>·</t>
    </r>
    <r>
      <rPr>
        <rFont val="Noto Sans CJK SC"/>
        <b/>
        <color rgb="FF000000"/>
        <sz val="9.0"/>
      </rPr>
      <t>프로그램명</t>
    </r>
  </si>
  <si>
    <r>
      <rPr>
        <rFont val="Noto Sans CJK SC"/>
        <color rgb="FF000000"/>
        <sz val="9.0"/>
      </rPr>
      <t xml:space="preserve">기존 </t>
    </r>
    <r>
      <rPr>
        <rFont val="맑은 고딕"/>
        <color rgb="FF000000"/>
        <sz val="9.0"/>
      </rPr>
      <t xml:space="preserve">+ SKKU </t>
    </r>
    <r>
      <rPr>
        <rFont val="Noto Sans CJK SC"/>
        <color rgb="FF000000"/>
        <sz val="9.0"/>
      </rPr>
      <t>확보가능</t>
    </r>
  </si>
  <si>
    <r>
      <rPr>
        <rFont val="Noto Sans CJK SC"/>
        <b/>
        <color rgb="FF000000"/>
        <sz val="9.0"/>
      </rPr>
      <t>기간</t>
    </r>
    <r>
      <rPr>
        <rFont val="맑은 고딕"/>
        <b/>
        <color rgb="FF000000"/>
        <sz val="9.0"/>
      </rPr>
      <t>(</t>
    </r>
    <r>
      <rPr>
        <rFont val="Noto Sans CJK SC"/>
        <b/>
        <color rgb="FF000000"/>
        <sz val="9.0"/>
      </rPr>
      <t>주</t>
    </r>
    <r>
      <rPr>
        <rFont val="맑은 고딕"/>
        <b/>
        <color rgb="FF000000"/>
        <sz val="9.0"/>
      </rPr>
      <t>)</t>
    </r>
  </si>
  <si>
    <t>시작 연월</t>
  </si>
  <si>
    <r>
      <rPr>
        <rFont val="맑은 고딕"/>
        <b/>
        <color rgb="FF000000"/>
        <sz val="9.0"/>
      </rPr>
      <t>3</t>
    </r>
    <r>
      <rPr>
        <rFont val="Noto Sans CJK SC"/>
        <b/>
        <color rgb="FF000000"/>
        <sz val="9.0"/>
      </rPr>
      <t>품 인정</t>
    </r>
  </si>
  <si>
    <r>
      <rPr>
        <rFont val="Noto Sans CJK SC"/>
        <i/>
        <color rgb="FF7F7F7F"/>
        <sz val="8.0"/>
      </rPr>
      <t>출처</t>
    </r>
    <r>
      <rPr>
        <rFont val="맑은 고딕"/>
        <i/>
        <color rgb="FF7F7F7F"/>
        <sz val="8.0"/>
      </rPr>
      <t xml:space="preserve">: </t>
    </r>
    <r>
      <rPr>
        <rFont val="Noto Sans CJK SC"/>
        <i/>
        <color rgb="FF7F7F7F"/>
        <sz val="8.0"/>
      </rPr>
      <t xml:space="preserve">경력개발 </t>
    </r>
    <r>
      <rPr>
        <rFont val="맑은 고딕"/>
        <i/>
        <color rgb="FF7F7F7F"/>
        <sz val="8.0"/>
      </rPr>
      <t xml:space="preserve">· </t>
    </r>
    <r>
      <rPr>
        <rFont val="Noto Sans CJK SC"/>
        <i/>
        <color rgb="FF7F7F7F"/>
        <sz val="8.0"/>
      </rPr>
      <t xml:space="preserve">상담 시스템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자기관리</t>
    </r>
    <r>
      <rPr>
        <rFont val="맑은 고딕"/>
        <i/>
        <color rgb="FF7F7F7F"/>
        <sz val="8.0"/>
      </rPr>
      <t>(</t>
    </r>
    <r>
      <rPr>
        <rFont val="Noto Sans CJK SC"/>
        <i/>
        <color rgb="FF7F7F7F"/>
        <sz val="8.0"/>
      </rPr>
      <t>계획 수립</t>
    </r>
    <r>
      <rPr>
        <rFont val="맑은 고딕"/>
        <i/>
        <color rgb="FF7F7F7F"/>
        <sz val="8.0"/>
      </rPr>
      <t xml:space="preserve">) /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t>
    </r>
    <r>
      <rPr>
        <rFont val="Noto Sans CJK SC"/>
        <i/>
        <color rgb="FF7F7F7F"/>
        <sz val="8.0"/>
      </rPr>
      <t>계획 수립 및 실행 능력</t>
    </r>
    <r>
      <rPr>
        <rFont val="맑은 고딕"/>
        <i/>
        <color rgb="FF7F7F7F"/>
        <sz val="8.0"/>
      </rPr>
      <t>'</t>
    </r>
    <r>
      <rPr>
        <rFont val="Noto Sans CJK SC"/>
        <i/>
        <color rgb="FF7F7F7F"/>
        <sz val="8.0"/>
      </rPr>
      <t xml:space="preserve">의 근거가 </t>
    </r>
    <r>
      <rPr>
        <rFont val="맑은 고딕"/>
        <i/>
        <color rgb="FF7F7F7F"/>
        <sz val="8.0"/>
      </rPr>
      <t xml:space="preserve">LMS </t>
    </r>
    <r>
      <rPr>
        <rFont val="Noto Sans CJK SC"/>
        <i/>
        <color rgb="FF7F7F7F"/>
        <sz val="8.0"/>
      </rPr>
      <t>하나뿐인 공백 보완</t>
    </r>
  </si>
  <si>
    <r>
      <rPr>
        <rFont val="맑은 고딕"/>
        <i/>
        <color rgb="FF7F7F7F"/>
        <sz val="8.0"/>
      </rPr>
      <t>[</t>
    </r>
    <r>
      <rPr>
        <rFont val="Noto Sans CJK SC"/>
        <i/>
        <color rgb="FF7F7F7F"/>
        <sz val="8.0"/>
      </rPr>
      <t xml:space="preserve">교환학생 </t>
    </r>
    <r>
      <rPr>
        <rFont val="맑은 고딕"/>
        <i/>
        <color rgb="FF7F7F7F"/>
        <sz val="8.0"/>
      </rPr>
      <t xml:space="preserve">/ </t>
    </r>
    <r>
      <rPr>
        <rFont val="Noto Sans CJK SC"/>
        <i/>
        <color rgb="FF7F7F7F"/>
        <sz val="8.0"/>
      </rPr>
      <t xml:space="preserve">어학연수 </t>
    </r>
    <r>
      <rPr>
        <rFont val="맑은 고딕"/>
        <i/>
        <color rgb="FF7F7F7F"/>
        <sz val="8.0"/>
      </rPr>
      <t xml:space="preserve">/ </t>
    </r>
    <r>
      <rPr>
        <rFont val="Noto Sans CJK SC"/>
        <i/>
        <color rgb="FF7F7F7F"/>
        <sz val="8.0"/>
      </rPr>
      <t xml:space="preserve">해외봉사 </t>
    </r>
    <r>
      <rPr>
        <rFont val="맑은 고딕"/>
        <i/>
        <color rgb="FF7F7F7F"/>
        <sz val="8.0"/>
      </rPr>
      <t xml:space="preserve">/ </t>
    </r>
    <r>
      <rPr>
        <rFont val="Noto Sans CJK SC"/>
        <i/>
        <color rgb="FF7F7F7F"/>
        <sz val="8.0"/>
      </rPr>
      <t xml:space="preserve">국제연구 </t>
    </r>
    <r>
      <rPr>
        <rFont val="맑은 고딕"/>
        <i/>
        <color rgb="FF7F7F7F"/>
        <sz val="8.0"/>
      </rPr>
      <t xml:space="preserve">/ </t>
    </r>
    <r>
      <rPr>
        <rFont val="Noto Sans CJK SC"/>
        <i/>
        <color rgb="FF7F7F7F"/>
        <sz val="8.0"/>
      </rPr>
      <t xml:space="preserve">국제문화체험 </t>
    </r>
    <r>
      <rPr>
        <rFont val="맑은 고딕"/>
        <i/>
        <color rgb="FF7F7F7F"/>
        <sz val="8.0"/>
      </rPr>
      <t xml:space="preserve">/ </t>
    </r>
    <r>
      <rPr>
        <rFont val="Noto Sans CJK SC"/>
        <i/>
        <color rgb="FF7F7F7F"/>
        <sz val="8.0"/>
      </rPr>
      <t>해외학습</t>
    </r>
    <r>
      <rPr>
        <rFont val="맑은 고딕"/>
        <i/>
        <color rgb="FF7F7F7F"/>
        <sz val="8.0"/>
      </rPr>
      <t>]</t>
    </r>
  </si>
  <si>
    <r>
      <rPr>
        <rFont val="맑은 고딕"/>
        <b/>
        <color rgb="FF000000"/>
        <sz val="11.0"/>
      </rPr>
      <t xml:space="preserve">LMS </t>
    </r>
    <r>
      <rPr>
        <rFont val="Noto Sans CJK SC"/>
        <b/>
        <color rgb="FF000000"/>
        <sz val="11.0"/>
      </rPr>
      <t>학습데이터</t>
    </r>
  </si>
  <si>
    <r>
      <rPr>
        <rFont val="Noto Sans CJK SC"/>
        <b/>
        <color rgb="FF000000"/>
        <sz val="10.0"/>
      </rPr>
      <t>진로</t>
    </r>
    <r>
      <rPr>
        <rFont val="맑은 고딕"/>
        <b/>
        <color rgb="FF000000"/>
        <sz val="10.0"/>
      </rPr>
      <t>·</t>
    </r>
    <r>
      <rPr>
        <rFont val="Noto Sans CJK SC"/>
        <b/>
        <color rgb="FF000000"/>
        <sz val="10.0"/>
      </rPr>
      <t>취업 상담 횟수</t>
    </r>
    <r>
      <rPr>
        <rFont val="맑은 고딕"/>
        <b/>
        <color rgb="FF000000"/>
        <sz val="10.0"/>
      </rPr>
      <t>(</t>
    </r>
    <r>
      <rPr>
        <rFont val="Noto Sans CJK SC"/>
        <b/>
        <color rgb="FF000000"/>
        <sz val="10.0"/>
      </rPr>
      <t>누적</t>
    </r>
    <r>
      <rPr>
        <rFont val="맑은 고딕"/>
        <b/>
        <color rgb="FF000000"/>
        <sz val="10.0"/>
      </rPr>
      <t>)</t>
    </r>
  </si>
  <si>
    <r>
      <rPr>
        <rFont val="Noto Sans CJK SC"/>
        <b/>
        <color rgb="FF000000"/>
        <sz val="10.0"/>
      </rPr>
      <t>희망 직무</t>
    </r>
    <r>
      <rPr>
        <rFont val="맑은 고딕"/>
        <b/>
        <color rgb="FF000000"/>
        <sz val="10.0"/>
      </rPr>
      <t>·</t>
    </r>
    <r>
      <rPr>
        <rFont val="Noto Sans CJK SC"/>
        <b/>
        <color rgb="FF000000"/>
        <sz val="10.0"/>
      </rPr>
      <t>분야</t>
    </r>
  </si>
  <si>
    <r>
      <rPr>
        <rFont val="맑은 고딕"/>
        <color rgb="FF1F3B8A"/>
        <sz val="10.0"/>
      </rPr>
      <t xml:space="preserve">SCM </t>
    </r>
    <r>
      <rPr>
        <rFont val="Noto Sans CJK SC"/>
        <color rgb="FF1F3B8A"/>
        <sz val="10.0"/>
      </rPr>
      <t>데이터 분석</t>
    </r>
  </si>
  <si>
    <r>
      <rPr>
        <rFont val="Noto Sans CJK SC"/>
        <color rgb="FF1F3B8A"/>
        <sz val="10.0"/>
      </rPr>
      <t xml:space="preserve">졸업 후 </t>
    </r>
    <r>
      <rPr>
        <rFont val="맑은 고딕"/>
        <color rgb="FF1F3B8A"/>
        <sz val="10.0"/>
      </rPr>
      <t xml:space="preserve">SCM </t>
    </r>
    <r>
      <rPr>
        <rFont val="Noto Sans CJK SC"/>
        <color rgb="FF1F3B8A"/>
        <sz val="10.0"/>
      </rPr>
      <t>데이터 분석 직무로 취업하고</t>
    </r>
    <r>
      <rPr>
        <rFont val="맑은 고딕"/>
        <color rgb="FF1F3B8A"/>
        <sz val="10.0"/>
      </rPr>
      <t>, 5</t>
    </r>
    <r>
      <rPr>
        <rFont val="Noto Sans CJK SC"/>
        <color rgb="FF1F3B8A"/>
        <sz val="10.0"/>
      </rPr>
      <t>년 안에 관련 분야 석사 과정에 진학하는 것이 목표</t>
    </r>
  </si>
  <si>
    <r>
      <rPr>
        <rFont val="맑은 고딕"/>
        <color rgb="FF7F7F7F"/>
        <sz val="9.0"/>
      </rPr>
      <t>1~3</t>
    </r>
    <r>
      <rPr>
        <rFont val="Noto Sans CJK SC"/>
        <color rgb="FF7F7F7F"/>
        <sz val="9.0"/>
      </rPr>
      <t>문장</t>
    </r>
  </si>
  <si>
    <r>
      <rPr>
        <rFont val="Noto Sans CJK SC"/>
        <b/>
        <color rgb="FFFFFFFF"/>
        <sz val="11.0"/>
      </rPr>
      <t>■ 창의</t>
    </r>
    <r>
      <rPr>
        <rFont val="맑은 고딕"/>
        <b/>
        <color rgb="FFFFFFFF"/>
        <sz val="11.0"/>
      </rPr>
      <t>·</t>
    </r>
    <r>
      <rPr>
        <rFont val="Noto Sans CJK SC"/>
        <b/>
        <color rgb="FFFFFFFF"/>
        <sz val="11.0"/>
      </rPr>
      <t>도전</t>
    </r>
  </si>
  <si>
    <r>
      <rPr>
        <rFont val="Noto Sans CJK SC"/>
        <b/>
        <color rgb="FF000000"/>
        <sz val="11.0"/>
      </rPr>
      <t>공모전 참가</t>
    </r>
    <r>
      <rPr>
        <rFont val="맑은 고딕"/>
        <b/>
        <color rgb="FF000000"/>
        <sz val="11.0"/>
      </rPr>
      <t>·</t>
    </r>
    <r>
      <rPr>
        <rFont val="Noto Sans CJK SC"/>
        <b/>
        <color rgb="FF000000"/>
        <sz val="11.0"/>
      </rPr>
      <t>수상</t>
    </r>
  </si>
  <si>
    <r>
      <rPr>
        <rFont val="Noto Sans CJK SC"/>
        <i/>
        <color rgb="FF7F7F7F"/>
        <sz val="8.0"/>
      </rPr>
      <t>출처</t>
    </r>
    <r>
      <rPr>
        <rFont val="맑은 고딕"/>
        <i/>
        <color rgb="FF7F7F7F"/>
        <sz val="8.0"/>
      </rPr>
      <t xml:space="preserve">: LMS(i-Campus) · </t>
    </r>
    <r>
      <rPr>
        <rFont val="Noto Sans CJK SC"/>
        <i/>
        <color rgb="FF7F7F7F"/>
        <sz val="8.0"/>
      </rPr>
      <t xml:space="preserve">출석앱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자기관리 </t>
    </r>
    <r>
      <rPr>
        <rFont val="맑은 고딕"/>
        <i/>
        <color rgb="FF7F7F7F"/>
        <sz val="8.0"/>
      </rPr>
      <t xml:space="preserve">/ </t>
    </r>
    <r>
      <rPr>
        <rFont val="Noto Sans CJK SC"/>
        <i/>
        <color rgb="FF7F7F7F"/>
        <sz val="8.0"/>
      </rPr>
      <t xml:space="preserve">성실성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마인드맵 </t>
    </r>
    <r>
      <rPr>
        <rFont val="맑은 고딕"/>
        <i/>
        <color rgb="FF7F7F7F"/>
        <sz val="8.0"/>
      </rPr>
      <t>'</t>
    </r>
    <r>
      <rPr>
        <rFont val="Noto Sans CJK SC"/>
        <i/>
        <color rgb="FF7F7F7F"/>
        <sz val="8.0"/>
      </rPr>
      <t>퀴즈 생성 주기</t>
    </r>
    <r>
      <rPr>
        <rFont val="맑은 고딕"/>
        <i/>
        <color rgb="FF7F7F7F"/>
        <sz val="8.0"/>
      </rPr>
      <t xml:space="preserve">' vs </t>
    </r>
    <r>
      <rPr>
        <rFont val="Noto Sans CJK SC"/>
        <i/>
        <color rgb="FF7F7F7F"/>
        <sz val="8.0"/>
      </rPr>
      <t xml:space="preserve">데이터 </t>
    </r>
    <r>
      <rPr>
        <rFont val="맑은 고딕"/>
        <i/>
        <color rgb="FF7F7F7F"/>
        <sz val="8.0"/>
      </rPr>
      <t>'</t>
    </r>
    <r>
      <rPr>
        <rFont val="Noto Sans CJK SC"/>
        <i/>
        <color rgb="FF7F7F7F"/>
        <sz val="8.0"/>
      </rPr>
      <t>퀴즈풀이횟수</t>
    </r>
    <r>
      <rPr>
        <rFont val="맑은 고딕"/>
        <i/>
        <color rgb="FF7F7F7F"/>
        <sz val="8.0"/>
      </rPr>
      <t xml:space="preserve">' </t>
    </r>
    <r>
      <rPr>
        <rFont val="Noto Sans CJK SC"/>
        <i/>
        <color rgb="FF7F7F7F"/>
        <sz val="8.0"/>
      </rPr>
      <t>용어 통일 필요</t>
    </r>
  </si>
  <si>
    <r>
      <rPr>
        <rFont val="맑은 고딕"/>
        <color rgb="FF1F3B8A"/>
        <sz val="10.0"/>
      </rPr>
      <t>2026-1</t>
    </r>
    <r>
      <rPr>
        <rFont val="Noto Sans CJK SC"/>
        <color rgb="FF1F3B8A"/>
        <sz val="10.0"/>
      </rPr>
      <t>학기</t>
    </r>
  </si>
  <si>
    <r>
      <rPr>
        <rFont val="Noto Sans CJK SC"/>
        <color rgb="FF7F7F7F"/>
        <sz val="9.0"/>
      </rPr>
      <t>예</t>
    </r>
    <r>
      <rPr>
        <rFont val="맑은 고딕"/>
        <color rgb="FF7F7F7F"/>
        <sz val="9.0"/>
      </rPr>
      <t>: 2026-1</t>
    </r>
    <r>
      <rPr>
        <rFont val="Noto Sans CJK SC"/>
        <color rgb="FF7F7F7F"/>
        <sz val="9.0"/>
      </rPr>
      <t>학기</t>
    </r>
  </si>
  <si>
    <r>
      <rPr>
        <rFont val="Noto Sans CJK SC"/>
        <b/>
        <color rgb="FF000000"/>
        <sz val="10.0"/>
      </rPr>
      <t>출석률</t>
    </r>
    <r>
      <rPr>
        <rFont val="맑은 고딕"/>
        <b/>
        <color rgb="FF000000"/>
        <sz val="10.0"/>
      </rPr>
      <t>(%)</t>
    </r>
  </si>
  <si>
    <r>
      <rPr>
        <rFont val="Noto Sans CJK SC"/>
        <color rgb="FF000000"/>
        <sz val="9.0"/>
      </rPr>
      <t>자격</t>
    </r>
    <r>
      <rPr>
        <rFont val="맑은 고딕"/>
        <color rgb="FF000000"/>
        <sz val="9.0"/>
      </rPr>
      <t>·</t>
    </r>
    <r>
      <rPr>
        <rFont val="Noto Sans CJK SC"/>
        <color rgb="FF000000"/>
        <sz val="9.0"/>
      </rPr>
      <t>인증</t>
    </r>
  </si>
  <si>
    <r>
      <rPr>
        <rFont val="Noto Sans CJK SC"/>
        <i/>
        <color rgb="FF7F7F7F"/>
        <sz val="8.0"/>
      </rPr>
      <t>출처</t>
    </r>
    <r>
      <rPr>
        <rFont val="맑은 고딕"/>
        <i/>
        <color rgb="FF7F7F7F"/>
        <sz val="8.0"/>
      </rPr>
      <t xml:space="preserve">: </t>
    </r>
    <r>
      <rPr>
        <rFont val="Noto Sans CJK SC"/>
        <i/>
        <color rgb="FF7F7F7F"/>
        <sz val="8.0"/>
      </rPr>
      <t>학사시스템</t>
    </r>
    <r>
      <rPr>
        <rFont val="맑은 고딕"/>
        <i/>
        <color rgb="FF7F7F7F"/>
        <sz val="8.0"/>
      </rPr>
      <t>(</t>
    </r>
    <r>
      <rPr>
        <rFont val="Noto Sans CJK SC"/>
        <i/>
        <color rgb="FF7F7F7F"/>
        <sz val="8.0"/>
      </rPr>
      <t>수강내역</t>
    </r>
    <r>
      <rPr>
        <rFont val="맑은 고딕"/>
        <i/>
        <color rgb="FF7F7F7F"/>
        <sz val="8.0"/>
      </rPr>
      <t xml:space="preserve">)   |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글로벌</t>
    </r>
    <r>
      <rPr>
        <rFont val="맑은 고딕"/>
        <i/>
        <color rgb="FF7F7F7F"/>
        <sz val="8.0"/>
      </rPr>
      <t>(</t>
    </r>
    <r>
      <rPr>
        <rFont val="Noto Sans CJK SC"/>
        <i/>
        <color rgb="FF7F7F7F"/>
        <sz val="8.0"/>
      </rPr>
      <t>외국어 능력</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마인드맵</t>
    </r>
    <r>
      <rPr>
        <rFont val="맑은 고딕"/>
        <i/>
        <color rgb="FF7F7F7F"/>
        <sz val="8.0"/>
      </rPr>
      <t>(</t>
    </r>
    <r>
      <rPr>
        <rFont val="Noto Sans CJK SC"/>
        <i/>
        <color rgb="FF7F7F7F"/>
        <sz val="8.0"/>
      </rPr>
      <t>기업 관심</t>
    </r>
    <r>
      <rPr>
        <rFont val="맑은 고딕"/>
        <i/>
        <color rgb="FF7F7F7F"/>
        <sz val="8.0"/>
      </rPr>
      <t>-</t>
    </r>
    <r>
      <rPr>
        <rFont val="Noto Sans CJK SC"/>
        <i/>
        <color rgb="FF7F7F7F"/>
        <sz val="8.0"/>
      </rPr>
      <t>글로벌</t>
    </r>
    <r>
      <rPr>
        <rFont val="맑은 고딕"/>
        <i/>
        <color rgb="FF7F7F7F"/>
        <sz val="8.0"/>
      </rPr>
      <t>)</t>
    </r>
    <r>
      <rPr>
        <rFont val="Noto Sans CJK SC"/>
        <i/>
        <color rgb="FF7F7F7F"/>
        <sz val="8.0"/>
      </rPr>
      <t>에 있으나 기존 데이터셋에 없음</t>
    </r>
  </si>
  <si>
    <r>
      <rPr>
        <rFont val="Noto Sans CJK SC"/>
        <color rgb="FF7F7F7F"/>
        <sz val="9.0"/>
      </rPr>
      <t xml:space="preserve">숫자 </t>
    </r>
    <r>
      <rPr>
        <rFont val="맑은 고딕"/>
        <color rgb="FF7F7F7F"/>
        <sz val="9.0"/>
      </rPr>
      <t>0~100</t>
    </r>
  </si>
  <si>
    <r>
      <rPr>
        <rFont val="Noto Sans CJK SC"/>
        <color rgb="FF000000"/>
        <sz val="9.0"/>
      </rPr>
      <t>자격증</t>
    </r>
    <r>
      <rPr>
        <rFont val="맑은 고딕"/>
        <color rgb="FF000000"/>
        <sz val="9.0"/>
      </rPr>
      <t>(</t>
    </r>
    <r>
      <rPr>
        <rFont val="Noto Sans CJK SC"/>
        <color rgb="FF000000"/>
        <sz val="9.0"/>
      </rPr>
      <t>기타</t>
    </r>
    <r>
      <rPr>
        <rFont val="맑은 고딕"/>
        <color rgb="FF000000"/>
        <sz val="9.0"/>
      </rPr>
      <t>/</t>
    </r>
    <r>
      <rPr>
        <rFont val="Noto Sans CJK SC"/>
        <color rgb="FF000000"/>
        <sz val="9.0"/>
      </rPr>
      <t>전공</t>
    </r>
    <r>
      <rPr>
        <rFont val="맑은 고딕"/>
        <color rgb="FF000000"/>
        <sz val="9.0"/>
      </rPr>
      <t>)</t>
    </r>
  </si>
  <si>
    <r>
      <rPr>
        <rFont val="맑은 고딕"/>
        <color rgb="FF7F7F7F"/>
        <sz val="9.0"/>
      </rPr>
      <t xml:space="preserve">% </t>
    </r>
    <r>
      <rPr>
        <rFont val="Noto Sans CJK SC"/>
        <color rgb="FF7F7F7F"/>
        <sz val="9.0"/>
      </rPr>
      <t>기호 없이 숫자만</t>
    </r>
  </si>
  <si>
    <t>국제어 강의 이수 과목 수</t>
  </si>
  <si>
    <r>
      <rPr>
        <rFont val="Noto Sans CJK SC"/>
        <color rgb="FF000000"/>
        <sz val="9.0"/>
      </rPr>
      <t xml:space="preserve">기존 </t>
    </r>
    <r>
      <rPr>
        <rFont val="맑은 고딕"/>
        <color rgb="FF000000"/>
        <sz val="9.0"/>
      </rPr>
      <t xml:space="preserve">+ SKKU </t>
    </r>
    <r>
      <rPr>
        <rFont val="Noto Sans CJK SC"/>
        <color rgb="FF000000"/>
        <sz val="9.0"/>
      </rPr>
      <t>확보가능</t>
    </r>
  </si>
  <si>
    <r>
      <rPr>
        <rFont val="Noto Sans CJK SC"/>
        <b/>
        <color rgb="FF000000"/>
        <sz val="10.0"/>
      </rPr>
      <t>과제 기한 준수율</t>
    </r>
    <r>
      <rPr>
        <rFont val="맑은 고딕"/>
        <b/>
        <color rgb="FF000000"/>
        <sz val="10.0"/>
      </rPr>
      <t>(%)</t>
    </r>
  </si>
  <si>
    <r>
      <rPr>
        <rFont val="Noto Sans CJK SC"/>
        <color rgb="FF7F7F7F"/>
        <sz val="9.0"/>
      </rPr>
      <t xml:space="preserve">없으면 </t>
    </r>
    <r>
      <rPr>
        <rFont val="맑은 고딕"/>
        <color rgb="FF7F7F7F"/>
        <sz val="9.0"/>
      </rPr>
      <t>0</t>
    </r>
  </si>
  <si>
    <r>
      <rPr>
        <rFont val="Noto Sans CJK SC"/>
        <color rgb="FF7F7F7F"/>
        <sz val="9.0"/>
      </rPr>
      <t xml:space="preserve">숫자 </t>
    </r>
    <r>
      <rPr>
        <rFont val="맑은 고딕"/>
        <color rgb="FF7F7F7F"/>
        <sz val="9.0"/>
      </rPr>
      <t>0~100</t>
    </r>
  </si>
  <si>
    <r>
      <rPr>
        <rFont val="맑은 고딕"/>
        <color rgb="FF7F7F7F"/>
        <sz val="9.0"/>
      </rPr>
      <t xml:space="preserve">% </t>
    </r>
    <r>
      <rPr>
        <rFont val="Noto Sans CJK SC"/>
        <color rgb="FF7F7F7F"/>
        <sz val="9.0"/>
      </rPr>
      <t>기호 없이 숫자만</t>
    </r>
  </si>
  <si>
    <r>
      <rPr>
        <rFont val="Noto Sans CJK SC"/>
        <i/>
        <color rgb="FF7F7F7F"/>
        <sz val="8.0"/>
      </rPr>
      <t>출처</t>
    </r>
    <r>
      <rPr>
        <rFont val="맑은 고딕"/>
        <i/>
        <color rgb="FF7F7F7F"/>
        <sz val="8.0"/>
      </rPr>
      <t xml:space="preserve">: </t>
    </r>
    <r>
      <rPr>
        <rFont val="Noto Sans CJK SC"/>
        <i/>
        <color rgb="FF7F7F7F"/>
        <sz val="8.0"/>
      </rPr>
      <t xml:space="preserve">비교과 시스템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창의 </t>
    </r>
    <r>
      <rPr>
        <rFont val="맑은 고딕"/>
        <i/>
        <color rgb="FF7F7F7F"/>
        <sz val="8.0"/>
      </rPr>
      <t xml:space="preserve">/ </t>
    </r>
    <r>
      <rPr>
        <rFont val="Noto Sans CJK SC"/>
        <i/>
        <color rgb="FF7F7F7F"/>
        <sz val="8.0"/>
      </rPr>
      <t xml:space="preserve">종합적사고력 </t>
    </r>
    <r>
      <rPr>
        <rFont val="맑은 고딕"/>
        <i/>
        <color rgb="FF7F7F7F"/>
        <sz val="8.0"/>
      </rPr>
      <t xml:space="preserve">/ </t>
    </r>
    <r>
      <rPr>
        <rFont val="Noto Sans CJK SC"/>
        <i/>
        <color rgb="FF7F7F7F"/>
        <sz val="8.0"/>
      </rPr>
      <t xml:space="preserve">문제해결력 </t>
    </r>
    <r>
      <rPr>
        <rFont val="맑은 고딕"/>
        <i/>
        <color rgb="FF7F7F7F"/>
        <sz val="8.0"/>
      </rPr>
      <t xml:space="preserve">/ </t>
    </r>
    <r>
      <rPr>
        <rFont val="Noto Sans CJK SC"/>
        <i/>
        <color rgb="FF7F7F7F"/>
        <sz val="8.0"/>
      </rPr>
      <t xml:space="preserve">도전정신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수상 등급 </t>
    </r>
    <r>
      <rPr>
        <rFont val="맑은 고딕"/>
        <i/>
        <color rgb="FF7F7F7F"/>
        <sz val="8.0"/>
      </rPr>
      <t xml:space="preserve">× </t>
    </r>
    <r>
      <rPr>
        <rFont val="Noto Sans CJK SC"/>
        <i/>
        <color rgb="FF7F7F7F"/>
        <sz val="8.0"/>
      </rPr>
      <t>주관 수준</t>
    </r>
    <r>
      <rPr>
        <rFont val="맑은 고딕"/>
        <i/>
        <color rgb="FF7F7F7F"/>
        <sz val="8.0"/>
      </rPr>
      <t>(</t>
    </r>
    <r>
      <rPr>
        <rFont val="Noto Sans CJK SC"/>
        <i/>
        <color rgb="FF7F7F7F"/>
        <sz val="8.0"/>
      </rPr>
      <t>교내</t>
    </r>
    <r>
      <rPr>
        <rFont val="맑은 고딕"/>
        <i/>
        <color rgb="FF7F7F7F"/>
        <sz val="8.0"/>
      </rPr>
      <t>·</t>
    </r>
    <r>
      <rPr>
        <rFont val="Noto Sans CJK SC"/>
        <i/>
        <color rgb="FF7F7F7F"/>
        <sz val="8.0"/>
      </rPr>
      <t>전국</t>
    </r>
    <r>
      <rPr>
        <rFont val="맑은 고딕"/>
        <i/>
        <color rgb="FF7F7F7F"/>
        <sz val="8.0"/>
      </rPr>
      <t>·</t>
    </r>
    <r>
      <rPr>
        <rFont val="Noto Sans CJK SC"/>
        <i/>
        <color rgb="FF7F7F7F"/>
        <sz val="8.0"/>
      </rPr>
      <t>국제</t>
    </r>
    <r>
      <rPr>
        <rFont val="맑은 고딕"/>
        <i/>
        <color rgb="FF7F7F7F"/>
        <sz val="8.0"/>
      </rPr>
      <t xml:space="preserve">) </t>
    </r>
    <r>
      <rPr>
        <rFont val="Noto Sans CJK SC"/>
        <i/>
        <color rgb="FF7F7F7F"/>
        <sz val="8.0"/>
      </rPr>
      <t>매핑 필요</t>
    </r>
  </si>
  <si>
    <t>국제어 강의 이수 학점</t>
  </si>
  <si>
    <t>강의 언어</t>
  </si>
  <si>
    <r>
      <rPr>
        <rFont val="Noto Sans CJK SC"/>
        <color rgb="FF7F7F7F"/>
        <sz val="9.0"/>
      </rPr>
      <t>회</t>
    </r>
    <r>
      <rPr>
        <rFont val="맑은 고딕"/>
        <color rgb="FF7F7F7F"/>
        <sz val="9.0"/>
      </rPr>
      <t>/</t>
    </r>
    <r>
      <rPr>
        <rFont val="Noto Sans CJK SC"/>
        <color rgb="FF7F7F7F"/>
        <sz val="9.0"/>
      </rPr>
      <t>주</t>
    </r>
  </si>
  <si>
    <r>
      <rPr>
        <rFont val="Noto Sans CJK SC"/>
        <color rgb="FF7F7F7F"/>
        <sz val="9.0"/>
      </rPr>
      <t>예</t>
    </r>
    <r>
      <rPr>
        <rFont val="맑은 고딕"/>
        <color rgb="FF7F7F7F"/>
        <sz val="9.0"/>
      </rPr>
      <t xml:space="preserve">: </t>
    </r>
    <r>
      <rPr>
        <rFont val="Noto Sans CJK SC"/>
        <color rgb="FF7F7F7F"/>
        <sz val="9.0"/>
      </rPr>
      <t>영어</t>
    </r>
  </si>
  <si>
    <r>
      <rPr>
        <rFont val="Noto Sans CJK SC"/>
        <b/>
        <color rgb="FF000000"/>
        <sz val="10.0"/>
      </rPr>
      <t>퀴즈 풀이 횟수</t>
    </r>
    <r>
      <rPr>
        <rFont val="맑은 고딕"/>
        <b/>
        <color rgb="FF000000"/>
        <sz val="10.0"/>
      </rPr>
      <t>(</t>
    </r>
    <r>
      <rPr>
        <rFont val="Noto Sans CJK SC"/>
        <b/>
        <color rgb="FF000000"/>
        <sz val="10.0"/>
      </rPr>
      <t>누적</t>
    </r>
    <r>
      <rPr>
        <rFont val="맑은 고딕"/>
        <b/>
        <color rgb="FF000000"/>
        <sz val="10.0"/>
      </rPr>
      <t>)</t>
    </r>
  </si>
  <si>
    <r>
      <rPr>
        <rFont val="Noto Sans CJK SC"/>
        <b/>
        <color rgb="FFFFFFFF"/>
        <sz val="11.0"/>
      </rPr>
      <t>■ 디지털</t>
    </r>
    <r>
      <rPr>
        <rFont val="맑은 고딕"/>
        <b/>
        <color rgb="FFFFFFFF"/>
        <sz val="11.0"/>
      </rPr>
      <t>·AI</t>
    </r>
  </si>
  <si>
    <r>
      <rPr>
        <rFont val="맑은 고딕"/>
        <i/>
        <color rgb="FF7F7F7F"/>
        <sz val="8.0"/>
      </rPr>
      <t>[</t>
    </r>
    <r>
      <rPr>
        <rFont val="Noto Sans CJK SC"/>
        <i/>
        <color rgb="FF7F7F7F"/>
        <sz val="8.0"/>
      </rPr>
      <t xml:space="preserve">교내 </t>
    </r>
    <r>
      <rPr>
        <rFont val="맑은 고딕"/>
        <i/>
        <color rgb="FF7F7F7F"/>
        <sz val="8.0"/>
      </rPr>
      <t xml:space="preserve">/ </t>
    </r>
    <r>
      <rPr>
        <rFont val="Noto Sans CJK SC"/>
        <i/>
        <color rgb="FF7F7F7F"/>
        <sz val="8.0"/>
      </rPr>
      <t xml:space="preserve">지역 </t>
    </r>
    <r>
      <rPr>
        <rFont val="맑은 고딕"/>
        <i/>
        <color rgb="FF7F7F7F"/>
        <sz val="8.0"/>
      </rPr>
      <t xml:space="preserve">/ </t>
    </r>
    <r>
      <rPr>
        <rFont val="Noto Sans CJK SC"/>
        <i/>
        <color rgb="FF7F7F7F"/>
        <sz val="8.0"/>
      </rPr>
      <t xml:space="preserve">전국 </t>
    </r>
    <r>
      <rPr>
        <rFont val="맑은 고딕"/>
        <i/>
        <color rgb="FF7F7F7F"/>
        <sz val="8.0"/>
      </rPr>
      <t xml:space="preserve">/ </t>
    </r>
    <r>
      <rPr>
        <rFont val="Noto Sans CJK SC"/>
        <i/>
        <color rgb="FF7F7F7F"/>
        <sz val="8.0"/>
      </rPr>
      <t>국제</t>
    </r>
    <r>
      <rPr>
        <rFont val="맑은 고딕"/>
        <i/>
        <color rgb="FF7F7F7F"/>
        <sz val="8.0"/>
      </rPr>
      <t>]</t>
    </r>
  </si>
  <si>
    <r>
      <rPr>
        <rFont val="Noto Sans CJK SC"/>
        <b/>
        <color rgb="FF000000"/>
        <sz val="10.0"/>
      </rPr>
      <t>학습계획 달성률</t>
    </r>
    <r>
      <rPr>
        <rFont val="맑은 고딕"/>
        <b/>
        <color rgb="FF000000"/>
        <sz val="10.0"/>
      </rPr>
      <t>(%)</t>
    </r>
  </si>
  <si>
    <r>
      <rPr>
        <rFont val="맑은 고딕"/>
        <i/>
        <color rgb="FF7F7F7F"/>
        <sz val="8.0"/>
      </rPr>
      <t>[</t>
    </r>
    <r>
      <rPr>
        <rFont val="Noto Sans CJK SC"/>
        <i/>
        <color rgb="FF7F7F7F"/>
        <sz val="8.0"/>
      </rPr>
      <t xml:space="preserve">참가 </t>
    </r>
    <r>
      <rPr>
        <rFont val="맑은 고딕"/>
        <i/>
        <color rgb="FF7F7F7F"/>
        <sz val="8.0"/>
      </rPr>
      <t xml:space="preserve">/ </t>
    </r>
    <r>
      <rPr>
        <rFont val="Noto Sans CJK SC"/>
        <i/>
        <color rgb="FF7F7F7F"/>
        <sz val="8.0"/>
      </rPr>
      <t xml:space="preserve">입선 </t>
    </r>
    <r>
      <rPr>
        <rFont val="맑은 고딕"/>
        <i/>
        <color rgb="FF7F7F7F"/>
        <sz val="8.0"/>
      </rPr>
      <t xml:space="preserve">/ </t>
    </r>
    <r>
      <rPr>
        <rFont val="Noto Sans CJK SC"/>
        <i/>
        <color rgb="FF7F7F7F"/>
        <sz val="8.0"/>
      </rPr>
      <t xml:space="preserve">장려 </t>
    </r>
    <r>
      <rPr>
        <rFont val="맑은 고딕"/>
        <i/>
        <color rgb="FF7F7F7F"/>
        <sz val="8.0"/>
      </rPr>
      <t xml:space="preserve">/ </t>
    </r>
    <r>
      <rPr>
        <rFont val="Noto Sans CJK SC"/>
        <i/>
        <color rgb="FF7F7F7F"/>
        <sz val="8.0"/>
      </rPr>
      <t xml:space="preserve">우수 </t>
    </r>
    <r>
      <rPr>
        <rFont val="맑은 고딕"/>
        <i/>
        <color rgb="FF7F7F7F"/>
        <sz val="8.0"/>
      </rPr>
      <t xml:space="preserve">/ </t>
    </r>
    <r>
      <rPr>
        <rFont val="Noto Sans CJK SC"/>
        <i/>
        <color rgb="FF7F7F7F"/>
        <sz val="8.0"/>
      </rPr>
      <t xml:space="preserve">최우수 </t>
    </r>
    <r>
      <rPr>
        <rFont val="맑은 고딕"/>
        <i/>
        <color rgb="FF7F7F7F"/>
        <sz val="8.0"/>
      </rPr>
      <t xml:space="preserve">/ </t>
    </r>
    <r>
      <rPr>
        <rFont val="Noto Sans CJK SC"/>
        <i/>
        <color rgb="FF7F7F7F"/>
        <sz val="8.0"/>
      </rPr>
      <t>대상</t>
    </r>
    <r>
      <rPr>
        <rFont val="맑은 고딕"/>
        <i/>
        <color rgb="FF7F7F7F"/>
        <sz val="8.0"/>
      </rPr>
      <t>]</t>
    </r>
  </si>
  <si>
    <r>
      <rPr>
        <rFont val="Noto Sans CJK SC"/>
        <color rgb="FF7F7F7F"/>
        <sz val="9.0"/>
      </rPr>
      <t xml:space="preserve">숫자 </t>
    </r>
    <r>
      <rPr>
        <rFont val="맑은 고딕"/>
        <color rgb="FF7F7F7F"/>
        <sz val="9.0"/>
      </rPr>
      <t>0~100</t>
    </r>
  </si>
  <si>
    <r>
      <rPr>
        <rFont val="맑은 고딕"/>
        <i/>
        <color rgb="FF7F7F7F"/>
        <sz val="8.0"/>
      </rPr>
      <t>[</t>
    </r>
    <r>
      <rPr>
        <rFont val="Noto Sans CJK SC"/>
        <i/>
        <color rgb="FF7F7F7F"/>
        <sz val="8.0"/>
      </rPr>
      <t xml:space="preserve">개인 </t>
    </r>
    <r>
      <rPr>
        <rFont val="맑은 고딕"/>
        <i/>
        <color rgb="FF7F7F7F"/>
        <sz val="8.0"/>
      </rPr>
      <t xml:space="preserve">/ </t>
    </r>
    <r>
      <rPr>
        <rFont val="Noto Sans CJK SC"/>
        <i/>
        <color rgb="FF7F7F7F"/>
        <sz val="8.0"/>
      </rPr>
      <t>팀</t>
    </r>
    <r>
      <rPr>
        <rFont val="맑은 고딕"/>
        <i/>
        <color rgb="FF7F7F7F"/>
        <sz val="8.0"/>
      </rPr>
      <t>]</t>
    </r>
  </si>
  <si>
    <t>교내 데이터분석 경진대회</t>
  </si>
  <si>
    <r>
      <rPr>
        <rFont val="Noto Sans CJK SC"/>
        <b/>
        <color rgb="FF000000"/>
        <sz val="11.0"/>
      </rPr>
      <t>교수면담</t>
    </r>
    <r>
      <rPr>
        <rFont val="맑은 고딕"/>
        <b/>
        <color rgb="FF000000"/>
        <sz val="11.0"/>
      </rPr>
      <t>·</t>
    </r>
    <r>
      <rPr>
        <rFont val="Noto Sans CJK SC"/>
        <b/>
        <color rgb="FF000000"/>
        <sz val="11.0"/>
      </rPr>
      <t>학업상담</t>
    </r>
  </si>
  <si>
    <r>
      <rPr>
        <rFont val="맑은 고딕"/>
        <b/>
        <color rgb="FF000000"/>
        <sz val="11.0"/>
      </rPr>
      <t>AI</t>
    </r>
    <r>
      <rPr>
        <rFont val="Noto Sans CJK SC"/>
        <b/>
        <color rgb="FF000000"/>
        <sz val="11.0"/>
      </rPr>
      <t>교육 이수내역</t>
    </r>
  </si>
  <si>
    <t>최우수</t>
  </si>
  <si>
    <t>팀</t>
  </si>
  <si>
    <r>
      <rPr>
        <rFont val="Noto Sans CJK SC"/>
        <color rgb="FF1F3B8A"/>
        <sz val="10.0"/>
      </rPr>
      <t>팀장</t>
    </r>
    <r>
      <rPr>
        <rFont val="맑은 고딕"/>
        <color rgb="FF1F3B8A"/>
        <sz val="10.0"/>
      </rPr>
      <t>·</t>
    </r>
    <r>
      <rPr>
        <rFont val="Noto Sans CJK SC"/>
        <color rgb="FF1F3B8A"/>
        <sz val="10.0"/>
      </rPr>
      <t>모델링</t>
    </r>
  </si>
  <si>
    <t>2024-11</t>
  </si>
  <si>
    <t>전국 대학생 물류 아이디어 공모전</t>
  </si>
  <si>
    <r>
      <rPr>
        <rFont val="Noto Sans CJK SC"/>
        <color rgb="FF1F3B8A"/>
        <sz val="10.0"/>
      </rPr>
      <t>한국물류학회</t>
    </r>
    <r>
      <rPr>
        <rFont val="맑은 고딕"/>
        <color rgb="FF1F3B8A"/>
        <sz val="10.0"/>
      </rPr>
      <t>(</t>
    </r>
    <r>
      <rPr>
        <rFont val="Noto Sans CJK SC"/>
        <color rgb="FF1F3B8A"/>
        <sz val="10.0"/>
      </rPr>
      <t>가상</t>
    </r>
    <r>
      <rPr>
        <rFont val="맑은 고딕"/>
        <color rgb="FF1F3B8A"/>
        <sz val="10.0"/>
      </rPr>
      <t>)</t>
    </r>
  </si>
  <si>
    <t>전국</t>
  </si>
  <si>
    <t>장려</t>
  </si>
  <si>
    <t>기획</t>
  </si>
  <si>
    <t>2025-10</t>
  </si>
  <si>
    <r>
      <rPr>
        <rFont val="Noto Sans CJK SC"/>
        <i/>
        <color rgb="FF7F7F7F"/>
        <sz val="8.0"/>
      </rPr>
      <t>출처</t>
    </r>
    <r>
      <rPr>
        <rFont val="맑은 고딕"/>
        <i/>
        <color rgb="FF7F7F7F"/>
        <sz val="8.0"/>
      </rPr>
      <t xml:space="preserve">: </t>
    </r>
    <r>
      <rPr>
        <rFont val="Noto Sans CJK SC"/>
        <i/>
        <color rgb="FF7F7F7F"/>
        <sz val="8.0"/>
      </rPr>
      <t xml:space="preserve">상담 기록 시스템 </t>
    </r>
    <r>
      <rPr>
        <rFont val="맑은 고딕"/>
        <i/>
        <color rgb="FF7F7F7F"/>
        <sz val="8.0"/>
      </rPr>
      <t xml:space="preserve">· LMS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성실성</t>
    </r>
    <r>
      <rPr>
        <rFont val="맑은 고딕"/>
        <i/>
        <color rgb="FF7F7F7F"/>
        <sz val="8.0"/>
      </rPr>
      <t>(</t>
    </r>
    <r>
      <rPr>
        <rFont val="Noto Sans CJK SC"/>
        <i/>
        <color rgb="FF7F7F7F"/>
        <sz val="8.0"/>
      </rPr>
      <t>수업참여도</t>
    </r>
    <r>
      <rPr>
        <rFont val="맑은 고딕"/>
        <i/>
        <color rgb="FF7F7F7F"/>
        <sz val="8.0"/>
      </rPr>
      <t xml:space="preserve">) / </t>
    </r>
    <r>
      <rPr>
        <rFont val="Noto Sans CJK SC"/>
        <i/>
        <color rgb="FF7F7F7F"/>
        <sz val="8.0"/>
      </rPr>
      <t xml:space="preserve">소통능력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기존 데이터셋에선 </t>
    </r>
    <r>
      <rPr>
        <rFont val="맑은 고딕"/>
        <i/>
        <color rgb="FF7F7F7F"/>
        <sz val="8.0"/>
      </rPr>
      <t xml:space="preserve">LMS </t>
    </r>
    <r>
      <rPr>
        <rFont val="Noto Sans CJK SC"/>
        <i/>
        <color rgb="FF7F7F7F"/>
        <sz val="8.0"/>
      </rPr>
      <t>항목 안에 섞여 있어 분리</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</si>
  <si>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xml:space="preserve">· </t>
    </r>
    <r>
      <rPr>
        <rFont val="Noto Sans CJK SC"/>
        <i/>
        <color rgb="FF7F7F7F"/>
        <sz val="8.0"/>
      </rPr>
      <t xml:space="preserve">비교과 </t>
    </r>
    <r>
      <rPr>
        <rFont val="맑은 고딕"/>
        <i/>
        <color rgb="FF7F7F7F"/>
        <sz val="8.0"/>
      </rPr>
      <t>· 3</t>
    </r>
    <r>
      <rPr>
        <rFont val="Noto Sans CJK SC"/>
        <i/>
        <color rgb="FF7F7F7F"/>
        <sz val="8.0"/>
      </rPr>
      <t>품</t>
    </r>
    <r>
      <rPr>
        <rFont val="맑은 고딕"/>
        <i/>
        <color rgb="FF7F7F7F"/>
        <sz val="8.0"/>
      </rPr>
      <t xml:space="preserve">(AI)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자원</t>
    </r>
    <r>
      <rPr>
        <rFont val="맑은 고딕"/>
        <i/>
        <color rgb="FF7F7F7F"/>
        <sz val="8.0"/>
      </rPr>
      <t>·</t>
    </r>
    <r>
      <rPr>
        <rFont val="Noto Sans CJK SC"/>
        <i/>
        <color rgb="FF7F7F7F"/>
        <sz val="8.0"/>
      </rPr>
      <t xml:space="preserve">정보기술활용 </t>
    </r>
    <r>
      <rPr>
        <rFont val="맑은 고딕"/>
        <i/>
        <color rgb="FF7F7F7F"/>
        <sz val="8.0"/>
      </rPr>
      <t xml:space="preserve">/ </t>
    </r>
    <r>
      <rPr>
        <rFont val="Noto Sans CJK SC"/>
        <i/>
        <color rgb="FF7F7F7F"/>
        <sz val="8.0"/>
      </rPr>
      <t xml:space="preserve">디지털리터러시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이수 </t>
    </r>
    <r>
      <rPr>
        <rFont val="맑은 고딕"/>
        <i/>
        <color rgb="FF7F7F7F"/>
        <sz val="8.0"/>
      </rPr>
      <t>'</t>
    </r>
    <r>
      <rPr>
        <rFont val="Noto Sans CJK SC"/>
        <i/>
        <color rgb="FF7F7F7F"/>
        <sz val="8.0"/>
      </rPr>
      <t>시간</t>
    </r>
    <r>
      <rPr>
        <rFont val="맑은 고딕"/>
        <i/>
        <color rgb="FF7F7F7F"/>
        <sz val="8.0"/>
      </rPr>
      <t>'</t>
    </r>
    <r>
      <rPr>
        <rFont val="Noto Sans CJK SC"/>
        <i/>
        <color rgb="FF7F7F7F"/>
        <sz val="8.0"/>
      </rPr>
      <t>까지 받으면 정량화 쉬워짐</t>
    </r>
  </si>
  <si>
    <r>
      <rPr>
        <rFont val="Noto Sans CJK SC"/>
        <color rgb="FF1F3B8A"/>
        <sz val="10.0"/>
      </rPr>
      <t>입학</t>
    </r>
    <r>
      <rPr>
        <rFont val="맑은 고딕"/>
        <color rgb="FF1F3B8A"/>
        <sz val="10.0"/>
      </rPr>
      <t>~2026-1</t>
    </r>
  </si>
  <si>
    <r>
      <rPr>
        <rFont val="Noto Sans CJK SC"/>
        <color rgb="FF7F7F7F"/>
        <sz val="9.0"/>
      </rPr>
      <t>예</t>
    </r>
    <r>
      <rPr>
        <rFont val="맑은 고딕"/>
        <color rgb="FF7F7F7F"/>
        <sz val="9.0"/>
      </rPr>
      <t xml:space="preserve">: </t>
    </r>
    <r>
      <rPr>
        <rFont val="Noto Sans CJK SC"/>
        <color rgb="FF7F7F7F"/>
        <sz val="9.0"/>
      </rPr>
      <t>입학</t>
    </r>
    <r>
      <rPr>
        <rFont val="맑은 고딕"/>
        <color rgb="FF7F7F7F"/>
        <sz val="9.0"/>
      </rPr>
      <t>~2026-1</t>
    </r>
  </si>
  <si>
    <t>교육명</t>
  </si>
  <si>
    <r>
      <rPr>
        <rFont val="Noto Sans CJK SC"/>
        <b/>
        <color rgb="FF000000"/>
        <sz val="10.0"/>
      </rPr>
      <t>교수 면담 횟수</t>
    </r>
    <r>
      <rPr>
        <rFont val="맑은 고딕"/>
        <b/>
        <color rgb="FF000000"/>
        <sz val="10.0"/>
      </rPr>
      <t>(</t>
    </r>
    <r>
      <rPr>
        <rFont val="Noto Sans CJK SC"/>
        <b/>
        <color rgb="FF000000"/>
        <sz val="10.0"/>
      </rPr>
      <t>누적</t>
    </r>
    <r>
      <rPr>
        <rFont val="맑은 고딕"/>
        <b/>
        <color rgb="FF000000"/>
        <sz val="10.0"/>
      </rPr>
      <t>)</t>
    </r>
  </si>
  <si>
    <r>
      <rPr>
        <rFont val="Noto Sans CJK SC"/>
        <b/>
        <color rgb="FF000000"/>
        <sz val="9.0"/>
      </rPr>
      <t>이수 시간</t>
    </r>
    <r>
      <rPr>
        <rFont val="맑은 고딕"/>
        <b/>
        <color rgb="FF000000"/>
        <sz val="9.0"/>
      </rPr>
      <t>(h)</t>
    </r>
  </si>
  <si>
    <t>이수 연월</t>
  </si>
  <si>
    <t>이수 여부</t>
  </si>
  <si>
    <r>
      <rPr>
        <rFont val="맑은 고딕"/>
        <i/>
        <color rgb="FF7F7F7F"/>
        <sz val="8.0"/>
      </rPr>
      <t>[</t>
    </r>
    <r>
      <rPr>
        <rFont val="Noto Sans CJK SC"/>
        <i/>
        <color rgb="FF7F7F7F"/>
        <sz val="8.0"/>
      </rPr>
      <t xml:space="preserve">교과 </t>
    </r>
    <r>
      <rPr>
        <rFont val="맑은 고딕"/>
        <i/>
        <color rgb="FF7F7F7F"/>
        <sz val="8.0"/>
      </rPr>
      <t xml:space="preserve">/ </t>
    </r>
    <r>
      <rPr>
        <rFont val="Noto Sans CJK SC"/>
        <i/>
        <color rgb="FF7F7F7F"/>
        <sz val="8.0"/>
      </rPr>
      <t xml:space="preserve">비교과 </t>
    </r>
    <r>
      <rPr>
        <rFont val="맑은 고딕"/>
        <i/>
        <color rgb="FF7F7F7F"/>
        <sz val="8.0"/>
      </rPr>
      <t>/ 3</t>
    </r>
    <r>
      <rPr>
        <rFont val="Noto Sans CJK SC"/>
        <i/>
        <color rgb="FF7F7F7F"/>
        <sz val="8.0"/>
      </rPr>
      <t>품</t>
    </r>
    <r>
      <rPr>
        <rFont val="맑은 고딕"/>
        <i/>
        <color rgb="FF7F7F7F"/>
        <sz val="8.0"/>
      </rPr>
      <t>(AI)]</t>
    </r>
  </si>
  <si>
    <r>
      <rPr>
        <rFont val="Noto Sans CJK SC"/>
        <b/>
        <color rgb="FF000000"/>
        <sz val="10.0"/>
      </rPr>
      <t>학업상담 횟수</t>
    </r>
    <r>
      <rPr>
        <rFont val="맑은 고딕"/>
        <b/>
        <color rgb="FF000000"/>
        <sz val="10.0"/>
      </rPr>
      <t>(</t>
    </r>
    <r>
      <rPr>
        <rFont val="Noto Sans CJK SC"/>
        <b/>
        <color rgb="FF000000"/>
        <sz val="10.0"/>
      </rPr>
      <t>누적</t>
    </r>
    <r>
      <rPr>
        <rFont val="맑은 고딕"/>
        <b/>
        <color rgb="FF000000"/>
        <sz val="10.0"/>
      </rPr>
      <t>)</t>
    </r>
  </si>
  <si>
    <r>
      <rPr>
        <rFont val="맑은 고딕"/>
        <i/>
        <color rgb="FF7F7F7F"/>
        <sz val="8.0"/>
      </rPr>
      <t>[</t>
    </r>
    <r>
      <rPr>
        <rFont val="Noto Sans CJK SC"/>
        <i/>
        <color rgb="FF7F7F7F"/>
        <sz val="8.0"/>
      </rPr>
      <t xml:space="preserve">이수 </t>
    </r>
    <r>
      <rPr>
        <rFont val="맑은 고딕"/>
        <i/>
        <color rgb="FF7F7F7F"/>
        <sz val="8.0"/>
      </rPr>
      <t xml:space="preserve">/ </t>
    </r>
    <r>
      <rPr>
        <rFont val="Noto Sans CJK SC"/>
        <i/>
        <color rgb="FF7F7F7F"/>
        <sz val="8.0"/>
      </rPr>
      <t xml:space="preserve">수강중 </t>
    </r>
    <r>
      <rPr>
        <rFont val="맑은 고딕"/>
        <i/>
        <color rgb="FF7F7F7F"/>
        <sz val="8.0"/>
      </rPr>
      <t xml:space="preserve">/ </t>
    </r>
    <r>
      <rPr>
        <rFont val="Noto Sans CJK SC"/>
        <i/>
        <color rgb="FF7F7F7F"/>
        <sz val="8.0"/>
      </rPr>
      <t>미이수</t>
    </r>
    <r>
      <rPr>
        <rFont val="맑은 고딕"/>
        <i/>
        <color rgb="FF7F7F7F"/>
        <sz val="8.0"/>
      </rPr>
      <t>]</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</si>
  <si>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xml:space="preserve">· </t>
    </r>
    <r>
      <rPr>
        <rFont val="Noto Sans CJK SC"/>
        <i/>
        <color rgb="FF7F7F7F"/>
        <sz val="8.0"/>
      </rPr>
      <t xml:space="preserve">창업지원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창의 </t>
    </r>
    <r>
      <rPr>
        <rFont val="맑은 고딕"/>
        <i/>
        <color rgb="FF7F7F7F"/>
        <sz val="8.0"/>
      </rPr>
      <t xml:space="preserve">/ </t>
    </r>
    <r>
      <rPr>
        <rFont val="Noto Sans CJK SC"/>
        <i/>
        <color rgb="FF7F7F7F"/>
        <sz val="8.0"/>
      </rPr>
      <t>도전정신</t>
    </r>
  </si>
  <si>
    <t>대학원 진학 상담</t>
  </si>
  <si>
    <r>
      <rPr>
        <rFont val="Noto Sans CJK SC"/>
        <color rgb="FF000000"/>
        <sz val="9.0"/>
      </rPr>
      <t>자격</t>
    </r>
    <r>
      <rPr>
        <rFont val="맑은 고딕"/>
        <color rgb="FF000000"/>
        <sz val="9.0"/>
      </rPr>
      <t>·</t>
    </r>
    <r>
      <rPr>
        <rFont val="Noto Sans CJK SC"/>
        <color rgb="FF000000"/>
        <sz val="9.0"/>
      </rPr>
      <t>인증</t>
    </r>
  </si>
  <si>
    <r>
      <rPr>
        <rFont val="Noto Sans CJK SC"/>
        <color rgb="FF000000"/>
        <sz val="9.0"/>
      </rPr>
      <t>전문직</t>
    </r>
    <r>
      <rPr>
        <rFont val="맑은 고딕"/>
        <color rgb="FF000000"/>
        <sz val="9.0"/>
      </rPr>
      <t>·</t>
    </r>
    <r>
      <rPr>
        <rFont val="Noto Sans CJK SC"/>
        <color rgb="FF000000"/>
        <sz val="9.0"/>
      </rPr>
      <t>공직 시험</t>
    </r>
  </si>
  <si>
    <r>
      <rPr>
        <rFont val="맑은 고딕"/>
        <color rgb="FF000000"/>
        <sz val="9.0"/>
      </rPr>
      <t xml:space="preserve">SKKU </t>
    </r>
    <r>
      <rPr>
        <rFont val="Noto Sans CJK SC"/>
        <color rgb="FF000000"/>
        <sz val="9.0"/>
      </rPr>
      <t>확보가능</t>
    </r>
  </si>
  <si>
    <r>
      <rPr>
        <rFont val="Noto Sans CJK SC"/>
        <b/>
        <color rgb="FF000000"/>
        <sz val="11.0"/>
      </rPr>
      <t>토론</t>
    </r>
    <r>
      <rPr>
        <rFont val="맑은 고딕"/>
        <b/>
        <color rgb="FF000000"/>
        <sz val="11.0"/>
      </rPr>
      <t>·</t>
    </r>
    <r>
      <rPr>
        <rFont val="Noto Sans CJK SC"/>
        <b/>
        <color rgb="FF000000"/>
        <sz val="11.0"/>
      </rPr>
      <t>게시판 참여</t>
    </r>
  </si>
  <si>
    <r>
      <rPr>
        <rFont val="Noto Sans CJK SC"/>
        <b/>
        <color rgb="FF000000"/>
        <sz val="9.0"/>
      </rPr>
      <t>명칭</t>
    </r>
    <r>
      <rPr>
        <rFont val="맑은 고딕"/>
        <b/>
        <color rgb="FF000000"/>
        <sz val="9.0"/>
      </rPr>
      <t>·</t>
    </r>
    <r>
      <rPr>
        <rFont val="Noto Sans CJK SC"/>
        <b/>
        <color rgb="FF000000"/>
        <sz val="9.0"/>
      </rPr>
      <t>내용</t>
    </r>
  </si>
  <si>
    <r>
      <rPr>
        <rFont val="맑은 고딕"/>
        <i/>
        <color rgb="FF7F7F7F"/>
        <sz val="8.0"/>
      </rPr>
      <t>[</t>
    </r>
    <r>
      <rPr>
        <rFont val="Noto Sans CJK SC"/>
        <i/>
        <color rgb="FF7F7F7F"/>
        <sz val="8.0"/>
      </rPr>
      <t xml:space="preserve">창업교과목 </t>
    </r>
    <r>
      <rPr>
        <rFont val="맑은 고딕"/>
        <i/>
        <color rgb="FF7F7F7F"/>
        <sz val="8.0"/>
      </rPr>
      <t xml:space="preserve">/ </t>
    </r>
    <r>
      <rPr>
        <rFont val="Noto Sans CJK SC"/>
        <i/>
        <color rgb="FF7F7F7F"/>
        <sz val="8.0"/>
      </rPr>
      <t xml:space="preserve">창업경진대회 </t>
    </r>
    <r>
      <rPr>
        <rFont val="맑은 고딕"/>
        <i/>
        <color rgb="FF7F7F7F"/>
        <sz val="8.0"/>
      </rPr>
      <t xml:space="preserve">/ </t>
    </r>
    <r>
      <rPr>
        <rFont val="Noto Sans CJK SC"/>
        <i/>
        <color rgb="FF7F7F7F"/>
        <sz val="8.0"/>
      </rPr>
      <t xml:space="preserve">사업자등록 </t>
    </r>
    <r>
      <rPr>
        <rFont val="맑은 고딕"/>
        <i/>
        <color rgb="FF7F7F7F"/>
        <sz val="8.0"/>
      </rPr>
      <t xml:space="preserve">/ </t>
    </r>
    <r>
      <rPr>
        <rFont val="Noto Sans CJK SC"/>
        <i/>
        <color rgb="FF7F7F7F"/>
        <sz val="8.0"/>
      </rPr>
      <t>창업동아리</t>
    </r>
    <r>
      <rPr>
        <rFont val="맑은 고딕"/>
        <i/>
        <color rgb="FF7F7F7F"/>
        <sz val="8.0"/>
      </rPr>
      <t>]</t>
    </r>
  </si>
  <si>
    <t>창업교과목</t>
  </si>
  <si>
    <t>기술창업입문</t>
  </si>
  <si>
    <r>
      <rPr>
        <rFont val="맑은 고딕"/>
        <b/>
        <color rgb="FF000000"/>
        <sz val="11.0"/>
      </rPr>
      <t xml:space="preserve">AI </t>
    </r>
    <r>
      <rPr>
        <rFont val="Noto Sans CJK SC"/>
        <b/>
        <color rgb="FF000000"/>
        <sz val="11.0"/>
      </rPr>
      <t>프로젝트</t>
    </r>
    <r>
      <rPr>
        <rFont val="맑은 고딕"/>
        <b/>
        <color rgb="FF000000"/>
        <sz val="11.0"/>
      </rPr>
      <t>·</t>
    </r>
    <r>
      <rPr>
        <rFont val="Noto Sans CJK SC"/>
        <b/>
        <color rgb="FF000000"/>
        <sz val="11.0"/>
      </rPr>
      <t>대회</t>
    </r>
  </si>
  <si>
    <r>
      <rPr>
        <rFont val="Noto Sans CJK SC"/>
        <color rgb="FF1F3B8A"/>
        <sz val="10.0"/>
      </rPr>
      <t>이수</t>
    </r>
    <r>
      <rPr>
        <rFont val="맑은 고딕"/>
        <color rgb="FF1F3B8A"/>
        <sz val="10.0"/>
      </rPr>
      <t>(A0)</t>
    </r>
  </si>
  <si>
    <t>2025-06</t>
  </si>
  <si>
    <r>
      <rPr>
        <rFont val="Noto Sans CJK SC"/>
        <b/>
        <color rgb="FF000000"/>
        <sz val="11.0"/>
      </rPr>
      <t>특허출원</t>
    </r>
    <r>
      <rPr>
        <rFont val="맑은 고딕"/>
        <b/>
        <color rgb="FF000000"/>
        <sz val="11.0"/>
      </rPr>
      <t xml:space="preserve">·SW </t>
    </r>
    <r>
      <rPr>
        <rFont val="Noto Sans CJK SC"/>
        <b/>
        <color rgb="FF000000"/>
        <sz val="11.0"/>
      </rPr>
      <t>등록</t>
    </r>
  </si>
  <si>
    <r>
      <rPr>
        <rFont val="Noto Sans CJK SC"/>
        <color rgb="FF000000"/>
        <sz val="9.0"/>
      </rPr>
      <t>자격</t>
    </r>
    <r>
      <rPr>
        <rFont val="맑은 고딕"/>
        <color rgb="FF000000"/>
        <sz val="9.0"/>
      </rPr>
      <t>·</t>
    </r>
    <r>
      <rPr>
        <rFont val="Noto Sans CJK SC"/>
        <color rgb="FF000000"/>
        <sz val="9.0"/>
      </rPr>
      <t>인증</t>
    </r>
  </si>
  <si>
    <r>
      <rPr>
        <rFont val="맑은 고딕"/>
        <color rgb="FF000000"/>
        <sz val="9.0"/>
      </rPr>
      <t>3</t>
    </r>
    <r>
      <rPr>
        <rFont val="Noto Sans CJK SC"/>
        <color rgb="FF000000"/>
        <sz val="9.0"/>
      </rPr>
      <t>품인증 취득현황</t>
    </r>
  </si>
  <si>
    <r>
      <rPr>
        <rFont val="맑은 고딕"/>
        <color rgb="FF000000"/>
        <sz val="9.0"/>
      </rPr>
      <t xml:space="preserve">SKKU </t>
    </r>
    <r>
      <rPr>
        <rFont val="Noto Sans CJK SC"/>
        <color rgb="FF000000"/>
        <sz val="9.0"/>
      </rPr>
      <t>확보가능</t>
    </r>
  </si>
  <si>
    <r>
      <rPr>
        <rFont val="Noto Sans CJK SC"/>
        <i/>
        <color rgb="FF7F7F7F"/>
        <sz val="8.0"/>
      </rPr>
      <t>출처</t>
    </r>
    <r>
      <rPr>
        <rFont val="맑은 고딕"/>
        <i/>
        <color rgb="FF7F7F7F"/>
        <sz val="8.0"/>
      </rPr>
      <t xml:space="preserve">: LMS(i-Campus)   |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소통능력 </t>
    </r>
    <r>
      <rPr>
        <rFont val="맑은 고딕"/>
        <i/>
        <color rgb="FF7F7F7F"/>
        <sz val="8.0"/>
      </rPr>
      <t xml:space="preserve">/ </t>
    </r>
    <r>
      <rPr>
        <rFont val="Noto Sans CJK SC"/>
        <i/>
        <color rgb="FF7F7F7F"/>
        <sz val="8.0"/>
      </rPr>
      <t xml:space="preserve">수업참여도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교수 관심 </t>
    </r>
    <r>
      <rPr>
        <rFont val="맑은 고딕"/>
        <i/>
        <color rgb="FF7F7F7F"/>
        <sz val="8.0"/>
      </rPr>
      <t>'</t>
    </r>
    <r>
      <rPr>
        <rFont val="Noto Sans CJK SC"/>
        <i/>
        <color rgb="FF7F7F7F"/>
        <sz val="8.0"/>
      </rPr>
      <t>소통능력</t>
    </r>
    <r>
      <rPr>
        <rFont val="맑은 고딕"/>
        <i/>
        <color rgb="FF7F7F7F"/>
        <sz val="8.0"/>
      </rPr>
      <t>'</t>
    </r>
    <r>
      <rPr>
        <rFont val="Noto Sans CJK SC"/>
        <i/>
        <color rgb="FF7F7F7F"/>
        <sz val="8.0"/>
      </rPr>
      <t>의 정량 근거 보강</t>
    </r>
  </si>
  <si>
    <r>
      <rPr>
        <rFont val="Noto Sans CJK SC"/>
        <i/>
        <color rgb="FF7F7F7F"/>
        <sz val="8.0"/>
      </rPr>
      <t>출처</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 xml:space="preserve">) </t>
    </r>
    <r>
      <rPr>
        <rFont val="Noto Sans CJK SC"/>
        <i/>
        <color rgb="FF7F7F7F"/>
        <sz val="8.0"/>
      </rPr>
      <t xml:space="preserve">인증 </t>
    </r>
    <r>
      <rPr>
        <rFont val="맑은 고딕"/>
        <i/>
        <color rgb="FF7F7F7F"/>
        <sz val="8.0"/>
      </rPr>
      <t xml:space="preserve">· </t>
    </r>
    <r>
      <rPr>
        <rFont val="Noto Sans CJK SC"/>
        <i/>
        <color rgb="FF7F7F7F"/>
        <sz val="8.0"/>
      </rPr>
      <t xml:space="preserve">학생 등록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창의 </t>
    </r>
    <r>
      <rPr>
        <rFont val="맑은 고딕"/>
        <i/>
        <color rgb="FF7F7F7F"/>
        <sz val="8.0"/>
      </rPr>
      <t xml:space="preserve">/ </t>
    </r>
    <r>
      <rPr>
        <rFont val="Noto Sans CJK SC"/>
        <i/>
        <color rgb="FF7F7F7F"/>
        <sz val="8.0"/>
      </rPr>
      <t xml:space="preserve">도전정신 </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기존 데이터셋에 없는 신규 근거</t>
    </r>
  </si>
  <si>
    <r>
      <rPr>
        <rFont val="맑은 고딕"/>
        <color rgb="FF1F3B8A"/>
        <sz val="10.0"/>
      </rPr>
      <t>2026-1</t>
    </r>
    <r>
      <rPr>
        <rFont val="Noto Sans CJK SC"/>
        <color rgb="FF1F3B8A"/>
        <sz val="10.0"/>
      </rPr>
      <t>학기</t>
    </r>
  </si>
  <si>
    <r>
      <rPr>
        <rFont val="Noto Sans CJK SC"/>
        <color rgb="FF7F7F7F"/>
        <sz val="9.0"/>
      </rPr>
      <t>예</t>
    </r>
    <r>
      <rPr>
        <rFont val="맑은 고딕"/>
        <color rgb="FF7F7F7F"/>
        <sz val="9.0"/>
      </rPr>
      <t>: 2026-1</t>
    </r>
    <r>
      <rPr>
        <rFont val="Noto Sans CJK SC"/>
        <color rgb="FF7F7F7F"/>
        <sz val="9.0"/>
      </rPr>
      <t>학기</t>
    </r>
  </si>
  <si>
    <r>
      <rPr>
        <rFont val="Noto Sans CJK SC"/>
        <b/>
        <color rgb="FF000000"/>
        <sz val="9.0"/>
      </rPr>
      <t>출원</t>
    </r>
    <r>
      <rPr>
        <rFont val="맑은 고딕"/>
        <b/>
        <color rgb="FF000000"/>
        <sz val="9.0"/>
      </rPr>
      <t>·</t>
    </r>
    <r>
      <rPr>
        <rFont val="Noto Sans CJK SC"/>
        <b/>
        <color rgb="FF000000"/>
        <sz val="9.0"/>
      </rPr>
      <t>등록번호</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</si>
  <si>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3</t>
    </r>
    <r>
      <rPr>
        <rFont val="Noto Sans CJK SC"/>
        <i/>
        <color rgb="FF7F7F7F"/>
        <sz val="8.0"/>
      </rPr>
      <t>품</t>
    </r>
    <r>
      <rPr>
        <rFont val="맑은 고딕"/>
        <i/>
        <color rgb="FF7F7F7F"/>
        <sz val="8.0"/>
      </rPr>
      <t xml:space="preserve">(AI)   |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디지털리터러시</t>
    </r>
    <r>
      <rPr>
        <rFont val="맑은 고딕"/>
        <i/>
        <color rgb="FF7F7F7F"/>
        <sz val="8.0"/>
      </rPr>
      <t xml:space="preserve">(AI </t>
    </r>
    <r>
      <rPr>
        <rFont val="Noto Sans CJK SC"/>
        <i/>
        <color rgb="FF7F7F7F"/>
        <sz val="8.0"/>
      </rPr>
      <t>활용</t>
    </r>
    <r>
      <rPr>
        <rFont val="맑은 고딕"/>
        <i/>
        <color rgb="FF7F7F7F"/>
        <sz val="8.0"/>
      </rPr>
      <t xml:space="preserve">) / </t>
    </r>
    <r>
      <rPr>
        <rFont val="Noto Sans CJK SC"/>
        <i/>
        <color rgb="FF7F7F7F"/>
        <sz val="8.0"/>
      </rPr>
      <t xml:space="preserve">문제해결력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공모전 항목과 중복 가산되지 않게 분리</t>
    </r>
  </si>
  <si>
    <r>
      <rPr>
        <rFont val="맑은 고딕"/>
        <i/>
        <color rgb="FF7F7F7F"/>
        <sz val="8.0"/>
      </rPr>
      <t>[</t>
    </r>
    <r>
      <rPr>
        <rFont val="Noto Sans CJK SC"/>
        <i/>
        <color rgb="FF7F7F7F"/>
        <sz val="8.0"/>
      </rPr>
      <t xml:space="preserve">특허 </t>
    </r>
    <r>
      <rPr>
        <rFont val="맑은 고딕"/>
        <i/>
        <color rgb="FF7F7F7F"/>
        <sz val="8.0"/>
      </rPr>
      <t xml:space="preserve">/ </t>
    </r>
    <r>
      <rPr>
        <rFont val="Noto Sans CJK SC"/>
        <i/>
        <color rgb="FF7F7F7F"/>
        <sz val="8.0"/>
      </rPr>
      <t xml:space="preserve">실용신안 </t>
    </r>
    <r>
      <rPr>
        <rFont val="맑은 고딕"/>
        <i/>
        <color rgb="FF7F7F7F"/>
        <sz val="8.0"/>
      </rPr>
      <t xml:space="preserve">/ </t>
    </r>
    <r>
      <rPr>
        <rFont val="Noto Sans CJK SC"/>
        <i/>
        <color rgb="FF7F7F7F"/>
        <sz val="8.0"/>
      </rPr>
      <t xml:space="preserve">디자인 </t>
    </r>
    <r>
      <rPr>
        <rFont val="맑은 고딕"/>
        <i/>
        <color rgb="FF7F7F7F"/>
        <sz val="8.0"/>
      </rPr>
      <t>/ SW</t>
    </r>
    <r>
      <rPr>
        <rFont val="Noto Sans CJK SC"/>
        <i/>
        <color rgb="FF7F7F7F"/>
        <sz val="8.0"/>
      </rPr>
      <t>등록</t>
    </r>
    <r>
      <rPr>
        <rFont val="맑은 고딕"/>
        <i/>
        <color rgb="FF7F7F7F"/>
        <sz val="8.0"/>
      </rPr>
      <t>]</t>
    </r>
  </si>
  <si>
    <r>
      <rPr>
        <rFont val="맑은 고딕"/>
        <i/>
        <color rgb="FF7F7F7F"/>
        <sz val="8.0"/>
      </rPr>
      <t>[</t>
    </r>
    <r>
      <rPr>
        <rFont val="Noto Sans CJK SC"/>
        <i/>
        <color rgb="FF7F7F7F"/>
        <sz val="8.0"/>
      </rPr>
      <t xml:space="preserve">출원 </t>
    </r>
    <r>
      <rPr>
        <rFont val="맑은 고딕"/>
        <i/>
        <color rgb="FF7F7F7F"/>
        <sz val="8.0"/>
      </rPr>
      <t xml:space="preserve">/ </t>
    </r>
    <r>
      <rPr>
        <rFont val="Noto Sans CJK SC"/>
        <i/>
        <color rgb="FF7F7F7F"/>
        <sz val="8.0"/>
      </rPr>
      <t>등록</t>
    </r>
    <r>
      <rPr>
        <rFont val="맑은 고딕"/>
        <i/>
        <color rgb="FF7F7F7F"/>
        <sz val="8.0"/>
      </rPr>
      <t>]</t>
    </r>
  </si>
  <si>
    <r>
      <rPr>
        <rFont val="Noto Sans CJK SC"/>
        <b/>
        <color rgb="FFFFFFFF"/>
        <sz val="11.0"/>
      </rPr>
      <t>■ 연구</t>
    </r>
    <r>
      <rPr>
        <rFont val="맑은 고딕"/>
        <b/>
        <color rgb="FFFFFFFF"/>
        <sz val="11.0"/>
      </rPr>
      <t>·</t>
    </r>
    <r>
      <rPr>
        <rFont val="Noto Sans CJK SC"/>
        <b/>
        <color rgb="FFFFFFFF"/>
        <sz val="11.0"/>
      </rPr>
      <t>학술</t>
    </r>
  </si>
  <si>
    <r>
      <rPr>
        <rFont val="Noto Sans CJK SC"/>
        <b/>
        <color rgb="FF000000"/>
        <sz val="9.0"/>
      </rPr>
      <t>결과</t>
    </r>
    <r>
      <rPr>
        <rFont val="맑은 고딕"/>
        <b/>
        <color rgb="FF000000"/>
        <sz val="9.0"/>
      </rPr>
      <t>·</t>
    </r>
    <r>
      <rPr>
        <rFont val="Noto Sans CJK SC"/>
        <b/>
        <color rgb="FF000000"/>
        <sz val="9.0"/>
      </rPr>
      <t>산출물</t>
    </r>
  </si>
  <si>
    <r>
      <rPr>
        <rFont val="맑은 고딕"/>
        <i/>
        <color rgb="FF7F7F7F"/>
        <sz val="8.0"/>
      </rPr>
      <t>[</t>
    </r>
    <r>
      <rPr>
        <rFont val="Noto Sans CJK SC"/>
        <i/>
        <color rgb="FF7F7F7F"/>
        <sz val="8.0"/>
      </rPr>
      <t xml:space="preserve">단독 </t>
    </r>
    <r>
      <rPr>
        <rFont val="맑은 고딕"/>
        <i/>
        <color rgb="FF7F7F7F"/>
        <sz val="8.0"/>
      </rPr>
      <t xml:space="preserve">/ </t>
    </r>
    <r>
      <rPr>
        <rFont val="Noto Sans CJK SC"/>
        <i/>
        <color rgb="FF7F7F7F"/>
        <sz val="8.0"/>
      </rPr>
      <t>공동</t>
    </r>
    <r>
      <rPr>
        <rFont val="맑은 고딕"/>
        <i/>
        <color rgb="FF7F7F7F"/>
        <sz val="8.0"/>
      </rPr>
      <t>]</t>
    </r>
  </si>
  <si>
    <r>
      <rPr>
        <rFont val="Noto Sans CJK SC"/>
        <b/>
        <color rgb="FF000000"/>
        <sz val="11.0"/>
      </rPr>
      <t>학회</t>
    </r>
    <r>
      <rPr>
        <rFont val="맑은 고딕"/>
        <b/>
        <color rgb="FF000000"/>
        <sz val="11.0"/>
      </rPr>
      <t>·</t>
    </r>
    <r>
      <rPr>
        <rFont val="Noto Sans CJK SC"/>
        <b/>
        <color rgb="FF000000"/>
        <sz val="11.0"/>
      </rPr>
      <t>연구활동</t>
    </r>
  </si>
  <si>
    <r>
      <rPr>
        <rFont val="맑은 고딕"/>
        <color rgb="FF1F3B8A"/>
        <sz val="10.0"/>
      </rPr>
      <t>SW</t>
    </r>
    <r>
      <rPr>
        <rFont val="Noto Sans CJK SC"/>
        <color rgb="FF1F3B8A"/>
        <sz val="10.0"/>
      </rPr>
      <t>등록</t>
    </r>
  </si>
  <si>
    <r>
      <rPr>
        <rFont val="맑은 고딕"/>
        <i/>
        <color rgb="FF7F7F7F"/>
        <sz val="8.0"/>
      </rPr>
      <t>[AI</t>
    </r>
    <r>
      <rPr>
        <rFont val="Noto Sans CJK SC"/>
        <i/>
        <color rgb="FF7F7F7F"/>
        <sz val="8.0"/>
      </rPr>
      <t xml:space="preserve">캡스톤 </t>
    </r>
    <r>
      <rPr>
        <rFont val="맑은 고딕"/>
        <i/>
        <color rgb="FF7F7F7F"/>
        <sz val="8.0"/>
      </rPr>
      <t>/ AI</t>
    </r>
    <r>
      <rPr>
        <rFont val="Noto Sans CJK SC"/>
        <i/>
        <color rgb="FF7F7F7F"/>
        <sz val="8.0"/>
      </rPr>
      <t xml:space="preserve">대회 </t>
    </r>
    <r>
      <rPr>
        <rFont val="맑은 고딕"/>
        <i/>
        <color rgb="FF7F7F7F"/>
        <sz val="8.0"/>
      </rPr>
      <t>/ AI</t>
    </r>
    <r>
      <rPr>
        <rFont val="Noto Sans CJK SC"/>
        <i/>
        <color rgb="FF7F7F7F"/>
        <sz val="8.0"/>
      </rPr>
      <t xml:space="preserve">공모전 </t>
    </r>
    <r>
      <rPr>
        <rFont val="맑은 고딕"/>
        <i/>
        <color rgb="FF7F7F7F"/>
        <sz val="8.0"/>
      </rPr>
      <t>/ AI</t>
    </r>
    <r>
      <rPr>
        <rFont val="Noto Sans CJK SC"/>
        <i/>
        <color rgb="FF7F7F7F"/>
        <sz val="8.0"/>
      </rPr>
      <t>프로젝트</t>
    </r>
    <r>
      <rPr>
        <rFont val="맑은 고딕"/>
        <i/>
        <color rgb="FF7F7F7F"/>
        <sz val="8.0"/>
      </rPr>
      <t>]</t>
    </r>
  </si>
  <si>
    <t>창고 피킹 경로 최적화 프로그램</t>
  </si>
  <si>
    <r>
      <rPr>
        <rFont val="맑은 고딕"/>
        <i/>
        <color rgb="FF7F7F7F"/>
        <sz val="8.0"/>
      </rPr>
      <t>[</t>
    </r>
    <r>
      <rPr>
        <rFont val="Noto Sans CJK SC"/>
        <i/>
        <color rgb="FF7F7F7F"/>
        <sz val="8.0"/>
      </rPr>
      <t xml:space="preserve">교내 </t>
    </r>
    <r>
      <rPr>
        <rFont val="맑은 고딕"/>
        <i/>
        <color rgb="FF7F7F7F"/>
        <sz val="8.0"/>
      </rPr>
      <t xml:space="preserve">/ </t>
    </r>
    <r>
      <rPr>
        <rFont val="Noto Sans CJK SC"/>
        <i/>
        <color rgb="FF7F7F7F"/>
        <sz val="8.0"/>
      </rPr>
      <t xml:space="preserve">지역 </t>
    </r>
    <r>
      <rPr>
        <rFont val="맑은 고딕"/>
        <i/>
        <color rgb="FF7F7F7F"/>
        <sz val="8.0"/>
      </rPr>
      <t xml:space="preserve">/ </t>
    </r>
    <r>
      <rPr>
        <rFont val="Noto Sans CJK SC"/>
        <i/>
        <color rgb="FF7F7F7F"/>
        <sz val="8.0"/>
      </rPr>
      <t xml:space="preserve">전국 </t>
    </r>
    <r>
      <rPr>
        <rFont val="맑은 고딕"/>
        <i/>
        <color rgb="FF7F7F7F"/>
        <sz val="8.0"/>
      </rPr>
      <t xml:space="preserve">/ </t>
    </r>
    <r>
      <rPr>
        <rFont val="Noto Sans CJK SC"/>
        <i/>
        <color rgb="FF7F7F7F"/>
        <sz val="8.0"/>
      </rPr>
      <t>국제</t>
    </r>
    <r>
      <rPr>
        <rFont val="맑은 고딕"/>
        <i/>
        <color rgb="FF7F7F7F"/>
        <sz val="8.0"/>
      </rPr>
      <t>]</t>
    </r>
  </si>
  <si>
    <t>등록</t>
  </si>
  <si>
    <r>
      <rPr>
        <rFont val="맑은 고딕"/>
        <color rgb="FF1F3B8A"/>
        <sz val="10.0"/>
      </rPr>
      <t>C-2025-000000(</t>
    </r>
    <r>
      <rPr>
        <rFont val="Noto Sans CJK SC"/>
        <color rgb="FF1F3B8A"/>
        <sz val="10.0"/>
      </rPr>
      <t>가상</t>
    </r>
    <r>
      <rPr>
        <rFont val="맑은 고딕"/>
        <color rgb="FF1F3B8A"/>
        <sz val="10.0"/>
      </rPr>
      <t>)</t>
    </r>
  </si>
  <si>
    <t>2025-12</t>
  </si>
  <si>
    <t>공동</t>
  </si>
  <si>
    <r>
      <rPr>
        <rFont val="Noto Sans CJK SC"/>
        <b/>
        <color rgb="FF000000"/>
        <sz val="11.0"/>
      </rPr>
      <t>교환학생</t>
    </r>
    <r>
      <rPr>
        <rFont val="맑은 고딕"/>
        <b/>
        <color rgb="FF000000"/>
        <sz val="11.0"/>
      </rPr>
      <t>·</t>
    </r>
    <r>
      <rPr>
        <rFont val="Noto Sans CJK SC"/>
        <b/>
        <color rgb="FF000000"/>
        <sz val="11.0"/>
      </rPr>
      <t>해외경험</t>
    </r>
  </si>
  <si>
    <r>
      <rPr>
        <rFont val="Noto Sans CJK SC"/>
        <i/>
        <color rgb="FF7F7F7F"/>
        <sz val="8.0"/>
      </rPr>
      <t>출처</t>
    </r>
    <r>
      <rPr>
        <rFont val="맑은 고딕"/>
        <i/>
        <color rgb="FF7F7F7F"/>
        <sz val="8.0"/>
      </rPr>
      <t xml:space="preserve">: </t>
    </r>
    <r>
      <rPr>
        <rFont val="Noto Sans CJK SC"/>
        <i/>
        <color rgb="FF7F7F7F"/>
        <sz val="8.0"/>
      </rPr>
      <t>비교과</t>
    </r>
    <r>
      <rPr>
        <rFont val="맑은 고딕"/>
        <i/>
        <color rgb="FF7F7F7F"/>
        <sz val="8.0"/>
      </rPr>
      <t>·</t>
    </r>
    <r>
      <rPr>
        <rFont val="Noto Sans CJK SC"/>
        <i/>
        <color rgb="FF7F7F7F"/>
        <sz val="8.0"/>
      </rPr>
      <t xml:space="preserve">연구지원 시스템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탐구력 </t>
    </r>
    <r>
      <rPr>
        <rFont val="맑은 고딕"/>
        <i/>
        <color rgb="FF7F7F7F"/>
        <sz val="8.0"/>
      </rPr>
      <t xml:space="preserve">/ </t>
    </r>
    <r>
      <rPr>
        <rFont val="Noto Sans CJK SC"/>
        <i/>
        <color rgb="FF7F7F7F"/>
        <sz val="8.0"/>
      </rPr>
      <t xml:space="preserve">문제해결력   </t>
    </r>
    <r>
      <rPr>
        <rFont val="맑은 고딕"/>
        <i/>
        <color rgb="FF7F7F7F"/>
        <sz val="8.0"/>
      </rPr>
      <t xml:space="preserve">|   </t>
    </r>
    <r>
      <rPr>
        <rFont val="Noto Sans CJK SC"/>
        <i/>
        <color rgb="FF7F7F7F"/>
        <sz val="8.0"/>
      </rPr>
      <t>비고</t>
    </r>
    <r>
      <rPr>
        <rFont val="맑은 고딕"/>
        <i/>
        <color rgb="FF7F7F7F"/>
        <sz val="8.0"/>
      </rPr>
      <t xml:space="preserve">: [B] </t>
    </r>
    <r>
      <rPr>
        <rFont val="Noto Sans CJK SC"/>
        <i/>
        <color rgb="FF7F7F7F"/>
        <sz val="8.0"/>
      </rPr>
      <t>학회</t>
    </r>
    <r>
      <rPr>
        <rFont val="맑은 고딕"/>
        <i/>
        <color rgb="FF7F7F7F"/>
        <sz val="8.0"/>
      </rPr>
      <t>·</t>
    </r>
    <r>
      <rPr>
        <rFont val="Noto Sans CJK SC"/>
        <i/>
        <color rgb="FF7F7F7F"/>
        <sz val="8.0"/>
      </rPr>
      <t xml:space="preserve">연구 </t>
    </r>
    <r>
      <rPr>
        <rFont val="맑은 고딕"/>
        <i/>
        <color rgb="FF7F7F7F"/>
        <sz val="8.0"/>
      </rPr>
      <t>+ [C] URP·</t>
    </r>
    <r>
      <rPr>
        <rFont val="Noto Sans CJK SC"/>
        <i/>
        <color rgb="FF7F7F7F"/>
        <sz val="8.0"/>
      </rPr>
      <t>팀연구프로젝트 통합</t>
    </r>
  </si>
  <si>
    <r>
      <rPr>
        <rFont val="Noto Sans CJK SC"/>
        <color rgb="FF000000"/>
        <sz val="9.0"/>
      </rPr>
      <t>자격</t>
    </r>
    <r>
      <rPr>
        <rFont val="맑은 고딕"/>
        <color rgb="FF000000"/>
        <sz val="9.0"/>
      </rPr>
      <t>·</t>
    </r>
    <r>
      <rPr>
        <rFont val="Noto Sans CJK SC"/>
        <color rgb="FF000000"/>
        <sz val="9.0"/>
      </rPr>
      <t>인증</t>
    </r>
  </si>
  <si>
    <t>비교과 이수시간</t>
  </si>
  <si>
    <r>
      <rPr>
        <rFont val="맑은 고딕"/>
        <color rgb="FF000000"/>
        <sz val="9.0"/>
      </rPr>
      <t xml:space="preserve">SKKU </t>
    </r>
    <r>
      <rPr>
        <rFont val="Noto Sans CJK SC"/>
        <color rgb="FF000000"/>
        <sz val="9.0"/>
      </rPr>
      <t>확보가능</t>
    </r>
  </si>
  <si>
    <r>
      <rPr>
        <rFont val="Noto Sans CJK SC"/>
        <b/>
        <color rgb="FF000000"/>
        <sz val="9.0"/>
      </rPr>
      <t>활동명</t>
    </r>
    <r>
      <rPr>
        <rFont val="맑은 고딕"/>
        <b/>
        <color rgb="FF000000"/>
        <sz val="9.0"/>
      </rPr>
      <t>·</t>
    </r>
    <r>
      <rPr>
        <rFont val="Noto Sans CJK SC"/>
        <b/>
        <color rgb="FF000000"/>
        <sz val="9.0"/>
      </rPr>
      <t>소속</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</si>
  <si>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</si>
  <si>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맑은 고딕"/>
        <i/>
        <color rgb="FF7F7F7F"/>
        <sz val="8.0"/>
      </rPr>
      <t>[</t>
    </r>
    <r>
      <rPr>
        <rFont val="Noto Sans CJK SC"/>
        <i/>
        <color rgb="FF7F7F7F"/>
        <sz val="8.0"/>
      </rPr>
      <t xml:space="preserve">학부연구생 </t>
    </r>
    <r>
      <rPr>
        <rFont val="맑은 고딕"/>
        <i/>
        <color rgb="FF7F7F7F"/>
        <sz val="8.0"/>
      </rPr>
      <t xml:space="preserve">/ URP / </t>
    </r>
    <r>
      <rPr>
        <rFont val="Noto Sans CJK SC"/>
        <i/>
        <color rgb="FF7F7F7F"/>
        <sz val="8.0"/>
      </rPr>
      <t xml:space="preserve">학회 </t>
    </r>
    <r>
      <rPr>
        <rFont val="맑은 고딕"/>
        <i/>
        <color rgb="FF7F7F7F"/>
        <sz val="8.0"/>
      </rPr>
      <t xml:space="preserve">/ </t>
    </r>
    <r>
      <rPr>
        <rFont val="Noto Sans CJK SC"/>
        <i/>
        <color rgb="FF7F7F7F"/>
        <sz val="8.0"/>
      </rPr>
      <t xml:space="preserve">연구실 인턴 </t>
    </r>
    <r>
      <rPr>
        <rFont val="맑은 고딕"/>
        <i/>
        <color rgb="FF7F7F7F"/>
        <sz val="8.0"/>
      </rPr>
      <t xml:space="preserve">/ </t>
    </r>
    <r>
      <rPr>
        <rFont val="Noto Sans CJK SC"/>
        <i/>
        <color rgb="FF7F7F7F"/>
        <sz val="8.0"/>
      </rPr>
      <t>팀연구프로젝트</t>
    </r>
    <r>
      <rPr>
        <rFont val="맑은 고딕"/>
        <i/>
        <color rgb="FF7F7F7F"/>
        <sz val="8.0"/>
      </rPr>
      <t>]</t>
    </r>
  </si>
  <si>
    <r>
      <rPr>
        <rFont val="Noto Sans CJK SC"/>
        <i/>
        <color rgb="FF7F7F7F"/>
        <sz val="8.0"/>
      </rPr>
      <t>출처</t>
    </r>
    <r>
      <rPr>
        <rFont val="맑은 고딕"/>
        <i/>
        <color rgb="FF7F7F7F"/>
        <sz val="8.0"/>
      </rPr>
      <t xml:space="preserve">: </t>
    </r>
    <r>
      <rPr>
        <rFont val="Noto Sans CJK SC"/>
        <i/>
        <color rgb="FF7F7F7F"/>
        <sz val="8.0"/>
      </rPr>
      <t xml:space="preserve">국제처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글로벌</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글로벌</t>
    </r>
    <r>
      <rPr>
        <rFont val="맑은 고딕"/>
        <i/>
        <color rgb="FF7F7F7F"/>
        <sz val="8.0"/>
      </rPr>
      <t>(</t>
    </r>
    <r>
      <rPr>
        <rFont val="Noto Sans CJK SC"/>
        <i/>
        <color rgb="FF7F7F7F"/>
        <sz val="8.0"/>
      </rPr>
      <t>문화적 수용능력</t>
    </r>
    <r>
      <rPr>
        <rFont val="맑은 고딕"/>
        <i/>
        <color rgb="FF7F7F7F"/>
        <sz val="8.0"/>
      </rPr>
      <t xml:space="preserve">)   |   </t>
    </r>
    <r>
      <rPr>
        <rFont val="Noto Sans CJK SC"/>
        <i/>
        <color rgb="FF7F7F7F"/>
        <sz val="8.0"/>
      </rPr>
      <t>비고</t>
    </r>
    <r>
      <rPr>
        <rFont val="맑은 고딕"/>
        <i/>
        <color rgb="FF7F7F7F"/>
        <sz val="8.0"/>
      </rPr>
      <t xml:space="preserve">: [C] </t>
    </r>
    <r>
      <rPr>
        <rFont val="Noto Sans CJK SC"/>
        <i/>
        <color rgb="FF7F7F7F"/>
        <sz val="8.0"/>
      </rPr>
      <t>국제연구</t>
    </r>
    <r>
      <rPr>
        <rFont val="맑은 고딕"/>
        <i/>
        <color rgb="FF7F7F7F"/>
        <sz val="8.0"/>
      </rPr>
      <t>·</t>
    </r>
    <r>
      <rPr>
        <rFont val="Noto Sans CJK SC"/>
        <i/>
        <color rgb="FF7F7F7F"/>
        <sz val="8.0"/>
      </rPr>
      <t>국제문화체험 항목 추가</t>
    </r>
  </si>
  <si>
    <r>
      <rPr>
        <rFont val="Noto Sans CJK SC"/>
        <i/>
        <color rgb="FF7F7F7F"/>
        <sz val="8.0"/>
      </rPr>
      <t>연구실</t>
    </r>
    <r>
      <rPr>
        <rFont val="맑은 고딕"/>
        <i/>
        <color rgb="FF7F7F7F"/>
        <sz val="8.0"/>
      </rPr>
      <t>/</t>
    </r>
    <r>
      <rPr>
        <rFont val="Noto Sans CJK SC"/>
        <i/>
        <color rgb="FF7F7F7F"/>
        <sz val="8.0"/>
      </rPr>
      <t>학회명</t>
    </r>
  </si>
  <si>
    <r>
      <rPr>
        <rFont val="맑은 고딕"/>
        <i/>
        <color rgb="FF7F7F7F"/>
        <sz val="8.0"/>
      </rPr>
      <t xml:space="preserve">YYYY-MM / </t>
    </r>
    <r>
      <rPr>
        <rFont val="Noto Sans CJK SC"/>
        <i/>
        <color rgb="FF7F7F7F"/>
        <sz val="8.0"/>
      </rPr>
      <t>진행중</t>
    </r>
  </si>
  <si>
    <r>
      <rPr>
        <rFont val="Noto Sans CJK SC"/>
        <i/>
        <color rgb="FF7F7F7F"/>
        <sz val="8.0"/>
      </rPr>
      <t>출처</t>
    </r>
    <r>
      <rPr>
        <rFont val="맑은 고딕"/>
        <i/>
        <color rgb="FF7F7F7F"/>
        <sz val="8.0"/>
      </rPr>
      <t xml:space="preserve">: </t>
    </r>
    <r>
      <rPr>
        <rFont val="Noto Sans CJK SC"/>
        <i/>
        <color rgb="FF7F7F7F"/>
        <sz val="8.0"/>
      </rPr>
      <t xml:space="preserve">학생 등록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자원</t>
    </r>
    <r>
      <rPr>
        <rFont val="맑은 고딕"/>
        <i/>
        <color rgb="FF7F7F7F"/>
        <sz val="8.0"/>
      </rPr>
      <t>·</t>
    </r>
    <r>
      <rPr>
        <rFont val="Noto Sans CJK SC"/>
        <i/>
        <color rgb="FF7F7F7F"/>
        <sz val="8.0"/>
      </rPr>
      <t xml:space="preserve">정보기술활용 </t>
    </r>
    <r>
      <rPr>
        <rFont val="맑은 고딕"/>
        <i/>
        <color rgb="FF7F7F7F"/>
        <sz val="8.0"/>
      </rPr>
      <t xml:space="preserve">/ </t>
    </r>
    <r>
      <rPr>
        <rFont val="Noto Sans CJK SC"/>
        <i/>
        <color rgb="FF7F7F7F"/>
        <sz val="8.0"/>
      </rPr>
      <t xml:space="preserve">디지털리터러시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자기 서술 위주 → 정성 판단 </t>
    </r>
    <r>
      <rPr>
        <rFont val="맑은 고딕"/>
        <i/>
        <color rgb="FF7F7F7F"/>
        <sz val="8.0"/>
      </rPr>
      <t xml:space="preserve">+ </t>
    </r>
    <r>
      <rPr>
        <rFont val="Noto Sans CJK SC"/>
        <i/>
        <color rgb="FF7F7F7F"/>
        <sz val="8.0"/>
      </rPr>
      <t>낮은 가중치 권장</t>
    </r>
  </si>
  <si>
    <r>
      <rPr>
        <rFont val="Noto Sans CJK SC"/>
        <b/>
        <color rgb="FF000000"/>
        <sz val="9.0"/>
      </rPr>
      <t>기관</t>
    </r>
    <r>
      <rPr>
        <rFont val="맑은 고딕"/>
        <b/>
        <color rgb="FF000000"/>
        <sz val="9.0"/>
      </rPr>
      <t>·</t>
    </r>
    <r>
      <rPr>
        <rFont val="Noto Sans CJK SC"/>
        <b/>
        <color rgb="FF000000"/>
        <sz val="9.0"/>
      </rPr>
      <t>프로그램명</t>
    </r>
  </si>
  <si>
    <t>도구명</t>
  </si>
  <si>
    <r>
      <rPr>
        <rFont val="Noto Sans CJK SC"/>
        <b/>
        <color rgb="FF000000"/>
        <sz val="9.0"/>
      </rPr>
      <t>기간</t>
    </r>
    <r>
      <rPr>
        <rFont val="맑은 고딕"/>
        <b/>
        <color rgb="FF000000"/>
        <sz val="9.0"/>
      </rPr>
      <t>(</t>
    </r>
    <r>
      <rPr>
        <rFont val="Noto Sans CJK SC"/>
        <b/>
        <color rgb="FF000000"/>
        <sz val="9.0"/>
      </rPr>
      <t>주</t>
    </r>
    <r>
      <rPr>
        <rFont val="맑은 고딕"/>
        <b/>
        <color rgb="FF000000"/>
        <sz val="9.0"/>
      </rPr>
      <t>)</t>
    </r>
  </si>
  <si>
    <t>활용 수준</t>
  </si>
  <si>
    <t>활용 맥락</t>
  </si>
  <si>
    <r>
      <rPr>
        <rFont val="맑은 고딕"/>
        <b/>
        <color rgb="FF000000"/>
        <sz val="9.0"/>
      </rPr>
      <t>3</t>
    </r>
    <r>
      <rPr>
        <rFont val="Noto Sans CJK SC"/>
        <b/>
        <color rgb="FF000000"/>
        <sz val="9.0"/>
      </rPr>
      <t>품 인정</t>
    </r>
  </si>
  <si>
    <t>로봇제어연구실</t>
  </si>
  <si>
    <t>한 칸에 하나</t>
  </si>
  <si>
    <r>
      <rPr>
        <rFont val="Noto Sans CJK SC"/>
        <color rgb="FF1F3B8A"/>
        <sz val="10.0"/>
      </rPr>
      <t>시뮬레이션</t>
    </r>
    <r>
      <rPr>
        <rFont val="맑은 고딕"/>
        <color rgb="FF1F3B8A"/>
        <sz val="10.0"/>
      </rPr>
      <t>·</t>
    </r>
    <r>
      <rPr>
        <rFont val="Noto Sans CJK SC"/>
        <color rgb="FF1F3B8A"/>
        <sz val="10.0"/>
      </rPr>
      <t>실험 보조</t>
    </r>
  </si>
  <si>
    <t>2025-09</t>
  </si>
  <si>
    <r>
      <rPr>
        <rFont val="맑은 고딕"/>
        <i/>
        <color rgb="FF7F7F7F"/>
        <sz val="8.0"/>
      </rPr>
      <t>[</t>
    </r>
    <r>
      <rPr>
        <rFont val="Noto Sans CJK SC"/>
        <i/>
        <color rgb="FF7F7F7F"/>
        <sz val="8.0"/>
      </rPr>
      <t xml:space="preserve">기초 </t>
    </r>
    <r>
      <rPr>
        <rFont val="맑은 고딕"/>
        <i/>
        <color rgb="FF7F7F7F"/>
        <sz val="8.0"/>
      </rPr>
      <t xml:space="preserve">/ </t>
    </r>
    <r>
      <rPr>
        <rFont val="Noto Sans CJK SC"/>
        <i/>
        <color rgb="FF7F7F7F"/>
        <sz val="8.0"/>
      </rPr>
      <t xml:space="preserve">활용 </t>
    </r>
    <r>
      <rPr>
        <rFont val="맑은 고딕"/>
        <i/>
        <color rgb="FF7F7F7F"/>
        <sz val="8.0"/>
      </rPr>
      <t xml:space="preserve">/ </t>
    </r>
    <r>
      <rPr>
        <rFont val="Noto Sans CJK SC"/>
        <i/>
        <color rgb="FF7F7F7F"/>
        <sz val="8.0"/>
      </rPr>
      <t>능숙</t>
    </r>
    <r>
      <rPr>
        <rFont val="맑은 고딕"/>
        <i/>
        <color rgb="FF7F7F7F"/>
        <sz val="8.0"/>
      </rPr>
      <t>]</t>
    </r>
  </si>
  <si>
    <t>진행중</t>
  </si>
  <si>
    <r>
      <rPr>
        <rFont val="맑은 고딕"/>
        <i/>
        <color rgb="FF7F7F7F"/>
        <sz val="8.0"/>
      </rPr>
      <t>[</t>
    </r>
    <r>
      <rPr>
        <rFont val="Noto Sans CJK SC"/>
        <i/>
        <color rgb="FF7F7F7F"/>
        <sz val="8.0"/>
      </rPr>
      <t xml:space="preserve">교환학생 </t>
    </r>
    <r>
      <rPr>
        <rFont val="맑은 고딕"/>
        <i/>
        <color rgb="FF7F7F7F"/>
        <sz val="8.0"/>
      </rPr>
      <t xml:space="preserve">/ </t>
    </r>
    <r>
      <rPr>
        <rFont val="Noto Sans CJK SC"/>
        <i/>
        <color rgb="FF7F7F7F"/>
        <sz val="8.0"/>
      </rPr>
      <t xml:space="preserve">어학연수 </t>
    </r>
    <r>
      <rPr>
        <rFont val="맑은 고딕"/>
        <i/>
        <color rgb="FF7F7F7F"/>
        <sz val="8.0"/>
      </rPr>
      <t xml:space="preserve">/ </t>
    </r>
    <r>
      <rPr>
        <rFont val="Noto Sans CJK SC"/>
        <i/>
        <color rgb="FF7F7F7F"/>
        <sz val="8.0"/>
      </rPr>
      <t xml:space="preserve">해외봉사 </t>
    </r>
    <r>
      <rPr>
        <rFont val="맑은 고딕"/>
        <i/>
        <color rgb="FF7F7F7F"/>
        <sz val="8.0"/>
      </rPr>
      <t xml:space="preserve">/ </t>
    </r>
    <r>
      <rPr>
        <rFont val="Noto Sans CJK SC"/>
        <i/>
        <color rgb="FF7F7F7F"/>
        <sz val="8.0"/>
      </rPr>
      <t xml:space="preserve">국제연구 </t>
    </r>
    <r>
      <rPr>
        <rFont val="맑은 고딕"/>
        <i/>
        <color rgb="FF7F7F7F"/>
        <sz val="8.0"/>
      </rPr>
      <t xml:space="preserve">/ </t>
    </r>
    <r>
      <rPr>
        <rFont val="Noto Sans CJK SC"/>
        <i/>
        <color rgb="FF7F7F7F"/>
        <sz val="8.0"/>
      </rPr>
      <t xml:space="preserve">국제문화체험 </t>
    </r>
    <r>
      <rPr>
        <rFont val="맑은 고딕"/>
        <i/>
        <color rgb="FF7F7F7F"/>
        <sz val="8.0"/>
      </rPr>
      <t xml:space="preserve">/ </t>
    </r>
    <r>
      <rPr>
        <rFont val="Noto Sans CJK SC"/>
        <i/>
        <color rgb="FF7F7F7F"/>
        <sz val="8.0"/>
      </rPr>
      <t>해외학습</t>
    </r>
    <r>
      <rPr>
        <rFont val="맑은 고딕"/>
        <i/>
        <color rgb="FF7F7F7F"/>
        <sz val="8.0"/>
      </rPr>
      <t>]</t>
    </r>
  </si>
  <si>
    <t>해외학습</t>
  </si>
  <si>
    <t>싱가포르</t>
  </si>
  <si>
    <t>글로벌 스마트제조 하계 프로그램</t>
  </si>
  <si>
    <t>2024-07</t>
  </si>
  <si>
    <t>보행 로봇 제어 시뮬레이션 코드 작성</t>
  </si>
  <si>
    <r>
      <rPr>
        <rFont val="Noto Sans CJK SC"/>
        <color rgb="FF000000"/>
        <sz val="9.0"/>
      </rPr>
      <t>진단</t>
    </r>
    <r>
      <rPr>
        <rFont val="맑은 고딕"/>
        <color rgb="FF000000"/>
        <sz val="9.0"/>
      </rPr>
      <t>·</t>
    </r>
    <r>
      <rPr>
        <rFont val="Noto Sans CJK SC"/>
        <color rgb="FF000000"/>
        <sz val="9.0"/>
      </rPr>
      <t>자기평가</t>
    </r>
  </si>
  <si>
    <r>
      <rPr>
        <rFont val="맑은 고딕"/>
        <color rgb="FF000000"/>
        <sz val="9.0"/>
      </rPr>
      <t xml:space="preserve">SSCA </t>
    </r>
    <r>
      <rPr>
        <rFont val="Noto Sans CJK SC"/>
        <color rgb="FF000000"/>
        <sz val="9.0"/>
      </rPr>
      <t>학생성공역량진단</t>
    </r>
  </si>
  <si>
    <r>
      <rPr>
        <rFont val="맑은 고딕"/>
        <color rgb="FF000000"/>
        <sz val="9.0"/>
      </rPr>
      <t xml:space="preserve">SKKU </t>
    </r>
    <r>
      <rPr>
        <rFont val="Noto Sans CJK SC"/>
        <color rgb="FF000000"/>
        <sz val="9.0"/>
      </rPr>
      <t>확보가능</t>
    </r>
  </si>
  <si>
    <r>
      <rPr>
        <rFont val="Noto Sans CJK SC"/>
        <b/>
        <color rgb="FFFFFFFF"/>
        <sz val="11.0"/>
      </rPr>
      <t>■ 공동체</t>
    </r>
    <r>
      <rPr>
        <rFont val="맑은 고딕"/>
        <b/>
        <color rgb="FFFFFFFF"/>
        <sz val="11.0"/>
      </rPr>
      <t>·</t>
    </r>
    <r>
      <rPr>
        <rFont val="Noto Sans CJK SC"/>
        <b/>
        <color rgb="FFFFFFFF"/>
        <sz val="11.0"/>
      </rPr>
      <t>리더십</t>
    </r>
  </si>
  <si>
    <r>
      <rPr>
        <rFont val="Noto Sans CJK SC"/>
        <i/>
        <color rgb="FF7F7F7F"/>
        <sz val="8.0"/>
      </rPr>
      <t>출처</t>
    </r>
    <r>
      <rPr>
        <rFont val="맑은 고딕"/>
        <i/>
        <color rgb="FF7F7F7F"/>
        <sz val="8.0"/>
      </rPr>
      <t xml:space="preserve">: </t>
    </r>
    <r>
      <rPr>
        <rFont val="Noto Sans CJK SC"/>
        <i/>
        <color rgb="FF7F7F7F"/>
        <sz val="8.0"/>
      </rPr>
      <t>학사시스템</t>
    </r>
    <r>
      <rPr>
        <rFont val="맑은 고딕"/>
        <i/>
        <color rgb="FF7F7F7F"/>
        <sz val="8.0"/>
      </rPr>
      <t>(</t>
    </r>
    <r>
      <rPr>
        <rFont val="Noto Sans CJK SC"/>
        <i/>
        <color rgb="FF7F7F7F"/>
        <sz val="8.0"/>
      </rPr>
      <t>수강내역</t>
    </r>
    <r>
      <rPr>
        <rFont val="맑은 고딕"/>
        <i/>
        <color rgb="FF7F7F7F"/>
        <sz val="8.0"/>
      </rPr>
      <t xml:space="preserve">)   |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글로벌</t>
    </r>
    <r>
      <rPr>
        <rFont val="맑은 고딕"/>
        <i/>
        <color rgb="FF7F7F7F"/>
        <sz val="8.0"/>
      </rPr>
      <t>(</t>
    </r>
    <r>
      <rPr>
        <rFont val="Noto Sans CJK SC"/>
        <i/>
        <color rgb="FF7F7F7F"/>
        <sz val="8.0"/>
      </rPr>
      <t>외국어 능력</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마인드맵</t>
    </r>
    <r>
      <rPr>
        <rFont val="맑은 고딕"/>
        <i/>
        <color rgb="FF7F7F7F"/>
        <sz val="8.0"/>
      </rPr>
      <t>(</t>
    </r>
    <r>
      <rPr>
        <rFont val="Noto Sans CJK SC"/>
        <i/>
        <color rgb="FF7F7F7F"/>
        <sz val="8.0"/>
      </rPr>
      <t>기업 관심</t>
    </r>
    <r>
      <rPr>
        <rFont val="맑은 고딕"/>
        <i/>
        <color rgb="FF7F7F7F"/>
        <sz val="8.0"/>
      </rPr>
      <t>-</t>
    </r>
    <r>
      <rPr>
        <rFont val="Noto Sans CJK SC"/>
        <i/>
        <color rgb="FF7F7F7F"/>
        <sz val="8.0"/>
      </rPr>
      <t>글로벌</t>
    </r>
    <r>
      <rPr>
        <rFont val="맑은 고딕"/>
        <i/>
        <color rgb="FF7F7F7F"/>
        <sz val="8.0"/>
      </rPr>
      <t>)</t>
    </r>
    <r>
      <rPr>
        <rFont val="Noto Sans CJK SC"/>
        <i/>
        <color rgb="FF7F7F7F"/>
        <sz val="8.0"/>
      </rPr>
      <t>에 있으나 기존 데이터셋에 없음</t>
    </r>
  </si>
  <si>
    <r>
      <rPr>
        <rFont val="Noto Sans CJK SC"/>
        <color rgb="FF7F7F7F"/>
        <sz val="9.0"/>
      </rPr>
      <t xml:space="preserve">없으면 </t>
    </r>
    <r>
      <rPr>
        <rFont val="맑은 고딕"/>
        <color rgb="FF7F7F7F"/>
        <sz val="9.0"/>
      </rPr>
      <t>0</t>
    </r>
  </si>
  <si>
    <t>영어</t>
  </si>
  <si>
    <r>
      <rPr>
        <rFont val="Noto Sans CJK SC"/>
        <b/>
        <color rgb="FF000000"/>
        <sz val="11.0"/>
      </rPr>
      <t>정보탐색 결과물</t>
    </r>
    <r>
      <rPr>
        <rFont val="맑은 고딕"/>
        <b/>
        <color rgb="FF000000"/>
        <sz val="11.0"/>
      </rPr>
      <t>(</t>
    </r>
    <r>
      <rPr>
        <rFont val="Noto Sans CJK SC"/>
        <b/>
        <color rgb="FF000000"/>
        <sz val="11.0"/>
      </rPr>
      <t>논문</t>
    </r>
    <r>
      <rPr>
        <rFont val="맑은 고딕"/>
        <b/>
        <color rgb="FF000000"/>
        <sz val="11.0"/>
      </rPr>
      <t>·</t>
    </r>
    <r>
      <rPr>
        <rFont val="Noto Sans CJK SC"/>
        <b/>
        <color rgb="FF000000"/>
        <sz val="11.0"/>
      </rPr>
      <t>보고서</t>
    </r>
    <r>
      <rPr>
        <rFont val="맑은 고딕"/>
        <b/>
        <color rgb="FF000000"/>
        <sz val="11.0"/>
      </rPr>
      <t>)</t>
    </r>
  </si>
  <si>
    <r>
      <rPr>
        <rFont val="Noto Sans CJK SC"/>
        <color rgb="FF7F7F7F"/>
        <sz val="9.0"/>
      </rPr>
      <t>예</t>
    </r>
    <r>
      <rPr>
        <rFont val="맑은 고딕"/>
        <color rgb="FF7F7F7F"/>
        <sz val="9.0"/>
      </rPr>
      <t xml:space="preserve">: </t>
    </r>
    <r>
      <rPr>
        <rFont val="Noto Sans CJK SC"/>
        <color rgb="FF7F7F7F"/>
        <sz val="9.0"/>
      </rPr>
      <t>영어</t>
    </r>
  </si>
  <si>
    <r>
      <rPr>
        <rFont val="Noto Sans CJK SC"/>
        <b/>
        <color rgb="FFFFFFFF"/>
        <sz val="11.0"/>
      </rPr>
      <t>■ 디지털</t>
    </r>
    <r>
      <rPr>
        <rFont val="맑은 고딕"/>
        <b/>
        <color rgb="FFFFFFFF"/>
        <sz val="11.0"/>
      </rPr>
      <t>·AI</t>
    </r>
  </si>
  <si>
    <r>
      <rPr>
        <rFont val="맑은 고딕"/>
        <b/>
        <color rgb="FF000000"/>
        <sz val="11.0"/>
      </rPr>
      <t>AI</t>
    </r>
    <r>
      <rPr>
        <rFont val="Noto Sans CJK SC"/>
        <b/>
        <color rgb="FF000000"/>
        <sz val="11.0"/>
      </rPr>
      <t>교육 이수내역</t>
    </r>
  </si>
  <si>
    <r>
      <rPr>
        <rFont val="Noto Sans CJK SC"/>
        <b/>
        <color rgb="FF000000"/>
        <sz val="11.0"/>
      </rPr>
      <t>동아리</t>
    </r>
    <r>
      <rPr>
        <rFont val="맑은 고딕"/>
        <b/>
        <color rgb="FF000000"/>
        <sz val="11.0"/>
      </rPr>
      <t>·</t>
    </r>
    <r>
      <rPr>
        <rFont val="Noto Sans CJK SC"/>
        <b/>
        <color rgb="FF000000"/>
        <sz val="11.0"/>
      </rPr>
      <t>학생회 활동</t>
    </r>
  </si>
  <si>
    <r>
      <rPr>
        <rFont val="Noto Sans CJK SC"/>
        <i/>
        <color rgb="FF7F7F7F"/>
        <sz val="8.0"/>
      </rPr>
      <t>출처</t>
    </r>
    <r>
      <rPr>
        <rFont val="맑은 고딕"/>
        <i/>
        <color rgb="FF7F7F7F"/>
        <sz val="8.0"/>
      </rPr>
      <t xml:space="preserve">: </t>
    </r>
    <r>
      <rPr>
        <rFont val="Noto Sans CJK SC"/>
        <i/>
        <color rgb="FF7F7F7F"/>
        <sz val="8.0"/>
      </rPr>
      <t>학생 등록</t>
    </r>
    <r>
      <rPr>
        <rFont val="맑은 고딕"/>
        <i/>
        <color rgb="FF7F7F7F"/>
        <sz val="8.0"/>
      </rPr>
      <t>(</t>
    </r>
    <r>
      <rPr>
        <rFont val="Noto Sans CJK SC"/>
        <i/>
        <color rgb="FF7F7F7F"/>
        <sz val="8.0"/>
      </rPr>
      <t>포트폴리오</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자원</t>
    </r>
    <r>
      <rPr>
        <rFont val="맑은 고딕"/>
        <i/>
        <color rgb="FF7F7F7F"/>
        <sz val="8.0"/>
      </rPr>
      <t>·</t>
    </r>
    <r>
      <rPr>
        <rFont val="Noto Sans CJK SC"/>
        <i/>
        <color rgb="FF7F7F7F"/>
        <sz val="8.0"/>
      </rPr>
      <t>정보기술활용</t>
    </r>
    <r>
      <rPr>
        <rFont val="맑은 고딕"/>
        <i/>
        <color rgb="FF7F7F7F"/>
        <sz val="8.0"/>
      </rPr>
      <t>(</t>
    </r>
    <r>
      <rPr>
        <rFont val="Noto Sans CJK SC"/>
        <i/>
        <color rgb="FF7F7F7F"/>
        <sz val="8.0"/>
      </rPr>
      <t>정보탐색</t>
    </r>
    <r>
      <rPr>
        <rFont val="맑은 고딕"/>
        <i/>
        <color rgb="FF7F7F7F"/>
        <sz val="8.0"/>
      </rPr>
      <t xml:space="preserve">) / </t>
    </r>
    <r>
      <rPr>
        <rFont val="Noto Sans CJK SC"/>
        <i/>
        <color rgb="FF7F7F7F"/>
        <sz val="8.0"/>
      </rPr>
      <t xml:space="preserve">논리적사고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게재 수준</t>
    </r>
    <r>
      <rPr>
        <rFont val="맑은 고딕"/>
        <i/>
        <color rgb="FF7F7F7F"/>
        <sz val="8.0"/>
      </rPr>
      <t>(</t>
    </r>
    <r>
      <rPr>
        <rFont val="Noto Sans CJK SC"/>
        <i/>
        <color rgb="FF7F7F7F"/>
        <sz val="8.0"/>
      </rPr>
      <t>학술지</t>
    </r>
    <r>
      <rPr>
        <rFont val="맑은 고딕"/>
        <i/>
        <color rgb="FF7F7F7F"/>
        <sz val="8.0"/>
      </rPr>
      <t>·</t>
    </r>
    <r>
      <rPr>
        <rFont val="Noto Sans CJK SC"/>
        <i/>
        <color rgb="FF7F7F7F"/>
        <sz val="8.0"/>
      </rPr>
      <t>학회</t>
    </r>
    <r>
      <rPr>
        <rFont val="맑은 고딕"/>
        <i/>
        <color rgb="FF7F7F7F"/>
        <sz val="8.0"/>
      </rPr>
      <t>·</t>
    </r>
    <r>
      <rPr>
        <rFont val="Noto Sans CJK SC"/>
        <i/>
        <color rgb="FF7F7F7F"/>
        <sz val="8.0"/>
      </rPr>
      <t>교내</t>
    </r>
    <r>
      <rPr>
        <rFont val="맑은 고딕"/>
        <i/>
        <color rgb="FF7F7F7F"/>
        <sz val="8.0"/>
      </rPr>
      <t xml:space="preserve">) </t>
    </r>
    <r>
      <rPr>
        <rFont val="Noto Sans CJK SC"/>
        <i/>
        <color rgb="FF7F7F7F"/>
        <sz val="8.0"/>
      </rPr>
      <t>구분 기준 필요</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</si>
  <si>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xml:space="preserve">· </t>
    </r>
    <r>
      <rPr>
        <rFont val="Noto Sans CJK SC"/>
        <i/>
        <color rgb="FF7F7F7F"/>
        <sz val="8.0"/>
      </rPr>
      <t xml:space="preserve">비교과 </t>
    </r>
    <r>
      <rPr>
        <rFont val="맑은 고딕"/>
        <i/>
        <color rgb="FF7F7F7F"/>
        <sz val="8.0"/>
      </rPr>
      <t>· 3</t>
    </r>
    <r>
      <rPr>
        <rFont val="Noto Sans CJK SC"/>
        <i/>
        <color rgb="FF7F7F7F"/>
        <sz val="8.0"/>
      </rPr>
      <t>품</t>
    </r>
    <r>
      <rPr>
        <rFont val="맑은 고딕"/>
        <i/>
        <color rgb="FF7F7F7F"/>
        <sz val="8.0"/>
      </rPr>
      <t xml:space="preserve">(AI)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자원</t>
    </r>
    <r>
      <rPr>
        <rFont val="맑은 고딕"/>
        <i/>
        <color rgb="FF7F7F7F"/>
        <sz val="8.0"/>
      </rPr>
      <t>·</t>
    </r>
    <r>
      <rPr>
        <rFont val="Noto Sans CJK SC"/>
        <i/>
        <color rgb="FF7F7F7F"/>
        <sz val="8.0"/>
      </rPr>
      <t xml:space="preserve">정보기술활용 </t>
    </r>
    <r>
      <rPr>
        <rFont val="맑은 고딕"/>
        <i/>
        <color rgb="FF7F7F7F"/>
        <sz val="8.0"/>
      </rPr>
      <t xml:space="preserve">/ </t>
    </r>
    <r>
      <rPr>
        <rFont val="Noto Sans CJK SC"/>
        <i/>
        <color rgb="FF7F7F7F"/>
        <sz val="8.0"/>
      </rPr>
      <t xml:space="preserve">디지털리터러시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이수 </t>
    </r>
    <r>
      <rPr>
        <rFont val="맑은 고딕"/>
        <i/>
        <color rgb="FF7F7F7F"/>
        <sz val="8.0"/>
      </rPr>
      <t>'</t>
    </r>
    <r>
      <rPr>
        <rFont val="Noto Sans CJK SC"/>
        <i/>
        <color rgb="FF7F7F7F"/>
        <sz val="8.0"/>
      </rPr>
      <t>시간</t>
    </r>
    <r>
      <rPr>
        <rFont val="맑은 고딕"/>
        <i/>
        <color rgb="FF7F7F7F"/>
        <sz val="8.0"/>
      </rPr>
      <t>'</t>
    </r>
    <r>
      <rPr>
        <rFont val="Noto Sans CJK SC"/>
        <i/>
        <color rgb="FF7F7F7F"/>
        <sz val="8.0"/>
      </rPr>
      <t>까지 받으면 정량화 쉬워짐</t>
    </r>
  </si>
  <si>
    <r>
      <rPr>
        <rFont val="Noto Sans CJK SC"/>
        <color rgb="FF000000"/>
        <sz val="9.0"/>
      </rPr>
      <t>진단</t>
    </r>
    <r>
      <rPr>
        <rFont val="맑은 고딕"/>
        <color rgb="FF000000"/>
        <sz val="9.0"/>
      </rPr>
      <t>·</t>
    </r>
    <r>
      <rPr>
        <rFont val="Noto Sans CJK SC"/>
        <color rgb="FF000000"/>
        <sz val="9.0"/>
      </rPr>
      <t>자기평가</t>
    </r>
  </si>
  <si>
    <r>
      <rPr>
        <rFont val="Noto Sans CJK SC"/>
        <b/>
        <color rgb="FF000000"/>
        <sz val="9.0"/>
      </rPr>
      <t>발표</t>
    </r>
    <r>
      <rPr>
        <rFont val="맑은 고딕"/>
        <b/>
        <color rgb="FF000000"/>
        <sz val="9.0"/>
      </rPr>
      <t>·</t>
    </r>
    <r>
      <rPr>
        <rFont val="Noto Sans CJK SC"/>
        <b/>
        <color rgb="FF000000"/>
        <sz val="9.0"/>
      </rPr>
      <t>게재 연월</t>
    </r>
  </si>
  <si>
    <t>학습경험진단</t>
  </si>
  <si>
    <r>
      <rPr>
        <rFont val="맑은 고딕"/>
        <i/>
        <color rgb="FF7F7F7F"/>
        <sz val="8.0"/>
      </rPr>
      <t>[</t>
    </r>
    <r>
      <rPr>
        <rFont val="Noto Sans CJK SC"/>
        <i/>
        <color rgb="FF7F7F7F"/>
        <sz val="8.0"/>
      </rPr>
      <t xml:space="preserve">논문 </t>
    </r>
    <r>
      <rPr>
        <rFont val="맑은 고딕"/>
        <i/>
        <color rgb="FF7F7F7F"/>
        <sz val="8.0"/>
      </rPr>
      <t xml:space="preserve">/ </t>
    </r>
    <r>
      <rPr>
        <rFont val="Noto Sans CJK SC"/>
        <i/>
        <color rgb="FF7F7F7F"/>
        <sz val="8.0"/>
      </rPr>
      <t xml:space="preserve">보고서 </t>
    </r>
    <r>
      <rPr>
        <rFont val="맑은 고딕"/>
        <i/>
        <color rgb="FF7F7F7F"/>
        <sz val="8.0"/>
      </rPr>
      <t xml:space="preserve">/ </t>
    </r>
    <r>
      <rPr>
        <rFont val="Noto Sans CJK SC"/>
        <i/>
        <color rgb="FF7F7F7F"/>
        <sz val="8.0"/>
      </rPr>
      <t>학술발표자료</t>
    </r>
    <r>
      <rPr>
        <rFont val="맑은 고딕"/>
        <i/>
        <color rgb="FF7F7F7F"/>
        <sz val="8.0"/>
      </rPr>
      <t>]</t>
    </r>
  </si>
  <si>
    <r>
      <rPr>
        <rFont val="맑은 고딕"/>
        <color rgb="FF000000"/>
        <sz val="9.0"/>
      </rPr>
      <t xml:space="preserve">SKKU </t>
    </r>
    <r>
      <rPr>
        <rFont val="Noto Sans CJK SC"/>
        <color rgb="FF000000"/>
        <sz val="9.0"/>
      </rPr>
      <t>확보가능</t>
    </r>
  </si>
  <si>
    <r>
      <rPr>
        <rFont val="맑은 고딕"/>
        <i/>
        <color rgb="FF7F7F7F"/>
        <sz val="8.0"/>
      </rPr>
      <t>[</t>
    </r>
    <r>
      <rPr>
        <rFont val="Noto Sans CJK SC"/>
        <i/>
        <color rgb="FF7F7F7F"/>
        <sz val="8.0"/>
      </rPr>
      <t xml:space="preserve">국제학술지 </t>
    </r>
    <r>
      <rPr>
        <rFont val="맑은 고딕"/>
        <i/>
        <color rgb="FF7F7F7F"/>
        <sz val="8.0"/>
      </rPr>
      <t xml:space="preserve">/ </t>
    </r>
    <r>
      <rPr>
        <rFont val="Noto Sans CJK SC"/>
        <i/>
        <color rgb="FF7F7F7F"/>
        <sz val="8.0"/>
      </rPr>
      <t xml:space="preserve">국내학술지 </t>
    </r>
    <r>
      <rPr>
        <rFont val="맑은 고딕"/>
        <i/>
        <color rgb="FF7F7F7F"/>
        <sz val="8.0"/>
      </rPr>
      <t xml:space="preserve">/ </t>
    </r>
    <r>
      <rPr>
        <rFont val="Noto Sans CJK SC"/>
        <i/>
        <color rgb="FF7F7F7F"/>
        <sz val="8.0"/>
      </rPr>
      <t xml:space="preserve">국제학술대회 </t>
    </r>
    <r>
      <rPr>
        <rFont val="맑은 고딕"/>
        <i/>
        <color rgb="FF7F7F7F"/>
        <sz val="8.0"/>
      </rPr>
      <t xml:space="preserve">/ </t>
    </r>
    <r>
      <rPr>
        <rFont val="Noto Sans CJK SC"/>
        <i/>
        <color rgb="FF7F7F7F"/>
        <sz val="8.0"/>
      </rPr>
      <t xml:space="preserve">국내학술대회 </t>
    </r>
    <r>
      <rPr>
        <rFont val="맑은 고딕"/>
        <i/>
        <color rgb="FF7F7F7F"/>
        <sz val="8.0"/>
      </rPr>
      <t xml:space="preserve">/ </t>
    </r>
    <r>
      <rPr>
        <rFont val="Noto Sans CJK SC"/>
        <i/>
        <color rgb="FF7F7F7F"/>
        <sz val="8.0"/>
      </rPr>
      <t>교내</t>
    </r>
    <r>
      <rPr>
        <rFont val="맑은 고딕"/>
        <i/>
        <color rgb="FF7F7F7F"/>
        <sz val="8.0"/>
      </rPr>
      <t>]</t>
    </r>
  </si>
  <si>
    <r>
      <rPr>
        <rFont val="Noto Sans CJK SC"/>
        <b/>
        <color rgb="FF000000"/>
        <sz val="9.0"/>
      </rPr>
      <t>이수 시간</t>
    </r>
    <r>
      <rPr>
        <rFont val="맑은 고딕"/>
        <b/>
        <color rgb="FF000000"/>
        <sz val="9.0"/>
      </rPr>
      <t>(h)</t>
    </r>
  </si>
  <si>
    <r>
      <rPr>
        <rFont val="맑은 고딕"/>
        <i/>
        <color rgb="FF7F7F7F"/>
        <sz val="8.0"/>
      </rPr>
      <t>[</t>
    </r>
    <r>
      <rPr>
        <rFont val="Noto Sans CJK SC"/>
        <i/>
        <color rgb="FF7F7F7F"/>
        <sz val="8.0"/>
      </rPr>
      <t xml:space="preserve">게재 </t>
    </r>
    <r>
      <rPr>
        <rFont val="맑은 고딕"/>
        <i/>
        <color rgb="FF7F7F7F"/>
        <sz val="8.0"/>
      </rPr>
      <t xml:space="preserve">/ </t>
    </r>
    <r>
      <rPr>
        <rFont val="Noto Sans CJK SC"/>
        <i/>
        <color rgb="FF7F7F7F"/>
        <sz val="8.0"/>
      </rPr>
      <t xml:space="preserve">게재승인 </t>
    </r>
    <r>
      <rPr>
        <rFont val="맑은 고딕"/>
        <i/>
        <color rgb="FF7F7F7F"/>
        <sz val="8.0"/>
      </rPr>
      <t xml:space="preserve">/ </t>
    </r>
    <r>
      <rPr>
        <rFont val="Noto Sans CJK SC"/>
        <i/>
        <color rgb="FF7F7F7F"/>
        <sz val="8.0"/>
      </rPr>
      <t xml:space="preserve">투고 </t>
    </r>
    <r>
      <rPr>
        <rFont val="맑은 고딕"/>
        <i/>
        <color rgb="FF7F7F7F"/>
        <sz val="8.0"/>
      </rPr>
      <t xml:space="preserve">/ </t>
    </r>
    <r>
      <rPr>
        <rFont val="Noto Sans CJK SC"/>
        <i/>
        <color rgb="FF7F7F7F"/>
        <sz val="8.0"/>
      </rPr>
      <t>작성중</t>
    </r>
    <r>
      <rPr>
        <rFont val="맑은 고딕"/>
        <i/>
        <color rgb="FF7F7F7F"/>
        <sz val="8.0"/>
      </rPr>
      <t>]</t>
    </r>
  </si>
  <si>
    <r>
      <rPr>
        <rFont val="맑은 고딕"/>
        <i/>
        <color rgb="FF7F7F7F"/>
        <sz val="8.0"/>
      </rPr>
      <t>[</t>
    </r>
    <r>
      <rPr>
        <rFont val="Noto Sans CJK SC"/>
        <i/>
        <color rgb="FF7F7F7F"/>
        <sz val="8.0"/>
      </rPr>
      <t xml:space="preserve">단독 </t>
    </r>
    <r>
      <rPr>
        <rFont val="맑은 고딕"/>
        <i/>
        <color rgb="FF7F7F7F"/>
        <sz val="8.0"/>
      </rPr>
      <t xml:space="preserve">/ </t>
    </r>
    <r>
      <rPr>
        <rFont val="Noto Sans CJK SC"/>
        <i/>
        <color rgb="FF7F7F7F"/>
        <sz val="8.0"/>
      </rPr>
      <t>제</t>
    </r>
    <r>
      <rPr>
        <rFont val="맑은 고딕"/>
        <i/>
        <color rgb="FF7F7F7F"/>
        <sz val="8.0"/>
      </rPr>
      <t>1</t>
    </r>
    <r>
      <rPr>
        <rFont val="Noto Sans CJK SC"/>
        <i/>
        <color rgb="FF7F7F7F"/>
        <sz val="8.0"/>
      </rPr>
      <t xml:space="preserve">저자 </t>
    </r>
    <r>
      <rPr>
        <rFont val="맑은 고딕"/>
        <i/>
        <color rgb="FF7F7F7F"/>
        <sz val="8.0"/>
      </rPr>
      <t xml:space="preserve">/ </t>
    </r>
    <r>
      <rPr>
        <rFont val="Noto Sans CJK SC"/>
        <i/>
        <color rgb="FF7F7F7F"/>
        <sz val="8.0"/>
      </rPr>
      <t>공동저자</t>
    </r>
    <r>
      <rPr>
        <rFont val="맑은 고딕"/>
        <i/>
        <color rgb="FF7F7F7F"/>
        <sz val="8.0"/>
      </rPr>
      <t>]</t>
    </r>
  </si>
  <si>
    <r>
      <rPr>
        <rFont val="맑은 고딕"/>
        <i/>
        <color rgb="FF7F7F7F"/>
        <sz val="8.0"/>
      </rPr>
      <t>[</t>
    </r>
    <r>
      <rPr>
        <rFont val="Noto Sans CJK SC"/>
        <i/>
        <color rgb="FF7F7F7F"/>
        <sz val="8.0"/>
      </rPr>
      <t xml:space="preserve">교과 </t>
    </r>
    <r>
      <rPr>
        <rFont val="맑은 고딕"/>
        <i/>
        <color rgb="FF7F7F7F"/>
        <sz val="8.0"/>
      </rPr>
      <t xml:space="preserve">/ </t>
    </r>
    <r>
      <rPr>
        <rFont val="Noto Sans CJK SC"/>
        <i/>
        <color rgb="FF7F7F7F"/>
        <sz val="8.0"/>
      </rPr>
      <t xml:space="preserve">비교과 </t>
    </r>
    <r>
      <rPr>
        <rFont val="맑은 고딕"/>
        <i/>
        <color rgb="FF7F7F7F"/>
        <sz val="8.0"/>
      </rPr>
      <t>/ 3</t>
    </r>
    <r>
      <rPr>
        <rFont val="Noto Sans CJK SC"/>
        <i/>
        <color rgb="FF7F7F7F"/>
        <sz val="8.0"/>
      </rPr>
      <t>품</t>
    </r>
    <r>
      <rPr>
        <rFont val="맑은 고딕"/>
        <i/>
        <color rgb="FF7F7F7F"/>
        <sz val="8.0"/>
      </rPr>
      <t>(AI)]</t>
    </r>
  </si>
  <si>
    <r>
      <rPr>
        <rFont val="맑은 고딕"/>
        <i/>
        <color rgb="FF7F7F7F"/>
        <sz val="8.0"/>
      </rPr>
      <t>[</t>
    </r>
    <r>
      <rPr>
        <rFont val="Noto Sans CJK SC"/>
        <i/>
        <color rgb="FF7F7F7F"/>
        <sz val="8.0"/>
      </rPr>
      <t xml:space="preserve">이수 </t>
    </r>
    <r>
      <rPr>
        <rFont val="맑은 고딕"/>
        <i/>
        <color rgb="FF7F7F7F"/>
        <sz val="8.0"/>
      </rPr>
      <t xml:space="preserve">/ </t>
    </r>
    <r>
      <rPr>
        <rFont val="Noto Sans CJK SC"/>
        <i/>
        <color rgb="FF7F7F7F"/>
        <sz val="8.0"/>
      </rPr>
      <t xml:space="preserve">수강중 </t>
    </r>
    <r>
      <rPr>
        <rFont val="맑은 고딕"/>
        <i/>
        <color rgb="FF7F7F7F"/>
        <sz val="8.0"/>
      </rPr>
      <t xml:space="preserve">/ </t>
    </r>
    <r>
      <rPr>
        <rFont val="Noto Sans CJK SC"/>
        <i/>
        <color rgb="FF7F7F7F"/>
        <sz val="8.0"/>
      </rPr>
      <t>미이수</t>
    </r>
    <r>
      <rPr>
        <rFont val="맑은 고딕"/>
        <i/>
        <color rgb="FF7F7F7F"/>
        <sz val="8.0"/>
      </rPr>
      <t>]</t>
    </r>
  </si>
  <si>
    <r>
      <rPr>
        <rFont val="맑은 고딕"/>
        <color rgb="FF1F3B8A"/>
        <sz val="10.0"/>
      </rPr>
      <t>4</t>
    </r>
    <r>
      <rPr>
        <rFont val="Noto Sans CJK SC"/>
        <color rgb="FF1F3B8A"/>
        <sz val="10.0"/>
      </rPr>
      <t>족 보행로봇 보행 안정성 시뮬레이션</t>
    </r>
  </si>
  <si>
    <t>교과</t>
  </si>
  <si>
    <t>머신러닝개론</t>
  </si>
  <si>
    <r>
      <rPr>
        <rFont val="Noto Sans CJK SC"/>
        <color rgb="FF1F3B8A"/>
        <sz val="10.0"/>
      </rPr>
      <t>제</t>
    </r>
    <r>
      <rPr>
        <rFont val="맑은 고딕"/>
        <color rgb="FF1F3B8A"/>
        <sz val="10.0"/>
      </rPr>
      <t>1</t>
    </r>
    <r>
      <rPr>
        <rFont val="Noto Sans CJK SC"/>
        <color rgb="FF1F3B8A"/>
        <sz val="10.0"/>
      </rPr>
      <t>저자</t>
    </r>
  </si>
  <si>
    <t>2024-12</t>
  </si>
  <si>
    <t>이수</t>
  </si>
  <si>
    <t>비교과</t>
  </si>
  <si>
    <r>
      <rPr>
        <rFont val="Noto Sans CJK SC"/>
        <color rgb="FF1F3B8A"/>
        <sz val="10.0"/>
      </rPr>
      <t xml:space="preserve">생성형 </t>
    </r>
    <r>
      <rPr>
        <rFont val="맑은 고딕"/>
        <color rgb="FF1F3B8A"/>
        <sz val="10.0"/>
      </rPr>
      <t xml:space="preserve">AI </t>
    </r>
    <r>
      <rPr>
        <rFont val="Noto Sans CJK SC"/>
        <color rgb="FF1F3B8A"/>
        <sz val="10.0"/>
      </rPr>
      <t>실무 워크숍</t>
    </r>
  </si>
  <si>
    <t>2025-02</t>
  </si>
  <si>
    <r>
      <rPr>
        <rFont val="맑은 고딕"/>
        <color rgb="FF1F3B8A"/>
        <sz val="10.0"/>
      </rPr>
      <t>3</t>
    </r>
    <r>
      <rPr>
        <rFont val="Noto Sans CJK SC"/>
        <color rgb="FF1F3B8A"/>
        <sz val="10.0"/>
      </rPr>
      <t>품</t>
    </r>
    <r>
      <rPr>
        <rFont val="맑은 고딕"/>
        <color rgb="FF1F3B8A"/>
        <sz val="10.0"/>
      </rPr>
      <t>(AI)</t>
    </r>
  </si>
  <si>
    <t>바이브 코딩 기초</t>
  </si>
  <si>
    <r>
      <rPr>
        <rFont val="맑은 고딕"/>
        <b/>
        <color rgb="FF000000"/>
        <sz val="11.0"/>
      </rPr>
      <t xml:space="preserve">TA </t>
    </r>
    <r>
      <rPr>
        <rFont val="Noto Sans CJK SC"/>
        <b/>
        <color rgb="FF000000"/>
        <sz val="11.0"/>
      </rPr>
      <t>활동</t>
    </r>
  </si>
  <si>
    <r>
      <rPr>
        <rFont val="맑은 고딕"/>
        <b/>
        <color rgb="FF000000"/>
        <sz val="11.0"/>
      </rPr>
      <t xml:space="preserve">AI </t>
    </r>
    <r>
      <rPr>
        <rFont val="Noto Sans CJK SC"/>
        <b/>
        <color rgb="FF000000"/>
        <sz val="11.0"/>
      </rPr>
      <t>프로젝트</t>
    </r>
    <r>
      <rPr>
        <rFont val="맑은 고딕"/>
        <b/>
        <color rgb="FF000000"/>
        <sz val="11.0"/>
      </rPr>
      <t>·</t>
    </r>
    <r>
      <rPr>
        <rFont val="Noto Sans CJK SC"/>
        <b/>
        <color rgb="FF000000"/>
        <sz val="11.0"/>
      </rPr>
      <t>대회</t>
    </r>
  </si>
  <si>
    <r>
      <rPr>
        <rFont val="Noto Sans CJK SC"/>
        <i/>
        <color rgb="FF7F7F7F"/>
        <sz val="8.0"/>
      </rPr>
      <t>출처</t>
    </r>
    <r>
      <rPr>
        <rFont val="맑은 고딕"/>
        <i/>
        <color rgb="FF7F7F7F"/>
        <sz val="8.0"/>
      </rPr>
      <t xml:space="preserve">: </t>
    </r>
    <r>
      <rPr>
        <rFont val="Noto Sans CJK SC"/>
        <i/>
        <color rgb="FF7F7F7F"/>
        <sz val="8.0"/>
      </rPr>
      <t xml:space="preserve">비교과 시스템 </t>
    </r>
    <r>
      <rPr>
        <rFont val="맑은 고딕"/>
        <i/>
        <color rgb="FF7F7F7F"/>
        <sz val="8.0"/>
      </rPr>
      <t xml:space="preserve">· </t>
    </r>
    <r>
      <rPr>
        <rFont val="Noto Sans CJK SC"/>
        <i/>
        <color rgb="FF7F7F7F"/>
        <sz val="8.0"/>
      </rPr>
      <t xml:space="preserve">학생 등록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대인관계 </t>
    </r>
    <r>
      <rPr>
        <rFont val="맑은 고딕"/>
        <i/>
        <color rgb="FF7F7F7F"/>
        <sz val="8.0"/>
      </rPr>
      <t xml:space="preserve">/ </t>
    </r>
    <r>
      <rPr>
        <rFont val="Noto Sans CJK SC"/>
        <i/>
        <color rgb="FF7F7F7F"/>
        <sz val="8.0"/>
      </rPr>
      <t xml:space="preserve">리더십 </t>
    </r>
    <r>
      <rPr>
        <rFont val="맑은 고딕"/>
        <i/>
        <color rgb="FF7F7F7F"/>
        <sz val="8.0"/>
      </rPr>
      <t xml:space="preserve">/ </t>
    </r>
    <r>
      <rPr>
        <rFont val="Noto Sans CJK SC"/>
        <i/>
        <color rgb="FF7F7F7F"/>
        <sz val="8.0"/>
      </rPr>
      <t xml:space="preserve">커뮤니케이션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직책</t>
    </r>
    <r>
      <rPr>
        <rFont val="맑은 고딕"/>
        <i/>
        <color rgb="FF7F7F7F"/>
        <sz val="8.0"/>
      </rPr>
      <t>(</t>
    </r>
    <r>
      <rPr>
        <rFont val="Noto Sans CJK SC"/>
        <i/>
        <color rgb="FF7F7F7F"/>
        <sz val="8.0"/>
      </rPr>
      <t>회장</t>
    </r>
    <r>
      <rPr>
        <rFont val="맑은 고딕"/>
        <i/>
        <color rgb="FF7F7F7F"/>
        <sz val="8.0"/>
      </rPr>
      <t>·</t>
    </r>
    <r>
      <rPr>
        <rFont val="Noto Sans CJK SC"/>
        <i/>
        <color rgb="FF7F7F7F"/>
        <sz val="8.0"/>
      </rPr>
      <t>부장</t>
    </r>
    <r>
      <rPr>
        <rFont val="맑은 고딕"/>
        <i/>
        <color rgb="FF7F7F7F"/>
        <sz val="8.0"/>
      </rPr>
      <t>·</t>
    </r>
    <r>
      <rPr>
        <rFont val="Noto Sans CJK SC"/>
        <i/>
        <color rgb="FF7F7F7F"/>
        <sz val="8.0"/>
      </rPr>
      <t>총무</t>
    </r>
    <r>
      <rPr>
        <rFont val="맑은 고딕"/>
        <i/>
        <color rgb="FF7F7F7F"/>
        <sz val="8.0"/>
      </rPr>
      <t>·</t>
    </r>
    <r>
      <rPr>
        <rFont val="Noto Sans CJK SC"/>
        <i/>
        <color rgb="FF7F7F7F"/>
        <sz val="8.0"/>
      </rPr>
      <t>부원</t>
    </r>
    <r>
      <rPr>
        <rFont val="맑은 고딕"/>
        <i/>
        <color rgb="FF7F7F7F"/>
        <sz val="8.0"/>
      </rPr>
      <t xml:space="preserve">) × </t>
    </r>
    <r>
      <rPr>
        <rFont val="Noto Sans CJK SC"/>
        <i/>
        <color rgb="FF7F7F7F"/>
        <sz val="8.0"/>
      </rPr>
      <t>기간으로 정량화</t>
    </r>
  </si>
  <si>
    <t>단체명</t>
  </si>
  <si>
    <r>
      <rPr>
        <rFont val="Noto Sans CJK SC"/>
        <color rgb="FF000000"/>
        <sz val="9.0"/>
      </rPr>
      <t>진단</t>
    </r>
    <r>
      <rPr>
        <rFont val="맑은 고딕"/>
        <color rgb="FF000000"/>
        <sz val="9.0"/>
      </rPr>
      <t>·</t>
    </r>
    <r>
      <rPr>
        <rFont val="Noto Sans CJK SC"/>
        <color rgb="FF000000"/>
        <sz val="9.0"/>
      </rPr>
      <t>자기평가</t>
    </r>
  </si>
  <si>
    <t>직책</t>
  </si>
  <si>
    <r>
      <rPr>
        <rFont val="Noto Sans CJK SC"/>
        <color rgb="FF000000"/>
        <sz val="9.0"/>
      </rPr>
      <t>활동 성찰 기록</t>
    </r>
    <r>
      <rPr>
        <rFont val="맑은 고딕"/>
        <color rgb="FF000000"/>
        <sz val="9.0"/>
      </rPr>
      <t>(STAR)</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</si>
  <si>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</si>
  <si>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Noto Sans CJK SC"/>
        <b/>
        <color rgb="FF000000"/>
        <sz val="9.0"/>
      </rPr>
      <t>단체 규모</t>
    </r>
    <r>
      <rPr>
        <rFont val="맑은 고딕"/>
        <b/>
        <color rgb="FF000000"/>
        <sz val="9.0"/>
      </rPr>
      <t>(</t>
    </r>
    <r>
      <rPr>
        <rFont val="Noto Sans CJK SC"/>
        <b/>
        <color rgb="FF000000"/>
        <sz val="9.0"/>
      </rPr>
      <t>명</t>
    </r>
    <r>
      <rPr>
        <rFont val="맑은 고딕"/>
        <b/>
        <color rgb="FF000000"/>
        <sz val="9.0"/>
      </rPr>
      <t>)</t>
    </r>
  </si>
  <si>
    <r>
      <rPr>
        <rFont val="Noto Sans CJK SC"/>
        <b/>
        <color rgb="FF000000"/>
        <sz val="9.0"/>
      </rPr>
      <t>주요 활동</t>
    </r>
    <r>
      <rPr>
        <rFont val="맑은 고딕"/>
        <b/>
        <color rgb="FF000000"/>
        <sz val="9.0"/>
      </rPr>
      <t>·</t>
    </r>
    <r>
      <rPr>
        <rFont val="Noto Sans CJK SC"/>
        <b/>
        <color rgb="FF000000"/>
        <sz val="9.0"/>
      </rPr>
      <t>성과</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</si>
  <si>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xml:space="preserve">· </t>
    </r>
    <r>
      <rPr>
        <rFont val="Noto Sans CJK SC"/>
        <i/>
        <color rgb="FF7F7F7F"/>
        <sz val="8.0"/>
      </rPr>
      <t xml:space="preserve">교수학습센터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 xml:space="preserve">커뮤니케이션 </t>
    </r>
    <r>
      <rPr>
        <rFont val="맑은 고딕"/>
        <i/>
        <color rgb="FF7F7F7F"/>
        <sz val="8.0"/>
      </rPr>
      <t xml:space="preserve">/ </t>
    </r>
    <r>
      <rPr>
        <rFont val="Noto Sans CJK SC"/>
        <i/>
        <color rgb="FF7F7F7F"/>
        <sz val="8.0"/>
      </rPr>
      <t xml:space="preserve">책임감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기존 데이터셋에 없는 신규 근거</t>
    </r>
  </si>
  <si>
    <r>
      <rPr>
        <rFont val="맑은 고딕"/>
        <i/>
        <color rgb="FF7F7F7F"/>
        <sz val="8.0"/>
      </rPr>
      <t>[</t>
    </r>
    <r>
      <rPr>
        <rFont val="Noto Sans CJK SC"/>
        <i/>
        <color rgb="FF7F7F7F"/>
        <sz val="8.0"/>
      </rPr>
      <t xml:space="preserve">동아리 </t>
    </r>
    <r>
      <rPr>
        <rFont val="맑은 고딕"/>
        <i/>
        <color rgb="FF7F7F7F"/>
        <sz val="8.0"/>
      </rPr>
      <t xml:space="preserve">/ </t>
    </r>
    <r>
      <rPr>
        <rFont val="Noto Sans CJK SC"/>
        <i/>
        <color rgb="FF7F7F7F"/>
        <sz val="8.0"/>
      </rPr>
      <t xml:space="preserve">학생회 </t>
    </r>
    <r>
      <rPr>
        <rFont val="맑은 고딕"/>
        <i/>
        <color rgb="FF7F7F7F"/>
        <sz val="8.0"/>
      </rPr>
      <t xml:space="preserve">/ </t>
    </r>
    <r>
      <rPr>
        <rFont val="Noto Sans CJK SC"/>
        <i/>
        <color rgb="FF7F7F7F"/>
        <sz val="8.0"/>
      </rPr>
      <t xml:space="preserve">학회 </t>
    </r>
    <r>
      <rPr>
        <rFont val="맑은 고딕"/>
        <i/>
        <color rgb="FF7F7F7F"/>
        <sz val="8.0"/>
      </rPr>
      <t xml:space="preserve">/ </t>
    </r>
    <r>
      <rPr>
        <rFont val="Noto Sans CJK SC"/>
        <i/>
        <color rgb="FF7F7F7F"/>
        <sz val="8.0"/>
      </rPr>
      <t>기타단체</t>
    </r>
    <r>
      <rPr>
        <rFont val="맑은 고딕"/>
        <i/>
        <color rgb="FF7F7F7F"/>
        <sz val="8.0"/>
      </rPr>
      <t>]</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</si>
  <si>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</si>
  <si>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맑은 고딕"/>
        <i/>
        <color rgb="FF7F7F7F"/>
        <sz val="8.0"/>
      </rPr>
      <t>[</t>
    </r>
    <r>
      <rPr>
        <rFont val="Noto Sans CJK SC"/>
        <i/>
        <color rgb="FF7F7F7F"/>
        <sz val="8.0"/>
      </rPr>
      <t xml:space="preserve">회장 </t>
    </r>
    <r>
      <rPr>
        <rFont val="맑은 고딕"/>
        <i/>
        <color rgb="FF7F7F7F"/>
        <sz val="8.0"/>
      </rPr>
      <t xml:space="preserve">/ </t>
    </r>
    <r>
      <rPr>
        <rFont val="Noto Sans CJK SC"/>
        <i/>
        <color rgb="FF7F7F7F"/>
        <sz val="8.0"/>
      </rPr>
      <t xml:space="preserve">부회장 </t>
    </r>
    <r>
      <rPr>
        <rFont val="맑은 고딕"/>
        <i/>
        <color rgb="FF7F7F7F"/>
        <sz val="8.0"/>
      </rPr>
      <t xml:space="preserve">/ </t>
    </r>
    <r>
      <rPr>
        <rFont val="Noto Sans CJK SC"/>
        <i/>
        <color rgb="FF7F7F7F"/>
        <sz val="8.0"/>
      </rPr>
      <t xml:space="preserve">부장 </t>
    </r>
    <r>
      <rPr>
        <rFont val="맑은 고딕"/>
        <i/>
        <color rgb="FF7F7F7F"/>
        <sz val="8.0"/>
      </rPr>
      <t xml:space="preserve">/ </t>
    </r>
    <r>
      <rPr>
        <rFont val="Noto Sans CJK SC"/>
        <i/>
        <color rgb="FF7F7F7F"/>
        <sz val="8.0"/>
      </rPr>
      <t xml:space="preserve">총무 </t>
    </r>
    <r>
      <rPr>
        <rFont val="맑은 고딕"/>
        <i/>
        <color rgb="FF7F7F7F"/>
        <sz val="8.0"/>
      </rPr>
      <t xml:space="preserve">/ </t>
    </r>
    <r>
      <rPr>
        <rFont val="Noto Sans CJK SC"/>
        <i/>
        <color rgb="FF7F7F7F"/>
        <sz val="8.0"/>
      </rPr>
      <t>부원</t>
    </r>
    <r>
      <rPr>
        <rFont val="맑은 고딕"/>
        <i/>
        <color rgb="FF7F7F7F"/>
        <sz val="8.0"/>
      </rPr>
      <t>]</t>
    </r>
  </si>
  <si>
    <r>
      <rPr>
        <rFont val="맑은 고딕"/>
        <i/>
        <color rgb="FF7F7F7F"/>
        <sz val="8.0"/>
      </rPr>
      <t>YYYY-1 / YYYY-2 / YYYY-</t>
    </r>
    <r>
      <rPr>
        <rFont val="Noto Sans CJK SC"/>
        <i/>
        <color rgb="FF7F7F7F"/>
        <sz val="8.0"/>
      </rPr>
      <t xml:space="preserve">여름 </t>
    </r>
    <r>
      <rPr>
        <rFont val="맑은 고딕"/>
        <i/>
        <color rgb="FF7F7F7F"/>
        <sz val="8.0"/>
      </rPr>
      <t>/ YYYY-</t>
    </r>
    <r>
      <rPr>
        <rFont val="Noto Sans CJK SC"/>
        <i/>
        <color rgb="FF7F7F7F"/>
        <sz val="8.0"/>
      </rPr>
      <t>겨울</t>
    </r>
  </si>
  <si>
    <r>
      <rPr>
        <rFont val="맑은 고딕"/>
        <i/>
        <color rgb="FF7F7F7F"/>
        <sz val="8.0"/>
      </rPr>
      <t xml:space="preserve">YYYY-MM / </t>
    </r>
    <r>
      <rPr>
        <rFont val="Noto Sans CJK SC"/>
        <i/>
        <color rgb="FF7F7F7F"/>
        <sz val="8.0"/>
      </rPr>
      <t>진행중</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</si>
  <si>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3</t>
    </r>
    <r>
      <rPr>
        <rFont val="Noto Sans CJK SC"/>
        <i/>
        <color rgb="FF7F7F7F"/>
        <sz val="8.0"/>
      </rPr>
      <t>품</t>
    </r>
    <r>
      <rPr>
        <rFont val="맑은 고딕"/>
        <i/>
        <color rgb="FF7F7F7F"/>
        <sz val="8.0"/>
      </rPr>
      <t xml:space="preserve">(AI)   |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디지털리터러시</t>
    </r>
    <r>
      <rPr>
        <rFont val="맑은 고딕"/>
        <i/>
        <color rgb="FF7F7F7F"/>
        <sz val="8.0"/>
      </rPr>
      <t xml:space="preserve">(AI </t>
    </r>
    <r>
      <rPr>
        <rFont val="Noto Sans CJK SC"/>
        <i/>
        <color rgb="FF7F7F7F"/>
        <sz val="8.0"/>
      </rPr>
      <t>활용</t>
    </r>
    <r>
      <rPr>
        <rFont val="맑은 고딕"/>
        <i/>
        <color rgb="FF7F7F7F"/>
        <sz val="8.0"/>
      </rPr>
      <t xml:space="preserve">) / </t>
    </r>
    <r>
      <rPr>
        <rFont val="Noto Sans CJK SC"/>
        <i/>
        <color rgb="FF7F7F7F"/>
        <sz val="8.0"/>
      </rPr>
      <t xml:space="preserve">문제해결력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공모전 항목과 중복 가산되지 않게 분리</t>
    </r>
  </si>
  <si>
    <r>
      <rPr>
        <rFont val="Noto Sans CJK SC"/>
        <b/>
        <color rgb="FF000000"/>
        <sz val="9.0"/>
      </rPr>
      <t>결과</t>
    </r>
    <r>
      <rPr>
        <rFont val="맑은 고딕"/>
        <b/>
        <color rgb="FF000000"/>
        <sz val="9.0"/>
      </rPr>
      <t>·</t>
    </r>
    <r>
      <rPr>
        <rFont val="Noto Sans CJK SC"/>
        <b/>
        <color rgb="FF000000"/>
        <sz val="9.0"/>
      </rPr>
      <t>산출물</t>
    </r>
  </si>
  <si>
    <r>
      <rPr>
        <rFont val="Noto Sans CJK SC"/>
        <b/>
        <color rgb="FFFFFFFF"/>
        <sz val="11.0"/>
      </rPr>
      <t>■ 실무</t>
    </r>
    <r>
      <rPr>
        <rFont val="맑은 고딕"/>
        <b/>
        <color rgb="FFFFFFFF"/>
        <sz val="11.0"/>
      </rPr>
      <t>·</t>
    </r>
    <r>
      <rPr>
        <rFont val="Noto Sans CJK SC"/>
        <b/>
        <color rgb="FFFFFFFF"/>
        <sz val="11.0"/>
      </rPr>
      <t>진로</t>
    </r>
  </si>
  <si>
    <r>
      <rPr>
        <rFont val="Noto Sans CJK SC"/>
        <color rgb="FF000000"/>
        <sz val="9.0"/>
      </rPr>
      <t>진단</t>
    </r>
    <r>
      <rPr>
        <rFont val="맑은 고딕"/>
        <color rgb="FF000000"/>
        <sz val="9.0"/>
      </rPr>
      <t>·</t>
    </r>
    <r>
      <rPr>
        <rFont val="Noto Sans CJK SC"/>
        <color rgb="FF000000"/>
        <sz val="9.0"/>
      </rPr>
      <t>자기평가</t>
    </r>
  </si>
  <si>
    <t>교수 관찰 코멘트</t>
  </si>
  <si>
    <r>
      <rPr>
        <rFont val="맑은 고딕"/>
        <i/>
        <color rgb="FF7F7F7F"/>
        <sz val="8.0"/>
      </rPr>
      <t>[AI</t>
    </r>
    <r>
      <rPr>
        <rFont val="Noto Sans CJK SC"/>
        <i/>
        <color rgb="FF7F7F7F"/>
        <sz val="8.0"/>
      </rPr>
      <t xml:space="preserve">캡스톤 </t>
    </r>
    <r>
      <rPr>
        <rFont val="맑은 고딕"/>
        <i/>
        <color rgb="FF7F7F7F"/>
        <sz val="8.0"/>
      </rPr>
      <t>/ AI</t>
    </r>
    <r>
      <rPr>
        <rFont val="Noto Sans CJK SC"/>
        <i/>
        <color rgb="FF7F7F7F"/>
        <sz val="8.0"/>
      </rPr>
      <t xml:space="preserve">대회 </t>
    </r>
    <r>
      <rPr>
        <rFont val="맑은 고딕"/>
        <i/>
        <color rgb="FF7F7F7F"/>
        <sz val="8.0"/>
      </rPr>
      <t>/ AI</t>
    </r>
    <r>
      <rPr>
        <rFont val="Noto Sans CJK SC"/>
        <i/>
        <color rgb="FF7F7F7F"/>
        <sz val="8.0"/>
      </rPr>
      <t xml:space="preserve">공모전 </t>
    </r>
    <r>
      <rPr>
        <rFont val="맑은 고딕"/>
        <i/>
        <color rgb="FF7F7F7F"/>
        <sz val="8.0"/>
      </rPr>
      <t>/ AI</t>
    </r>
    <r>
      <rPr>
        <rFont val="Noto Sans CJK SC"/>
        <i/>
        <color rgb="FF7F7F7F"/>
        <sz val="8.0"/>
      </rPr>
      <t>프로젝트</t>
    </r>
    <r>
      <rPr>
        <rFont val="맑은 고딕"/>
        <i/>
        <color rgb="FF7F7F7F"/>
        <sz val="8.0"/>
      </rPr>
      <t>]</t>
    </r>
  </si>
  <si>
    <r>
      <rPr>
        <rFont val="Noto Sans CJK SC"/>
        <b/>
        <color rgb="FF000000"/>
        <sz val="11.0"/>
      </rPr>
      <t>인턴</t>
    </r>
    <r>
      <rPr>
        <rFont val="맑은 고딕"/>
        <b/>
        <color rgb="FF000000"/>
        <sz val="11.0"/>
      </rPr>
      <t>·</t>
    </r>
    <r>
      <rPr>
        <rFont val="Noto Sans CJK SC"/>
        <b/>
        <color rgb="FF000000"/>
        <sz val="11.0"/>
      </rPr>
      <t>현장실습</t>
    </r>
  </si>
  <si>
    <r>
      <rPr>
        <rFont val="맑은 고딕"/>
        <i/>
        <color rgb="FF7F7F7F"/>
        <sz val="8.0"/>
      </rPr>
      <t>[</t>
    </r>
    <r>
      <rPr>
        <rFont val="Noto Sans CJK SC"/>
        <i/>
        <color rgb="FF7F7F7F"/>
        <sz val="8.0"/>
      </rPr>
      <t xml:space="preserve">교내 </t>
    </r>
    <r>
      <rPr>
        <rFont val="맑은 고딕"/>
        <i/>
        <color rgb="FF7F7F7F"/>
        <sz val="8.0"/>
      </rPr>
      <t xml:space="preserve">/ </t>
    </r>
    <r>
      <rPr>
        <rFont val="Noto Sans CJK SC"/>
        <i/>
        <color rgb="FF7F7F7F"/>
        <sz val="8.0"/>
      </rPr>
      <t xml:space="preserve">지역 </t>
    </r>
    <r>
      <rPr>
        <rFont val="맑은 고딕"/>
        <i/>
        <color rgb="FF7F7F7F"/>
        <sz val="8.0"/>
      </rPr>
      <t xml:space="preserve">/ </t>
    </r>
    <r>
      <rPr>
        <rFont val="Noto Sans CJK SC"/>
        <i/>
        <color rgb="FF7F7F7F"/>
        <sz val="8.0"/>
      </rPr>
      <t xml:space="preserve">전국 </t>
    </r>
    <r>
      <rPr>
        <rFont val="맑은 고딕"/>
        <i/>
        <color rgb="FF7F7F7F"/>
        <sz val="8.0"/>
      </rPr>
      <t xml:space="preserve">/ </t>
    </r>
    <r>
      <rPr>
        <rFont val="Noto Sans CJK SC"/>
        <i/>
        <color rgb="FF7F7F7F"/>
        <sz val="8.0"/>
      </rPr>
      <t>국제</t>
    </r>
    <r>
      <rPr>
        <rFont val="맑은 고딕"/>
        <i/>
        <color rgb="FF7F7F7F"/>
        <sz val="8.0"/>
      </rPr>
      <t>]</t>
    </r>
  </si>
  <si>
    <r>
      <rPr>
        <rFont val="맑은 고딕"/>
        <color rgb="FF1F3B8A"/>
        <sz val="10.0"/>
      </rPr>
      <t>AI</t>
    </r>
    <r>
      <rPr>
        <rFont val="Noto Sans CJK SC"/>
        <color rgb="FF1F3B8A"/>
        <sz val="10.0"/>
      </rPr>
      <t>캡스톤</t>
    </r>
  </si>
  <si>
    <t>물류 수요예측 모델 개발</t>
  </si>
  <si>
    <t>모델링 담당</t>
  </si>
  <si>
    <t>최종발표 우수상</t>
  </si>
  <si>
    <t>2026-06</t>
  </si>
  <si>
    <r>
      <rPr>
        <rFont val="Noto Sans CJK SC"/>
        <i/>
        <color rgb="FF7F7F7F"/>
        <sz val="8.0"/>
      </rPr>
      <t>출처</t>
    </r>
    <r>
      <rPr>
        <rFont val="맑은 고딕"/>
        <i/>
        <color rgb="FF7F7F7F"/>
        <sz val="8.0"/>
      </rPr>
      <t xml:space="preserve">: </t>
    </r>
    <r>
      <rPr>
        <rFont val="Noto Sans CJK SC"/>
        <i/>
        <color rgb="FF7F7F7F"/>
        <sz val="8.0"/>
      </rPr>
      <t xml:space="preserve">현장실습 지원 시스템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인턴십</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커뮤니케이션</t>
    </r>
    <r>
      <rPr>
        <rFont val="맑은 고딕"/>
        <i/>
        <color rgb="FF7F7F7F"/>
        <sz val="8.0"/>
      </rPr>
      <t>(</t>
    </r>
    <r>
      <rPr>
        <rFont val="Noto Sans CJK SC"/>
        <i/>
        <color rgb="FF7F7F7F"/>
        <sz val="8.0"/>
      </rPr>
      <t>협업</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기간</t>
    </r>
    <r>
      <rPr>
        <rFont val="맑은 고딕"/>
        <i/>
        <color rgb="FF7F7F7F"/>
        <sz val="8.0"/>
      </rPr>
      <t>(</t>
    </r>
    <r>
      <rPr>
        <rFont val="Noto Sans CJK SC"/>
        <i/>
        <color rgb="FF7F7F7F"/>
        <sz val="8.0"/>
      </rPr>
      <t>개월</t>
    </r>
    <r>
      <rPr>
        <rFont val="맑은 고딕"/>
        <i/>
        <color rgb="FF7F7F7F"/>
        <sz val="8.0"/>
      </rPr>
      <t>)</t>
    </r>
    <r>
      <rPr>
        <rFont val="Noto Sans CJK SC"/>
        <i/>
        <color rgb="FF7F7F7F"/>
        <sz val="8.0"/>
      </rPr>
      <t>과 직무 관련성을 함께 추출</t>
    </r>
  </si>
  <si>
    <r>
      <rPr>
        <rFont val="Noto Sans CJK SC"/>
        <b/>
        <color rgb="FF000000"/>
        <sz val="9.0"/>
      </rPr>
      <t>직무</t>
    </r>
    <r>
      <rPr>
        <rFont val="맑은 고딕"/>
        <b/>
        <color rgb="FF000000"/>
        <sz val="9.0"/>
      </rPr>
      <t>·</t>
    </r>
    <r>
      <rPr>
        <rFont val="Noto Sans CJK SC"/>
        <b/>
        <color rgb="FF000000"/>
        <sz val="9.0"/>
      </rPr>
      <t>부서</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</si>
  <si>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</si>
  <si>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맑은 고딕"/>
        <b/>
        <color rgb="FF000000"/>
        <sz val="9.0"/>
      </rPr>
      <t>3</t>
    </r>
    <r>
      <rPr>
        <rFont val="Noto Sans CJK SC"/>
        <b/>
        <color rgb="FF000000"/>
        <sz val="9.0"/>
      </rPr>
      <t>품 인정</t>
    </r>
  </si>
  <si>
    <r>
      <rPr>
        <rFont val="Noto Sans CJK SC"/>
        <i/>
        <color rgb="FF7F7F7F"/>
        <sz val="8.0"/>
      </rPr>
      <t>출처</t>
    </r>
    <r>
      <rPr>
        <rFont val="맑은 고딕"/>
        <i/>
        <color rgb="FF7F7F7F"/>
        <sz val="8.0"/>
      </rPr>
      <t>: 1365 · 3</t>
    </r>
    <r>
      <rPr>
        <rFont val="Noto Sans CJK SC"/>
        <i/>
        <color rgb="FF7F7F7F"/>
        <sz val="8.0"/>
      </rPr>
      <t>품</t>
    </r>
    <r>
      <rPr>
        <rFont val="맑은 고딕"/>
        <i/>
        <color rgb="FF7F7F7F"/>
        <sz val="8.0"/>
      </rPr>
      <t>(</t>
    </r>
    <r>
      <rPr>
        <rFont val="Noto Sans CJK SC"/>
        <i/>
        <color rgb="FF7F7F7F"/>
        <sz val="8.0"/>
      </rPr>
      <t>인성</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대인관계 </t>
    </r>
    <r>
      <rPr>
        <rFont val="맑은 고딕"/>
        <i/>
        <color rgb="FF7F7F7F"/>
        <sz val="8.0"/>
      </rPr>
      <t xml:space="preserve">/ </t>
    </r>
    <r>
      <rPr>
        <rFont val="Noto Sans CJK SC"/>
        <i/>
        <color rgb="FF7F7F7F"/>
        <sz val="8.0"/>
      </rPr>
      <t xml:space="preserve">리더십 </t>
    </r>
    <r>
      <rPr>
        <rFont val="맑은 고딕"/>
        <i/>
        <color rgb="FF7F7F7F"/>
        <sz val="8.0"/>
      </rPr>
      <t xml:space="preserve">/ </t>
    </r>
    <r>
      <rPr>
        <rFont val="Noto Sans CJK SC"/>
        <i/>
        <color rgb="FF7F7F7F"/>
        <sz val="8.0"/>
      </rPr>
      <t xml:space="preserve">문화적수용능력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학년 보정</t>
    </r>
    <r>
      <rPr>
        <rFont val="맑은 고딕"/>
        <i/>
        <color rgb="FF7F7F7F"/>
        <sz val="8.0"/>
      </rPr>
      <t>(</t>
    </r>
    <r>
      <rPr>
        <rFont val="Noto Sans CJK SC"/>
        <i/>
        <color rgb="FF7F7F7F"/>
        <sz val="8.0"/>
      </rPr>
      <t>학기당 시간</t>
    </r>
    <r>
      <rPr>
        <rFont val="맑은 고딕"/>
        <i/>
        <color rgb="FF7F7F7F"/>
        <sz val="8.0"/>
      </rPr>
      <t xml:space="preserve">) </t>
    </r>
    <r>
      <rPr>
        <rFont val="Noto Sans CJK SC"/>
        <i/>
        <color rgb="FF7F7F7F"/>
        <sz val="8.0"/>
      </rPr>
      <t>필요</t>
    </r>
  </si>
  <si>
    <r>
      <rPr>
        <rFont val="맑은 고딕"/>
        <i/>
        <color rgb="FF7F7F7F"/>
        <sz val="8.0"/>
      </rPr>
      <t>[</t>
    </r>
    <r>
      <rPr>
        <rFont val="Noto Sans CJK SC"/>
        <i/>
        <color rgb="FF7F7F7F"/>
        <sz val="8.0"/>
      </rPr>
      <t xml:space="preserve">인턴십 </t>
    </r>
    <r>
      <rPr>
        <rFont val="맑은 고딕"/>
        <i/>
        <color rgb="FF7F7F7F"/>
        <sz val="8.0"/>
      </rPr>
      <t xml:space="preserve">/ </t>
    </r>
    <r>
      <rPr>
        <rFont val="Noto Sans CJK SC"/>
        <i/>
        <color rgb="FF7F7F7F"/>
        <sz val="8.0"/>
      </rPr>
      <t xml:space="preserve">현장실습 </t>
    </r>
    <r>
      <rPr>
        <rFont val="맑은 고딕"/>
        <i/>
        <color rgb="FF7F7F7F"/>
        <sz val="8.0"/>
      </rPr>
      <t xml:space="preserve">/ </t>
    </r>
    <r>
      <rPr>
        <rFont val="Noto Sans CJK SC"/>
        <i/>
        <color rgb="FF7F7F7F"/>
        <sz val="8.0"/>
      </rPr>
      <t xml:space="preserve">연구체험 </t>
    </r>
    <r>
      <rPr>
        <rFont val="맑은 고딕"/>
        <i/>
        <color rgb="FF7F7F7F"/>
        <sz val="8.0"/>
      </rPr>
      <t xml:space="preserve">/ </t>
    </r>
    <r>
      <rPr>
        <rFont val="Noto Sans CJK SC"/>
        <i/>
        <color rgb="FF7F7F7F"/>
        <sz val="8.0"/>
      </rPr>
      <t>문제해결프로젝트</t>
    </r>
    <r>
      <rPr>
        <rFont val="맑은 고딕"/>
        <i/>
        <color rgb="FF7F7F7F"/>
        <sz val="8.0"/>
      </rPr>
      <t>]</t>
    </r>
  </si>
  <si>
    <r>
      <rPr>
        <rFont val="Noto Sans CJK SC"/>
        <b/>
        <color rgb="FF000000"/>
        <sz val="10.0"/>
      </rPr>
      <t>총 봉사시간</t>
    </r>
    <r>
      <rPr>
        <rFont val="맑은 고딕"/>
        <b/>
        <color rgb="FF000000"/>
        <sz val="10.0"/>
      </rPr>
      <t>(h)</t>
    </r>
  </si>
  <si>
    <r>
      <rPr>
        <rFont val="맑은 고딕"/>
        <i/>
        <color rgb="FF7F7F7F"/>
        <sz val="8.0"/>
      </rPr>
      <t>[</t>
    </r>
    <r>
      <rPr>
        <rFont val="Noto Sans CJK SC"/>
        <i/>
        <color rgb="FF7F7F7F"/>
        <sz val="8.0"/>
      </rPr>
      <t xml:space="preserve">관련 </t>
    </r>
    <r>
      <rPr>
        <rFont val="맑은 고딕"/>
        <i/>
        <color rgb="FF7F7F7F"/>
        <sz val="8.0"/>
      </rPr>
      <t xml:space="preserve">/ </t>
    </r>
    <r>
      <rPr>
        <rFont val="Noto Sans CJK SC"/>
        <i/>
        <color rgb="FF7F7F7F"/>
        <sz val="8.0"/>
      </rPr>
      <t xml:space="preserve">일부 관련 </t>
    </r>
    <r>
      <rPr>
        <rFont val="맑은 고딕"/>
        <i/>
        <color rgb="FF7F7F7F"/>
        <sz val="8.0"/>
      </rPr>
      <t xml:space="preserve">/ </t>
    </r>
    <r>
      <rPr>
        <rFont val="Noto Sans CJK SC"/>
        <i/>
        <color rgb="FF7F7F7F"/>
        <sz val="8.0"/>
      </rPr>
      <t>무관</t>
    </r>
    <r>
      <rPr>
        <rFont val="맑은 고딕"/>
        <i/>
        <color rgb="FF7F7F7F"/>
        <sz val="8.0"/>
      </rPr>
      <t>]</t>
    </r>
  </si>
  <si>
    <r>
      <rPr>
        <rFont val="맑은 고딕"/>
        <color rgb="FF7F7F7F"/>
        <sz val="9.0"/>
      </rPr>
      <t xml:space="preserve">1365 </t>
    </r>
    <r>
      <rPr>
        <rFont val="Noto Sans CJK SC"/>
        <color rgb="FF7F7F7F"/>
        <sz val="9.0"/>
      </rPr>
      <t>등 인증 시간 합계</t>
    </r>
  </si>
  <si>
    <t>현장실습</t>
  </si>
  <si>
    <r>
      <rPr>
        <rFont val="Noto Sans CJK SC"/>
        <color rgb="FF1F3B8A"/>
        <sz val="10.0"/>
      </rPr>
      <t>대성정밀</t>
    </r>
    <r>
      <rPr>
        <rFont val="맑은 고딕"/>
        <color rgb="FF1F3B8A"/>
        <sz val="10.0"/>
      </rPr>
      <t>(</t>
    </r>
    <r>
      <rPr>
        <rFont val="Noto Sans CJK SC"/>
        <color rgb="FF1F3B8A"/>
        <sz val="10.0"/>
      </rPr>
      <t>가상</t>
    </r>
    <r>
      <rPr>
        <rFont val="맑은 고딕"/>
        <color rgb="FF1F3B8A"/>
        <sz val="10.0"/>
      </rPr>
      <t>)</t>
    </r>
  </si>
  <si>
    <t>생산기술팀</t>
  </si>
  <si>
    <t>2025-01</t>
  </si>
  <si>
    <r>
      <rPr>
        <rFont val="Noto Sans CJK SC"/>
        <b/>
        <color rgb="FF000000"/>
        <sz val="9.0"/>
      </rPr>
      <t>기관</t>
    </r>
    <r>
      <rPr>
        <rFont val="맑은 고딕"/>
        <b/>
        <color rgb="FF000000"/>
        <sz val="9.0"/>
      </rPr>
      <t>·</t>
    </r>
    <r>
      <rPr>
        <rFont val="Noto Sans CJK SC"/>
        <b/>
        <color rgb="FF000000"/>
        <sz val="9.0"/>
      </rPr>
      <t>내용</t>
    </r>
  </si>
  <si>
    <r>
      <rPr>
        <rFont val="Noto Sans CJK SC"/>
        <b/>
        <color rgb="FF000000"/>
        <sz val="9.0"/>
      </rPr>
      <t>시간</t>
    </r>
    <r>
      <rPr>
        <rFont val="맑은 고딕"/>
        <b/>
        <color rgb="FF000000"/>
        <sz val="9.0"/>
      </rPr>
      <t>(h)</t>
    </r>
  </si>
  <si>
    <r>
      <rPr>
        <rFont val="Noto Sans CJK SC"/>
        <i/>
        <color rgb="FF7F7F7F"/>
        <sz val="8.0"/>
      </rPr>
      <t>출처</t>
    </r>
    <r>
      <rPr>
        <rFont val="맑은 고딕"/>
        <i/>
        <color rgb="FF7F7F7F"/>
        <sz val="8.0"/>
      </rPr>
      <t xml:space="preserve">: </t>
    </r>
    <r>
      <rPr>
        <rFont val="Noto Sans CJK SC"/>
        <i/>
        <color rgb="FF7F7F7F"/>
        <sz val="8.0"/>
      </rPr>
      <t xml:space="preserve">학생 등록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자원</t>
    </r>
    <r>
      <rPr>
        <rFont val="맑은 고딕"/>
        <i/>
        <color rgb="FF7F7F7F"/>
        <sz val="8.0"/>
      </rPr>
      <t>·</t>
    </r>
    <r>
      <rPr>
        <rFont val="Noto Sans CJK SC"/>
        <i/>
        <color rgb="FF7F7F7F"/>
        <sz val="8.0"/>
      </rPr>
      <t xml:space="preserve">정보기술활용 </t>
    </r>
    <r>
      <rPr>
        <rFont val="맑은 고딕"/>
        <i/>
        <color rgb="FF7F7F7F"/>
        <sz val="8.0"/>
      </rPr>
      <t xml:space="preserve">/ </t>
    </r>
    <r>
      <rPr>
        <rFont val="Noto Sans CJK SC"/>
        <i/>
        <color rgb="FF7F7F7F"/>
        <sz val="8.0"/>
      </rPr>
      <t xml:space="preserve">디지털리터러시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자기 서술 위주 → 정성 판단 </t>
    </r>
    <r>
      <rPr>
        <rFont val="맑은 고딕"/>
        <i/>
        <color rgb="FF7F7F7F"/>
        <sz val="8.0"/>
      </rPr>
      <t xml:space="preserve">+ </t>
    </r>
    <r>
      <rPr>
        <rFont val="Noto Sans CJK SC"/>
        <i/>
        <color rgb="FF7F7F7F"/>
        <sz val="8.0"/>
      </rPr>
      <t>낮은 가중치 권장</t>
    </r>
  </si>
  <si>
    <r>
      <rPr>
        <rFont val="맑은 고딕"/>
        <i/>
        <color rgb="FF7F7F7F"/>
        <sz val="8.0"/>
      </rPr>
      <t>[</t>
    </r>
    <r>
      <rPr>
        <rFont val="Noto Sans CJK SC"/>
        <i/>
        <color rgb="FF7F7F7F"/>
        <sz val="8.0"/>
      </rPr>
      <t xml:space="preserve">교내 </t>
    </r>
    <r>
      <rPr>
        <rFont val="맑은 고딕"/>
        <i/>
        <color rgb="FF7F7F7F"/>
        <sz val="8.0"/>
      </rPr>
      <t xml:space="preserve">/ </t>
    </r>
    <r>
      <rPr>
        <rFont val="Noto Sans CJK SC"/>
        <i/>
        <color rgb="FF7F7F7F"/>
        <sz val="8.0"/>
      </rPr>
      <t>교외</t>
    </r>
    <r>
      <rPr>
        <rFont val="맑은 고딕"/>
        <i/>
        <color rgb="FF7F7F7F"/>
        <sz val="8.0"/>
      </rPr>
      <t>(</t>
    </r>
    <r>
      <rPr>
        <rFont val="Noto Sans CJK SC"/>
        <i/>
        <color rgb="FF7F7F7F"/>
        <sz val="8.0"/>
      </rPr>
      <t>국내</t>
    </r>
    <r>
      <rPr>
        <rFont val="맑은 고딕"/>
        <i/>
        <color rgb="FF7F7F7F"/>
        <sz val="8.0"/>
      </rPr>
      <t xml:space="preserve">) / </t>
    </r>
    <r>
      <rPr>
        <rFont val="Noto Sans CJK SC"/>
        <i/>
        <color rgb="FF7F7F7F"/>
        <sz val="8.0"/>
      </rPr>
      <t xml:space="preserve">국외 </t>
    </r>
    <r>
      <rPr>
        <rFont val="맑은 고딕"/>
        <i/>
        <color rgb="FF7F7F7F"/>
        <sz val="8.0"/>
      </rPr>
      <t xml:space="preserve">/ </t>
    </r>
    <r>
      <rPr>
        <rFont val="Noto Sans CJK SC"/>
        <i/>
        <color rgb="FF7F7F7F"/>
        <sz val="8.0"/>
      </rPr>
      <t>유학생 봉사</t>
    </r>
    <r>
      <rPr>
        <rFont val="맑은 고딕"/>
        <i/>
        <color rgb="FF7F7F7F"/>
        <sz val="8.0"/>
      </rPr>
      <t>]</t>
    </r>
  </si>
  <si>
    <r>
      <rPr>
        <rFont val="맑은 고딕"/>
        <i/>
        <color rgb="FF7F7F7F"/>
        <sz val="8.0"/>
      </rPr>
      <t>[</t>
    </r>
    <r>
      <rPr>
        <rFont val="Noto Sans CJK SC"/>
        <i/>
        <color rgb="FF7F7F7F"/>
        <sz val="8.0"/>
      </rPr>
      <t xml:space="preserve">기초 </t>
    </r>
    <r>
      <rPr>
        <rFont val="맑은 고딕"/>
        <i/>
        <color rgb="FF7F7F7F"/>
        <sz val="8.0"/>
      </rPr>
      <t xml:space="preserve">/ </t>
    </r>
    <r>
      <rPr>
        <rFont val="Noto Sans CJK SC"/>
        <i/>
        <color rgb="FF7F7F7F"/>
        <sz val="8.0"/>
      </rPr>
      <t xml:space="preserve">활용 </t>
    </r>
    <r>
      <rPr>
        <rFont val="맑은 고딕"/>
        <i/>
        <color rgb="FF7F7F7F"/>
        <sz val="8.0"/>
      </rPr>
      <t xml:space="preserve">/ </t>
    </r>
    <r>
      <rPr>
        <rFont val="Noto Sans CJK SC"/>
        <i/>
        <color rgb="FF7F7F7F"/>
        <sz val="8.0"/>
      </rPr>
      <t>능숙</t>
    </r>
    <r>
      <rPr>
        <rFont val="맑은 고딕"/>
        <i/>
        <color rgb="FF7F7F7F"/>
        <sz val="8.0"/>
      </rPr>
      <t>]</t>
    </r>
  </si>
  <si>
    <t>노션</t>
  </si>
  <si>
    <t>능숙</t>
  </si>
  <si>
    <r>
      <rPr>
        <rFont val="Noto Sans CJK SC"/>
        <color rgb="FF1F3B8A"/>
        <sz val="10.0"/>
      </rPr>
      <t>팀 프로젝트 일정</t>
    </r>
    <r>
      <rPr>
        <rFont val="맑은 고딕"/>
        <color rgb="FF1F3B8A"/>
        <sz val="10.0"/>
      </rPr>
      <t>·</t>
    </r>
    <r>
      <rPr>
        <rFont val="Noto Sans CJK SC"/>
        <color rgb="FF1F3B8A"/>
        <sz val="10.0"/>
      </rPr>
      <t>회의록 템플릿 운영</t>
    </r>
  </si>
  <si>
    <t>깃허브</t>
  </si>
  <si>
    <r>
      <rPr>
        <rFont val="Noto Sans CJK SC"/>
        <b/>
        <color rgb="FF000000"/>
        <sz val="11.0"/>
      </rPr>
      <t>멘토링</t>
    </r>
    <r>
      <rPr>
        <rFont val="맑은 고딕"/>
        <b/>
        <color rgb="FF000000"/>
        <sz val="11.0"/>
      </rPr>
      <t>·</t>
    </r>
    <r>
      <rPr>
        <rFont val="Noto Sans CJK SC"/>
        <b/>
        <color rgb="FF000000"/>
        <sz val="11.0"/>
      </rPr>
      <t>학습공동체</t>
    </r>
  </si>
  <si>
    <t>활용</t>
  </si>
  <si>
    <r>
      <rPr>
        <rFont val="Noto Sans CJK SC"/>
        <color rgb="FF1F3B8A"/>
        <sz val="10.0"/>
      </rPr>
      <t>캡스톤 코드 버전관리</t>
    </r>
    <r>
      <rPr>
        <rFont val="맑은 고딕"/>
        <color rgb="FF1F3B8A"/>
        <sz val="10.0"/>
      </rPr>
      <t xml:space="preserve">, PR </t>
    </r>
    <r>
      <rPr>
        <rFont val="Noto Sans CJK SC"/>
        <color rgb="FF1F3B8A"/>
        <sz val="10.0"/>
      </rPr>
      <t>리뷰</t>
    </r>
  </si>
  <si>
    <t>슬랙</t>
  </si>
  <si>
    <r>
      <rPr>
        <rFont val="맑은 고딕"/>
        <color rgb="FF1F3B8A"/>
        <sz val="10.0"/>
      </rPr>
      <t xml:space="preserve">URP </t>
    </r>
    <r>
      <rPr>
        <rFont val="Noto Sans CJK SC"/>
        <color rgb="FF1F3B8A"/>
        <sz val="10.0"/>
      </rPr>
      <t>팀 커뮤니케이션</t>
    </r>
  </si>
  <si>
    <r>
      <rPr>
        <rFont val="Noto Sans CJK SC"/>
        <b/>
        <color rgb="FFFFFFFF"/>
        <sz val="11.0"/>
      </rPr>
      <t>■ 공동체</t>
    </r>
    <r>
      <rPr>
        <rFont val="맑은 고딕"/>
        <b/>
        <color rgb="FFFFFFFF"/>
        <sz val="11.0"/>
      </rPr>
      <t>·</t>
    </r>
    <r>
      <rPr>
        <rFont val="Noto Sans CJK SC"/>
        <b/>
        <color rgb="FFFFFFFF"/>
        <sz val="11.0"/>
      </rPr>
      <t>리더십</t>
    </r>
  </si>
  <si>
    <r>
      <rPr>
        <rFont val="Noto Sans CJK SC"/>
        <i/>
        <color rgb="FF7F7F7F"/>
        <sz val="8.0"/>
      </rPr>
      <t>출처</t>
    </r>
    <r>
      <rPr>
        <rFont val="맑은 고딕"/>
        <i/>
        <color rgb="FF7F7F7F"/>
        <sz val="8.0"/>
      </rPr>
      <t xml:space="preserve">: </t>
    </r>
    <r>
      <rPr>
        <rFont val="Noto Sans CJK SC"/>
        <i/>
        <color rgb="FF7F7F7F"/>
        <sz val="8.0"/>
      </rPr>
      <t>학생 등록</t>
    </r>
    <r>
      <rPr>
        <rFont val="맑은 고딕"/>
        <i/>
        <color rgb="FF7F7F7F"/>
        <sz val="8.0"/>
      </rPr>
      <t>(</t>
    </r>
    <r>
      <rPr>
        <rFont val="Noto Sans CJK SC"/>
        <i/>
        <color rgb="FF7F7F7F"/>
        <sz val="8.0"/>
      </rPr>
      <t>고용보험 자격이력 등</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커뮤니케이션 </t>
    </r>
    <r>
      <rPr>
        <rFont val="맑은 고딕"/>
        <i/>
        <color rgb="FF7F7F7F"/>
        <sz val="8.0"/>
      </rPr>
      <t xml:space="preserve">/ </t>
    </r>
    <r>
      <rPr>
        <rFont val="Noto Sans CJK SC"/>
        <i/>
        <color rgb="FF7F7F7F"/>
        <sz val="8.0"/>
      </rPr>
      <t xml:space="preserve">책임감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증빙 신뢰도 낮음 → 기간 위주 정량화 권장</t>
    </r>
  </si>
  <si>
    <r>
      <rPr>
        <rFont val="Noto Sans CJK SC"/>
        <b/>
        <color rgb="FF000000"/>
        <sz val="11.0"/>
      </rPr>
      <t>동아리</t>
    </r>
    <r>
      <rPr>
        <rFont val="맑은 고딕"/>
        <b/>
        <color rgb="FF000000"/>
        <sz val="11.0"/>
      </rPr>
      <t>·</t>
    </r>
    <r>
      <rPr>
        <rFont val="Noto Sans CJK SC"/>
        <b/>
        <color rgb="FF000000"/>
        <sz val="11.0"/>
      </rPr>
      <t>학생회 활동</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</si>
  <si>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</si>
  <si>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맑은 고딕"/>
        <i/>
        <color rgb="FF7F7F7F"/>
        <sz val="8.0"/>
      </rPr>
      <t>[</t>
    </r>
    <r>
      <rPr>
        <rFont val="Noto Sans CJK SC"/>
        <i/>
        <color rgb="FF7F7F7F"/>
        <sz val="8.0"/>
      </rPr>
      <t xml:space="preserve">고용보험 </t>
    </r>
    <r>
      <rPr>
        <rFont val="맑은 고딕"/>
        <i/>
        <color rgb="FF7F7F7F"/>
        <sz val="8.0"/>
      </rPr>
      <t xml:space="preserve">/ </t>
    </r>
    <r>
      <rPr>
        <rFont val="Noto Sans CJK SC"/>
        <i/>
        <color rgb="FF7F7F7F"/>
        <sz val="8.0"/>
      </rPr>
      <t>재직</t>
    </r>
    <r>
      <rPr>
        <rFont val="맑은 고딕"/>
        <i/>
        <color rgb="FF7F7F7F"/>
        <sz val="8.0"/>
      </rPr>
      <t>·</t>
    </r>
    <r>
      <rPr>
        <rFont val="Noto Sans CJK SC"/>
        <i/>
        <color rgb="FF7F7F7F"/>
        <sz val="8.0"/>
      </rPr>
      <t xml:space="preserve">경력증명 </t>
    </r>
    <r>
      <rPr>
        <rFont val="맑은 고딕"/>
        <i/>
        <color rgb="FF7F7F7F"/>
        <sz val="8.0"/>
      </rPr>
      <t xml:space="preserve">/ </t>
    </r>
    <r>
      <rPr>
        <rFont val="Noto Sans CJK SC"/>
        <i/>
        <color rgb="FF7F7F7F"/>
        <sz val="8.0"/>
      </rPr>
      <t>없음</t>
    </r>
    <r>
      <rPr>
        <rFont val="맑은 고딕"/>
        <i/>
        <color rgb="FF7F7F7F"/>
        <sz val="8.0"/>
      </rPr>
      <t>]</t>
    </r>
  </si>
  <si>
    <t>물류센터</t>
  </si>
  <si>
    <t>상하차</t>
  </si>
  <si>
    <r>
      <rPr>
        <rFont val="Noto Sans CJK SC"/>
        <b/>
        <color rgb="FF000000"/>
        <sz val="11.0"/>
      </rPr>
      <t>진로설계</t>
    </r>
    <r>
      <rPr>
        <rFont val="맑은 고딕"/>
        <b/>
        <color rgb="FF000000"/>
        <sz val="11.0"/>
      </rPr>
      <t>·</t>
    </r>
    <r>
      <rPr>
        <rFont val="Noto Sans CJK SC"/>
        <b/>
        <color rgb="FF000000"/>
        <sz val="11.0"/>
      </rPr>
      <t>취업상담</t>
    </r>
  </si>
  <si>
    <r>
      <rPr>
        <rFont val="Noto Sans CJK SC"/>
        <i/>
        <color rgb="FF7F7F7F"/>
        <sz val="8.0"/>
      </rPr>
      <t>출처</t>
    </r>
    <r>
      <rPr>
        <rFont val="맑은 고딕"/>
        <i/>
        <color rgb="FF7F7F7F"/>
        <sz val="8.0"/>
      </rPr>
      <t xml:space="preserve">: </t>
    </r>
    <r>
      <rPr>
        <rFont val="Noto Sans CJK SC"/>
        <i/>
        <color rgb="FF7F7F7F"/>
        <sz val="8.0"/>
      </rPr>
      <t xml:space="preserve">교수학습센터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소통능력 </t>
    </r>
    <r>
      <rPr>
        <rFont val="맑은 고딕"/>
        <i/>
        <color rgb="FF7F7F7F"/>
        <sz val="8.0"/>
      </rPr>
      <t xml:space="preserve">/ </t>
    </r>
    <r>
      <rPr>
        <rFont val="Noto Sans CJK SC"/>
        <i/>
        <color rgb="FF7F7F7F"/>
        <sz val="8.0"/>
      </rPr>
      <t xml:space="preserve">대인관계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교수 관심 </t>
    </r>
    <r>
      <rPr>
        <rFont val="맑은 고딕"/>
        <i/>
        <color rgb="FF7F7F7F"/>
        <sz val="8.0"/>
      </rPr>
      <t>'</t>
    </r>
    <r>
      <rPr>
        <rFont val="Noto Sans CJK SC"/>
        <i/>
        <color rgb="FF7F7F7F"/>
        <sz val="8.0"/>
      </rPr>
      <t>소통능력</t>
    </r>
    <r>
      <rPr>
        <rFont val="맑은 고딕"/>
        <i/>
        <color rgb="FF7F7F7F"/>
        <sz val="8.0"/>
      </rPr>
      <t>'</t>
    </r>
    <r>
      <rPr>
        <rFont val="Noto Sans CJK SC"/>
        <i/>
        <color rgb="FF7F7F7F"/>
        <sz val="8.0"/>
      </rPr>
      <t xml:space="preserve">의 </t>
    </r>
    <r>
      <rPr>
        <rFont val="맑은 고딕"/>
        <i/>
        <color rgb="FF7F7F7F"/>
        <sz val="8.0"/>
      </rPr>
      <t>'</t>
    </r>
    <r>
      <rPr>
        <rFont val="Noto Sans CJK SC"/>
        <i/>
        <color rgb="FF7F7F7F"/>
        <sz val="8.0"/>
      </rPr>
      <t>스터디 참여</t>
    </r>
    <r>
      <rPr>
        <rFont val="맑은 고딕"/>
        <i/>
        <color rgb="FF7F7F7F"/>
        <sz val="8.0"/>
      </rPr>
      <t xml:space="preserve">' </t>
    </r>
    <r>
      <rPr>
        <rFont val="Noto Sans CJK SC"/>
        <i/>
        <color rgb="FF7F7F7F"/>
        <sz val="8.0"/>
      </rPr>
      <t>근거 확보</t>
    </r>
  </si>
  <si>
    <t>프로그램명</t>
  </si>
  <si>
    <r>
      <rPr>
        <rFont val="Noto Sans CJK SC"/>
        <b/>
        <color rgb="FF000000"/>
        <sz val="9.0"/>
      </rPr>
      <t>역할</t>
    </r>
    <r>
      <rPr>
        <rFont val="맑은 고딕"/>
        <b/>
        <color rgb="FF000000"/>
        <sz val="9.0"/>
      </rPr>
      <t>·</t>
    </r>
    <r>
      <rPr>
        <rFont val="Noto Sans CJK SC"/>
        <b/>
        <color rgb="FF000000"/>
        <sz val="9.0"/>
      </rPr>
      <t>내용</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</si>
  <si>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</si>
  <si>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Noto Sans CJK SC"/>
        <i/>
        <color rgb="FF7F7F7F"/>
        <sz val="8.0"/>
      </rPr>
      <t>출처</t>
    </r>
    <r>
      <rPr>
        <rFont val="맑은 고딕"/>
        <i/>
        <color rgb="FF7F7F7F"/>
        <sz val="8.0"/>
      </rPr>
      <t xml:space="preserve">: </t>
    </r>
    <r>
      <rPr>
        <rFont val="Noto Sans CJK SC"/>
        <i/>
        <color rgb="FF7F7F7F"/>
        <sz val="8.0"/>
      </rPr>
      <t xml:space="preserve">비교과 시스템 </t>
    </r>
    <r>
      <rPr>
        <rFont val="맑은 고딕"/>
        <i/>
        <color rgb="FF7F7F7F"/>
        <sz val="8.0"/>
      </rPr>
      <t xml:space="preserve">· </t>
    </r>
    <r>
      <rPr>
        <rFont val="Noto Sans CJK SC"/>
        <i/>
        <color rgb="FF7F7F7F"/>
        <sz val="8.0"/>
      </rPr>
      <t xml:space="preserve">학생 등록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대인관계 </t>
    </r>
    <r>
      <rPr>
        <rFont val="맑은 고딕"/>
        <i/>
        <color rgb="FF7F7F7F"/>
        <sz val="8.0"/>
      </rPr>
      <t xml:space="preserve">/ </t>
    </r>
    <r>
      <rPr>
        <rFont val="Noto Sans CJK SC"/>
        <i/>
        <color rgb="FF7F7F7F"/>
        <sz val="8.0"/>
      </rPr>
      <t xml:space="preserve">리더십 </t>
    </r>
    <r>
      <rPr>
        <rFont val="맑은 고딕"/>
        <i/>
        <color rgb="FF7F7F7F"/>
        <sz val="8.0"/>
      </rPr>
      <t xml:space="preserve">/ </t>
    </r>
    <r>
      <rPr>
        <rFont val="Noto Sans CJK SC"/>
        <i/>
        <color rgb="FF7F7F7F"/>
        <sz val="8.0"/>
      </rPr>
      <t xml:space="preserve">커뮤니케이션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직책</t>
    </r>
    <r>
      <rPr>
        <rFont val="맑은 고딕"/>
        <i/>
        <color rgb="FF7F7F7F"/>
        <sz val="8.0"/>
      </rPr>
      <t>(</t>
    </r>
    <r>
      <rPr>
        <rFont val="Noto Sans CJK SC"/>
        <i/>
        <color rgb="FF7F7F7F"/>
        <sz val="8.0"/>
      </rPr>
      <t>회장</t>
    </r>
    <r>
      <rPr>
        <rFont val="맑은 고딕"/>
        <i/>
        <color rgb="FF7F7F7F"/>
        <sz val="8.0"/>
      </rPr>
      <t>·</t>
    </r>
    <r>
      <rPr>
        <rFont val="Noto Sans CJK SC"/>
        <i/>
        <color rgb="FF7F7F7F"/>
        <sz val="8.0"/>
      </rPr>
      <t>부장</t>
    </r>
    <r>
      <rPr>
        <rFont val="맑은 고딕"/>
        <i/>
        <color rgb="FF7F7F7F"/>
        <sz val="8.0"/>
      </rPr>
      <t>·</t>
    </r>
    <r>
      <rPr>
        <rFont val="Noto Sans CJK SC"/>
        <i/>
        <color rgb="FF7F7F7F"/>
        <sz val="8.0"/>
      </rPr>
      <t>총무</t>
    </r>
    <r>
      <rPr>
        <rFont val="맑은 고딕"/>
        <i/>
        <color rgb="FF7F7F7F"/>
        <sz val="8.0"/>
      </rPr>
      <t>·</t>
    </r>
    <r>
      <rPr>
        <rFont val="Noto Sans CJK SC"/>
        <i/>
        <color rgb="FF7F7F7F"/>
        <sz val="8.0"/>
      </rPr>
      <t>부원</t>
    </r>
    <r>
      <rPr>
        <rFont val="맑은 고딕"/>
        <i/>
        <color rgb="FF7F7F7F"/>
        <sz val="8.0"/>
      </rPr>
      <t xml:space="preserve">) × </t>
    </r>
    <r>
      <rPr>
        <rFont val="Noto Sans CJK SC"/>
        <i/>
        <color rgb="FF7F7F7F"/>
        <sz val="8.0"/>
      </rPr>
      <t>기간으로 정량화</t>
    </r>
  </si>
  <si>
    <r>
      <rPr>
        <rFont val="맑은 고딕"/>
        <i/>
        <color rgb="FF7F7F7F"/>
        <sz val="8.0"/>
      </rPr>
      <t>[</t>
    </r>
    <r>
      <rPr>
        <rFont val="Noto Sans CJK SC"/>
        <i/>
        <color rgb="FF7F7F7F"/>
        <sz val="8.0"/>
      </rPr>
      <t xml:space="preserve">튜터 </t>
    </r>
    <r>
      <rPr>
        <rFont val="맑은 고딕"/>
        <i/>
        <color rgb="FF7F7F7F"/>
        <sz val="8.0"/>
      </rPr>
      <t xml:space="preserve">/ </t>
    </r>
    <r>
      <rPr>
        <rFont val="Noto Sans CJK SC"/>
        <i/>
        <color rgb="FF7F7F7F"/>
        <sz val="8.0"/>
      </rPr>
      <t xml:space="preserve">튜티 </t>
    </r>
    <r>
      <rPr>
        <rFont val="맑은 고딕"/>
        <i/>
        <color rgb="FF7F7F7F"/>
        <sz val="8.0"/>
      </rPr>
      <t xml:space="preserve">/ </t>
    </r>
    <r>
      <rPr>
        <rFont val="Noto Sans CJK SC"/>
        <i/>
        <color rgb="FF7F7F7F"/>
        <sz val="8.0"/>
      </rPr>
      <t xml:space="preserve">멘토 </t>
    </r>
    <r>
      <rPr>
        <rFont val="맑은 고딕"/>
        <i/>
        <color rgb="FF7F7F7F"/>
        <sz val="8.0"/>
      </rPr>
      <t xml:space="preserve">/ </t>
    </r>
    <r>
      <rPr>
        <rFont val="Noto Sans CJK SC"/>
        <i/>
        <color rgb="FF7F7F7F"/>
        <sz val="8.0"/>
      </rPr>
      <t xml:space="preserve">멘티 </t>
    </r>
    <r>
      <rPr>
        <rFont val="맑은 고딕"/>
        <i/>
        <color rgb="FF7F7F7F"/>
        <sz val="8.0"/>
      </rPr>
      <t xml:space="preserve">/ </t>
    </r>
    <r>
      <rPr>
        <rFont val="Noto Sans CJK SC"/>
        <i/>
        <color rgb="FF7F7F7F"/>
        <sz val="8.0"/>
      </rPr>
      <t xml:space="preserve">스터디 </t>
    </r>
    <r>
      <rPr>
        <rFont val="맑은 고딕"/>
        <i/>
        <color rgb="FF7F7F7F"/>
        <sz val="8.0"/>
      </rPr>
      <t xml:space="preserve">/ </t>
    </r>
    <r>
      <rPr>
        <rFont val="Noto Sans CJK SC"/>
        <i/>
        <color rgb="FF7F7F7F"/>
        <sz val="8.0"/>
      </rPr>
      <t>학습공동체</t>
    </r>
    <r>
      <rPr>
        <rFont val="맑은 고딕"/>
        <i/>
        <color rgb="FF7F7F7F"/>
        <sz val="8.0"/>
      </rPr>
      <t>]</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</si>
  <si>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</si>
  <si>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Noto Sans CJK SC"/>
        <b/>
        <color rgb="FF000000"/>
        <sz val="9.0"/>
      </rPr>
      <t>단체 규모</t>
    </r>
    <r>
      <rPr>
        <rFont val="맑은 고딕"/>
        <b/>
        <color rgb="FF000000"/>
        <sz val="9.0"/>
      </rPr>
      <t>(</t>
    </r>
    <r>
      <rPr>
        <rFont val="Noto Sans CJK SC"/>
        <b/>
        <color rgb="FF000000"/>
        <sz val="9.0"/>
      </rPr>
      <t>명</t>
    </r>
    <r>
      <rPr>
        <rFont val="맑은 고딕"/>
        <b/>
        <color rgb="FF000000"/>
        <sz val="9.0"/>
      </rPr>
      <t>)</t>
    </r>
  </si>
  <si>
    <r>
      <rPr>
        <rFont val="Noto Sans CJK SC"/>
        <b/>
        <color rgb="FF000000"/>
        <sz val="9.0"/>
      </rPr>
      <t>주요 활동</t>
    </r>
    <r>
      <rPr>
        <rFont val="맑은 고딕"/>
        <b/>
        <color rgb="FF000000"/>
        <sz val="9.0"/>
      </rPr>
      <t>·</t>
    </r>
    <r>
      <rPr>
        <rFont val="Noto Sans CJK SC"/>
        <b/>
        <color rgb="FF000000"/>
        <sz val="9.0"/>
      </rPr>
      <t>성과</t>
    </r>
  </si>
  <si>
    <r>
      <rPr>
        <rFont val="Noto Sans CJK SC"/>
        <i/>
        <color rgb="FF7F7F7F"/>
        <sz val="8.0"/>
      </rPr>
      <t>출처</t>
    </r>
    <r>
      <rPr>
        <rFont val="맑은 고딕"/>
        <i/>
        <color rgb="FF7F7F7F"/>
        <sz val="8.0"/>
      </rPr>
      <t xml:space="preserve">: </t>
    </r>
    <r>
      <rPr>
        <rFont val="Noto Sans CJK SC"/>
        <i/>
        <color rgb="FF7F7F7F"/>
        <sz val="8.0"/>
      </rPr>
      <t xml:space="preserve">경력개발 </t>
    </r>
    <r>
      <rPr>
        <rFont val="맑은 고딕"/>
        <i/>
        <color rgb="FF7F7F7F"/>
        <sz val="8.0"/>
      </rPr>
      <t xml:space="preserve">· </t>
    </r>
    <r>
      <rPr>
        <rFont val="Noto Sans CJK SC"/>
        <i/>
        <color rgb="FF7F7F7F"/>
        <sz val="8.0"/>
      </rPr>
      <t xml:space="preserve">상담 시스템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자기관리</t>
    </r>
    <r>
      <rPr>
        <rFont val="맑은 고딕"/>
        <i/>
        <color rgb="FF7F7F7F"/>
        <sz val="8.0"/>
      </rPr>
      <t>(</t>
    </r>
    <r>
      <rPr>
        <rFont val="Noto Sans CJK SC"/>
        <i/>
        <color rgb="FF7F7F7F"/>
        <sz val="8.0"/>
      </rPr>
      <t>계획 수립</t>
    </r>
    <r>
      <rPr>
        <rFont val="맑은 고딕"/>
        <i/>
        <color rgb="FF7F7F7F"/>
        <sz val="8.0"/>
      </rPr>
      <t xml:space="preserve">) /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t>
    </r>
    <r>
      <rPr>
        <rFont val="Noto Sans CJK SC"/>
        <i/>
        <color rgb="FF7F7F7F"/>
        <sz val="8.0"/>
      </rPr>
      <t>계획 수립 및 실행 능력</t>
    </r>
    <r>
      <rPr>
        <rFont val="맑은 고딕"/>
        <i/>
        <color rgb="FF7F7F7F"/>
        <sz val="8.0"/>
      </rPr>
      <t>'</t>
    </r>
    <r>
      <rPr>
        <rFont val="Noto Sans CJK SC"/>
        <i/>
        <color rgb="FF7F7F7F"/>
        <sz val="8.0"/>
      </rPr>
      <t xml:space="preserve">의 근거가 </t>
    </r>
    <r>
      <rPr>
        <rFont val="맑은 고딕"/>
        <i/>
        <color rgb="FF7F7F7F"/>
        <sz val="8.0"/>
      </rPr>
      <t xml:space="preserve">LMS </t>
    </r>
    <r>
      <rPr>
        <rFont val="Noto Sans CJK SC"/>
        <i/>
        <color rgb="FF7F7F7F"/>
        <sz val="8.0"/>
      </rPr>
      <t>하나뿐인 공백 보완</t>
    </r>
  </si>
  <si>
    <r>
      <rPr>
        <rFont val="맑은 고딕"/>
        <i/>
        <color rgb="FF7F7F7F"/>
        <sz val="8.0"/>
      </rPr>
      <t>[</t>
    </r>
    <r>
      <rPr>
        <rFont val="Noto Sans CJK SC"/>
        <i/>
        <color rgb="FF7F7F7F"/>
        <sz val="8.0"/>
      </rPr>
      <t xml:space="preserve">동아리 </t>
    </r>
    <r>
      <rPr>
        <rFont val="맑은 고딕"/>
        <i/>
        <color rgb="FF7F7F7F"/>
        <sz val="8.0"/>
      </rPr>
      <t xml:space="preserve">/ </t>
    </r>
    <r>
      <rPr>
        <rFont val="Noto Sans CJK SC"/>
        <i/>
        <color rgb="FF7F7F7F"/>
        <sz val="8.0"/>
      </rPr>
      <t xml:space="preserve">학생회 </t>
    </r>
    <r>
      <rPr>
        <rFont val="맑은 고딕"/>
        <i/>
        <color rgb="FF7F7F7F"/>
        <sz val="8.0"/>
      </rPr>
      <t xml:space="preserve">/ </t>
    </r>
    <r>
      <rPr>
        <rFont val="Noto Sans CJK SC"/>
        <i/>
        <color rgb="FF7F7F7F"/>
        <sz val="8.0"/>
      </rPr>
      <t xml:space="preserve">학회 </t>
    </r>
    <r>
      <rPr>
        <rFont val="맑은 고딕"/>
        <i/>
        <color rgb="FF7F7F7F"/>
        <sz val="8.0"/>
      </rPr>
      <t xml:space="preserve">/ </t>
    </r>
    <r>
      <rPr>
        <rFont val="Noto Sans CJK SC"/>
        <i/>
        <color rgb="FF7F7F7F"/>
        <sz val="8.0"/>
      </rPr>
      <t>기타단체</t>
    </r>
    <r>
      <rPr>
        <rFont val="맑은 고딕"/>
        <i/>
        <color rgb="FF7F7F7F"/>
        <sz val="8.0"/>
      </rPr>
      <t>]</t>
    </r>
  </si>
  <si>
    <r>
      <rPr>
        <rFont val="Noto Sans CJK SC"/>
        <b/>
        <color rgb="FF000000"/>
        <sz val="10.0"/>
      </rPr>
      <t>진로</t>
    </r>
    <r>
      <rPr>
        <rFont val="맑은 고딕"/>
        <b/>
        <color rgb="FF000000"/>
        <sz val="10.0"/>
      </rPr>
      <t>·</t>
    </r>
    <r>
      <rPr>
        <rFont val="Noto Sans CJK SC"/>
        <b/>
        <color rgb="FF000000"/>
        <sz val="10.0"/>
      </rPr>
      <t>취업 상담 횟수</t>
    </r>
    <r>
      <rPr>
        <rFont val="맑은 고딕"/>
        <b/>
        <color rgb="FF000000"/>
        <sz val="10.0"/>
      </rPr>
      <t>(</t>
    </r>
    <r>
      <rPr>
        <rFont val="Noto Sans CJK SC"/>
        <b/>
        <color rgb="FF000000"/>
        <sz val="10.0"/>
      </rPr>
      <t>누적</t>
    </r>
    <r>
      <rPr>
        <rFont val="맑은 고딕"/>
        <b/>
        <color rgb="FF000000"/>
        <sz val="10.0"/>
      </rPr>
      <t>)</t>
    </r>
  </si>
  <si>
    <r>
      <rPr>
        <rFont val="맑은 고딕"/>
        <i/>
        <color rgb="FF7F7F7F"/>
        <sz val="8.0"/>
      </rPr>
      <t>[</t>
    </r>
    <r>
      <rPr>
        <rFont val="Noto Sans CJK SC"/>
        <i/>
        <color rgb="FF7F7F7F"/>
        <sz val="8.0"/>
      </rPr>
      <t xml:space="preserve">회장 </t>
    </r>
    <r>
      <rPr>
        <rFont val="맑은 고딕"/>
        <i/>
        <color rgb="FF7F7F7F"/>
        <sz val="8.0"/>
      </rPr>
      <t xml:space="preserve">/ </t>
    </r>
    <r>
      <rPr>
        <rFont val="Noto Sans CJK SC"/>
        <i/>
        <color rgb="FF7F7F7F"/>
        <sz val="8.0"/>
      </rPr>
      <t xml:space="preserve">부회장 </t>
    </r>
    <r>
      <rPr>
        <rFont val="맑은 고딕"/>
        <i/>
        <color rgb="FF7F7F7F"/>
        <sz val="8.0"/>
      </rPr>
      <t xml:space="preserve">/ </t>
    </r>
    <r>
      <rPr>
        <rFont val="Noto Sans CJK SC"/>
        <i/>
        <color rgb="FF7F7F7F"/>
        <sz val="8.0"/>
      </rPr>
      <t xml:space="preserve">부장 </t>
    </r>
    <r>
      <rPr>
        <rFont val="맑은 고딕"/>
        <i/>
        <color rgb="FF7F7F7F"/>
        <sz val="8.0"/>
      </rPr>
      <t xml:space="preserve">/ </t>
    </r>
    <r>
      <rPr>
        <rFont val="Noto Sans CJK SC"/>
        <i/>
        <color rgb="FF7F7F7F"/>
        <sz val="8.0"/>
      </rPr>
      <t xml:space="preserve">총무 </t>
    </r>
    <r>
      <rPr>
        <rFont val="맑은 고딕"/>
        <i/>
        <color rgb="FF7F7F7F"/>
        <sz val="8.0"/>
      </rPr>
      <t xml:space="preserve">/ </t>
    </r>
    <r>
      <rPr>
        <rFont val="Noto Sans CJK SC"/>
        <i/>
        <color rgb="FF7F7F7F"/>
        <sz val="8.0"/>
      </rPr>
      <t>부원</t>
    </r>
    <r>
      <rPr>
        <rFont val="맑은 고딕"/>
        <i/>
        <color rgb="FF7F7F7F"/>
        <sz val="8.0"/>
      </rPr>
      <t>]</t>
    </r>
  </si>
  <si>
    <r>
      <rPr>
        <rFont val="맑은 고딕"/>
        <i/>
        <color rgb="FF7F7F7F"/>
        <sz val="8.0"/>
      </rPr>
      <t xml:space="preserve">YYYY-MM / </t>
    </r>
    <r>
      <rPr>
        <rFont val="Noto Sans CJK SC"/>
        <i/>
        <color rgb="FF7F7F7F"/>
        <sz val="8.0"/>
      </rPr>
      <t>진행중</t>
    </r>
  </si>
  <si>
    <r>
      <rPr>
        <rFont val="Noto Sans CJK SC"/>
        <b/>
        <color rgb="FF000000"/>
        <sz val="10.0"/>
      </rPr>
      <t>희망 직무</t>
    </r>
    <r>
      <rPr>
        <rFont val="맑은 고딕"/>
        <b/>
        <color rgb="FF000000"/>
        <sz val="10.0"/>
      </rPr>
      <t>·</t>
    </r>
    <r>
      <rPr>
        <rFont val="Noto Sans CJK SC"/>
        <b/>
        <color rgb="FF000000"/>
        <sz val="10.0"/>
      </rPr>
      <t>분야</t>
    </r>
  </si>
  <si>
    <r>
      <rPr>
        <rFont val="Noto Sans CJK SC"/>
        <color rgb="FF1F3B8A"/>
        <sz val="10.0"/>
      </rPr>
      <t xml:space="preserve">로봇 제어 </t>
    </r>
    <r>
      <rPr>
        <rFont val="맑은 고딕"/>
        <color rgb="FF1F3B8A"/>
        <sz val="10.0"/>
      </rPr>
      <t>R&amp;D</t>
    </r>
  </si>
  <si>
    <t>로봇 제어 분야 석사 진학 후 연구개발 직무로 진출</t>
  </si>
  <si>
    <t>학회</t>
  </si>
  <si>
    <r>
      <rPr>
        <rFont val="맑은 고딕"/>
        <color rgb="FF7F7F7F"/>
        <sz val="9.0"/>
      </rPr>
      <t>1~3</t>
    </r>
    <r>
      <rPr>
        <rFont val="Noto Sans CJK SC"/>
        <color rgb="FF7F7F7F"/>
        <sz val="9.0"/>
      </rPr>
      <t>문장</t>
    </r>
  </si>
  <si>
    <r>
      <rPr>
        <rFont val="Noto Sans CJK SC"/>
        <color rgb="FF1F3B8A"/>
        <sz val="10.0"/>
      </rPr>
      <t xml:space="preserve">산업공학 학술학회 </t>
    </r>
    <r>
      <rPr>
        <rFont val="맑은 고딕"/>
        <color rgb="FF1F3B8A"/>
        <sz val="10.0"/>
      </rPr>
      <t>OPTIMA(</t>
    </r>
    <r>
      <rPr>
        <rFont val="Noto Sans CJK SC"/>
        <color rgb="FF1F3B8A"/>
        <sz val="10.0"/>
      </rPr>
      <t>가상</t>
    </r>
    <r>
      <rPr>
        <rFont val="맑은 고딕"/>
        <color rgb="FF1F3B8A"/>
        <sz val="10.0"/>
      </rPr>
      <t>)</t>
    </r>
  </si>
  <si>
    <r>
      <rPr>
        <rFont val="Noto Sans CJK SC"/>
        <b/>
        <color rgb="FFFFFFFF"/>
        <sz val="11.0"/>
      </rPr>
      <t>■ 창의</t>
    </r>
    <r>
      <rPr>
        <rFont val="맑은 고딕"/>
        <b/>
        <color rgb="FFFFFFFF"/>
        <sz val="11.0"/>
      </rPr>
      <t>·</t>
    </r>
    <r>
      <rPr>
        <rFont val="Noto Sans CJK SC"/>
        <b/>
        <color rgb="FFFFFFFF"/>
        <sz val="11.0"/>
      </rPr>
      <t>도전</t>
    </r>
  </si>
  <si>
    <t>회장</t>
  </si>
  <si>
    <t>2024-03</t>
  </si>
  <si>
    <r>
      <rPr>
        <rFont val="Noto Sans CJK SC"/>
        <color rgb="FF1F3B8A"/>
        <sz val="10.0"/>
      </rPr>
      <t xml:space="preserve">정기 세미나 </t>
    </r>
    <r>
      <rPr>
        <rFont val="맑은 고딕"/>
        <color rgb="FF1F3B8A"/>
        <sz val="10.0"/>
      </rPr>
      <t>20</t>
    </r>
    <r>
      <rPr>
        <rFont val="Noto Sans CJK SC"/>
        <color rgb="FF1F3B8A"/>
        <sz val="10.0"/>
      </rPr>
      <t>회 운영</t>
    </r>
    <r>
      <rPr>
        <rFont val="맑은 고딕"/>
        <color rgb="FF1F3B8A"/>
        <sz val="10.0"/>
      </rPr>
      <t xml:space="preserve">, </t>
    </r>
    <r>
      <rPr>
        <rFont val="Noto Sans CJK SC"/>
        <color rgb="FF1F3B8A"/>
        <sz val="10.0"/>
      </rPr>
      <t xml:space="preserve">외부 연사 초청 </t>
    </r>
    <r>
      <rPr>
        <rFont val="맑은 고딕"/>
        <color rgb="FF1F3B8A"/>
        <sz val="10.0"/>
      </rPr>
      <t>2</t>
    </r>
    <r>
      <rPr>
        <rFont val="Noto Sans CJK SC"/>
        <color rgb="FF1F3B8A"/>
        <sz val="10.0"/>
      </rPr>
      <t>회</t>
    </r>
  </si>
  <si>
    <r>
      <rPr>
        <rFont val="Noto Sans CJK SC"/>
        <b/>
        <color rgb="FF000000"/>
        <sz val="11.0"/>
      </rPr>
      <t>공모전 참가</t>
    </r>
    <r>
      <rPr>
        <rFont val="맑은 고딕"/>
        <b/>
        <color rgb="FF000000"/>
        <sz val="11.0"/>
      </rPr>
      <t>·</t>
    </r>
    <r>
      <rPr>
        <rFont val="Noto Sans CJK SC"/>
        <b/>
        <color rgb="FF000000"/>
        <sz val="11.0"/>
      </rPr>
      <t>수상</t>
    </r>
  </si>
  <si>
    <t>동아리</t>
  </si>
  <si>
    <t>교내 밴드 동아리</t>
  </si>
  <si>
    <t>부원</t>
  </si>
  <si>
    <t>2024-02</t>
  </si>
  <si>
    <r>
      <rPr>
        <rFont val="Noto Sans CJK SC"/>
        <color rgb="FF1F3B8A"/>
        <sz val="10.0"/>
      </rPr>
      <t xml:space="preserve">정기공연 </t>
    </r>
    <r>
      <rPr>
        <rFont val="맑은 고딕"/>
        <color rgb="FF1F3B8A"/>
        <sz val="10.0"/>
      </rPr>
      <t>2</t>
    </r>
    <r>
      <rPr>
        <rFont val="Noto Sans CJK SC"/>
        <color rgb="FF1F3B8A"/>
        <sz val="10.0"/>
      </rPr>
      <t>회</t>
    </r>
  </si>
  <si>
    <r>
      <rPr>
        <rFont val="Noto Sans CJK SC"/>
        <i/>
        <color rgb="FF7F7F7F"/>
        <sz val="8.0"/>
      </rPr>
      <t>출처</t>
    </r>
    <r>
      <rPr>
        <rFont val="맑은 고딕"/>
        <i/>
        <color rgb="FF7F7F7F"/>
        <sz val="8.0"/>
      </rPr>
      <t xml:space="preserve">: LMS(i-Campus)   |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커뮤니케이션</t>
    </r>
    <r>
      <rPr>
        <rFont val="맑은 고딕"/>
        <i/>
        <color rgb="FF7F7F7F"/>
        <sz val="8.0"/>
      </rPr>
      <t>(</t>
    </r>
    <r>
      <rPr>
        <rFont val="Noto Sans CJK SC"/>
        <i/>
        <color rgb="FF7F7F7F"/>
        <sz val="8.0"/>
      </rPr>
      <t>협업</t>
    </r>
    <r>
      <rPr>
        <rFont val="맑은 고딕"/>
        <i/>
        <color rgb="FF7F7F7F"/>
        <sz val="8.0"/>
      </rPr>
      <t xml:space="preserve">) / </t>
    </r>
    <r>
      <rPr>
        <rFont val="Noto Sans CJK SC"/>
        <i/>
        <color rgb="FF7F7F7F"/>
        <sz val="8.0"/>
      </rPr>
      <t xml:space="preserve">대인관계 </t>
    </r>
    <r>
      <rPr>
        <rFont val="맑은 고딕"/>
        <i/>
        <color rgb="FF7F7F7F"/>
        <sz val="8.0"/>
      </rPr>
      <t xml:space="preserve">/ </t>
    </r>
    <r>
      <rPr>
        <rFont val="Noto Sans CJK SC"/>
        <i/>
        <color rgb="FF7F7F7F"/>
        <sz val="8.0"/>
      </rPr>
      <t xml:space="preserve">리더십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대인관계 역량을 </t>
    </r>
    <r>
      <rPr>
        <rFont val="맑은 고딕"/>
        <i/>
        <color rgb="FF7F7F7F"/>
        <sz val="8.0"/>
      </rPr>
      <t>'</t>
    </r>
    <r>
      <rPr>
        <rFont val="Noto Sans CJK SC"/>
        <i/>
        <color rgb="FF7F7F7F"/>
        <sz val="8.0"/>
      </rPr>
      <t>활동 여부</t>
    </r>
    <r>
      <rPr>
        <rFont val="맑은 고딕"/>
        <i/>
        <color rgb="FF7F7F7F"/>
        <sz val="8.0"/>
      </rPr>
      <t>'</t>
    </r>
    <r>
      <rPr>
        <rFont val="Noto Sans CJK SC"/>
        <i/>
        <color rgb="FF7F7F7F"/>
        <sz val="8.0"/>
      </rPr>
      <t xml:space="preserve">가 아닌 </t>
    </r>
    <r>
      <rPr>
        <rFont val="맑은 고딕"/>
        <i/>
        <color rgb="FF7F7F7F"/>
        <sz val="8.0"/>
      </rPr>
      <t>'</t>
    </r>
    <r>
      <rPr>
        <rFont val="Noto Sans CJK SC"/>
        <i/>
        <color rgb="FF7F7F7F"/>
        <sz val="8.0"/>
      </rPr>
      <t>평판</t>
    </r>
    <r>
      <rPr>
        <rFont val="맑은 고딕"/>
        <i/>
        <color rgb="FF7F7F7F"/>
        <sz val="8.0"/>
      </rPr>
      <t>'</t>
    </r>
    <r>
      <rPr>
        <rFont val="Noto Sans CJK SC"/>
        <i/>
        <color rgb="FF7F7F7F"/>
        <sz val="8.0"/>
      </rPr>
      <t>으로 측정할 수 있는 유일한 근거</t>
    </r>
  </si>
  <si>
    <t>동료평가 점수</t>
  </si>
  <si>
    <t>만점</t>
  </si>
  <si>
    <r>
      <rPr>
        <rFont val="Noto Sans CJK SC"/>
        <b/>
        <color rgb="FF000000"/>
        <sz val="9.0"/>
      </rPr>
      <t>평가 인원</t>
    </r>
    <r>
      <rPr>
        <rFont val="맑은 고딕"/>
        <b/>
        <color rgb="FF000000"/>
        <sz val="9.0"/>
      </rPr>
      <t>(</t>
    </r>
    <r>
      <rPr>
        <rFont val="Noto Sans CJK SC"/>
        <b/>
        <color rgb="FF000000"/>
        <sz val="9.0"/>
      </rPr>
      <t>명</t>
    </r>
    <r>
      <rPr>
        <rFont val="맑은 고딕"/>
        <b/>
        <color rgb="FF000000"/>
        <sz val="9.0"/>
      </rPr>
      <t>)</t>
    </r>
  </si>
  <si>
    <t>코멘트 요약</t>
  </si>
  <si>
    <r>
      <rPr>
        <rFont val="맑은 고딕"/>
        <i/>
        <color rgb="FF7F7F7F"/>
        <sz val="8.0"/>
      </rPr>
      <t>YYYY-1 / YYYY-2 / YYYY-</t>
    </r>
    <r>
      <rPr>
        <rFont val="Noto Sans CJK SC"/>
        <i/>
        <color rgb="FF7F7F7F"/>
        <sz val="8.0"/>
      </rPr>
      <t xml:space="preserve">여름 </t>
    </r>
    <r>
      <rPr>
        <rFont val="맑은 고딕"/>
        <i/>
        <color rgb="FF7F7F7F"/>
        <sz val="8.0"/>
      </rPr>
      <t>/ YYYY-</t>
    </r>
    <r>
      <rPr>
        <rFont val="Noto Sans CJK SC"/>
        <i/>
        <color rgb="FF7F7F7F"/>
        <sz val="8.0"/>
      </rPr>
      <t>겨울</t>
    </r>
  </si>
  <si>
    <r>
      <rPr>
        <rFont val="Noto Sans CJK SC"/>
        <b/>
        <color rgb="FFFFFFFF"/>
        <sz val="11.0"/>
      </rPr>
      <t>■ 자격</t>
    </r>
    <r>
      <rPr>
        <rFont val="맑은 고딕"/>
        <b/>
        <color rgb="FFFFFFFF"/>
        <sz val="11.0"/>
      </rPr>
      <t>·</t>
    </r>
    <r>
      <rPr>
        <rFont val="Noto Sans CJK SC"/>
        <b/>
        <color rgb="FFFFFFFF"/>
        <sz val="11.0"/>
      </rPr>
      <t>인증</t>
    </r>
  </si>
  <si>
    <r>
      <rPr>
        <rFont val="Noto Sans CJK SC"/>
        <i/>
        <color rgb="FF7F7F7F"/>
        <sz val="8.0"/>
      </rPr>
      <t>출처</t>
    </r>
    <r>
      <rPr>
        <rFont val="맑은 고딕"/>
        <i/>
        <color rgb="FF7F7F7F"/>
        <sz val="8.0"/>
      </rPr>
      <t xml:space="preserve">: </t>
    </r>
    <r>
      <rPr>
        <rFont val="Noto Sans CJK SC"/>
        <i/>
        <color rgb="FF7F7F7F"/>
        <sz val="8.0"/>
      </rPr>
      <t xml:space="preserve">비교과 시스템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창의 </t>
    </r>
    <r>
      <rPr>
        <rFont val="맑은 고딕"/>
        <i/>
        <color rgb="FF7F7F7F"/>
        <sz val="8.0"/>
      </rPr>
      <t xml:space="preserve">/ </t>
    </r>
    <r>
      <rPr>
        <rFont val="Noto Sans CJK SC"/>
        <i/>
        <color rgb="FF7F7F7F"/>
        <sz val="8.0"/>
      </rPr>
      <t xml:space="preserve">종합적사고력 </t>
    </r>
    <r>
      <rPr>
        <rFont val="맑은 고딕"/>
        <i/>
        <color rgb="FF7F7F7F"/>
        <sz val="8.0"/>
      </rPr>
      <t xml:space="preserve">/ </t>
    </r>
    <r>
      <rPr>
        <rFont val="Noto Sans CJK SC"/>
        <i/>
        <color rgb="FF7F7F7F"/>
        <sz val="8.0"/>
      </rPr>
      <t xml:space="preserve">문제해결력 </t>
    </r>
    <r>
      <rPr>
        <rFont val="맑은 고딕"/>
        <i/>
        <color rgb="FF7F7F7F"/>
        <sz val="8.0"/>
      </rPr>
      <t xml:space="preserve">/ </t>
    </r>
    <r>
      <rPr>
        <rFont val="Noto Sans CJK SC"/>
        <i/>
        <color rgb="FF7F7F7F"/>
        <sz val="8.0"/>
      </rPr>
      <t xml:space="preserve">도전정신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수상 등급 </t>
    </r>
    <r>
      <rPr>
        <rFont val="맑은 고딕"/>
        <i/>
        <color rgb="FF7F7F7F"/>
        <sz val="8.0"/>
      </rPr>
      <t xml:space="preserve">× </t>
    </r>
    <r>
      <rPr>
        <rFont val="Noto Sans CJK SC"/>
        <i/>
        <color rgb="FF7F7F7F"/>
        <sz val="8.0"/>
      </rPr>
      <t>주관 수준</t>
    </r>
    <r>
      <rPr>
        <rFont val="맑은 고딕"/>
        <i/>
        <color rgb="FF7F7F7F"/>
        <sz val="8.0"/>
      </rPr>
      <t>(</t>
    </r>
    <r>
      <rPr>
        <rFont val="Noto Sans CJK SC"/>
        <i/>
        <color rgb="FF7F7F7F"/>
        <sz val="8.0"/>
      </rPr>
      <t>교내</t>
    </r>
    <r>
      <rPr>
        <rFont val="맑은 고딕"/>
        <i/>
        <color rgb="FF7F7F7F"/>
        <sz val="8.0"/>
      </rPr>
      <t>·</t>
    </r>
    <r>
      <rPr>
        <rFont val="Noto Sans CJK SC"/>
        <i/>
        <color rgb="FF7F7F7F"/>
        <sz val="8.0"/>
      </rPr>
      <t>전국</t>
    </r>
    <r>
      <rPr>
        <rFont val="맑은 고딕"/>
        <i/>
        <color rgb="FF7F7F7F"/>
        <sz val="8.0"/>
      </rPr>
      <t>·</t>
    </r>
    <r>
      <rPr>
        <rFont val="Noto Sans CJK SC"/>
        <i/>
        <color rgb="FF7F7F7F"/>
        <sz val="8.0"/>
      </rPr>
      <t>국제</t>
    </r>
    <r>
      <rPr>
        <rFont val="맑은 고딕"/>
        <i/>
        <color rgb="FF7F7F7F"/>
        <sz val="8.0"/>
      </rPr>
      <t xml:space="preserve">) </t>
    </r>
    <r>
      <rPr>
        <rFont val="Noto Sans CJK SC"/>
        <i/>
        <color rgb="FF7F7F7F"/>
        <sz val="8.0"/>
      </rPr>
      <t>매핑 필요</t>
    </r>
  </si>
  <si>
    <r>
      <rPr>
        <rFont val="Noto Sans CJK SC"/>
        <b/>
        <color rgb="FF000000"/>
        <sz val="11.0"/>
      </rPr>
      <t>자격증</t>
    </r>
    <r>
      <rPr>
        <rFont val="맑은 고딕"/>
        <b/>
        <color rgb="FF000000"/>
        <sz val="11.0"/>
      </rPr>
      <t>(</t>
    </r>
    <r>
      <rPr>
        <rFont val="Noto Sans CJK SC"/>
        <b/>
        <color rgb="FF000000"/>
        <sz val="11.0"/>
      </rPr>
      <t>어학</t>
    </r>
    <r>
      <rPr>
        <rFont val="맑은 고딕"/>
        <b/>
        <color rgb="FF000000"/>
        <sz val="11.0"/>
      </rPr>
      <t>)</t>
    </r>
  </si>
  <si>
    <r>
      <rPr>
        <rFont val="Noto Sans CJK SC"/>
        <i/>
        <color rgb="FF7F7F7F"/>
        <sz val="8.0"/>
      </rPr>
      <t>출처</t>
    </r>
    <r>
      <rPr>
        <rFont val="맑은 고딕"/>
        <i/>
        <color rgb="FF7F7F7F"/>
        <sz val="8.0"/>
      </rPr>
      <t>: 1365 · 3</t>
    </r>
    <r>
      <rPr>
        <rFont val="Noto Sans CJK SC"/>
        <i/>
        <color rgb="FF7F7F7F"/>
        <sz val="8.0"/>
      </rPr>
      <t>품</t>
    </r>
    <r>
      <rPr>
        <rFont val="맑은 고딕"/>
        <i/>
        <color rgb="FF7F7F7F"/>
        <sz val="8.0"/>
      </rPr>
      <t>(</t>
    </r>
    <r>
      <rPr>
        <rFont val="Noto Sans CJK SC"/>
        <i/>
        <color rgb="FF7F7F7F"/>
        <sz val="8.0"/>
      </rPr>
      <t>인성</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대인관계 </t>
    </r>
    <r>
      <rPr>
        <rFont val="맑은 고딕"/>
        <i/>
        <color rgb="FF7F7F7F"/>
        <sz val="8.0"/>
      </rPr>
      <t xml:space="preserve">/ </t>
    </r>
    <r>
      <rPr>
        <rFont val="Noto Sans CJK SC"/>
        <i/>
        <color rgb="FF7F7F7F"/>
        <sz val="8.0"/>
      </rPr>
      <t xml:space="preserve">리더십 </t>
    </r>
    <r>
      <rPr>
        <rFont val="맑은 고딕"/>
        <i/>
        <color rgb="FF7F7F7F"/>
        <sz val="8.0"/>
      </rPr>
      <t xml:space="preserve">/ </t>
    </r>
    <r>
      <rPr>
        <rFont val="Noto Sans CJK SC"/>
        <i/>
        <color rgb="FF7F7F7F"/>
        <sz val="8.0"/>
      </rPr>
      <t xml:space="preserve">문화적수용능력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학년 보정</t>
    </r>
    <r>
      <rPr>
        <rFont val="맑은 고딕"/>
        <i/>
        <color rgb="FF7F7F7F"/>
        <sz val="8.0"/>
      </rPr>
      <t>(</t>
    </r>
    <r>
      <rPr>
        <rFont val="Noto Sans CJK SC"/>
        <i/>
        <color rgb="FF7F7F7F"/>
        <sz val="8.0"/>
      </rPr>
      <t>학기당 시간</t>
    </r>
    <r>
      <rPr>
        <rFont val="맑은 고딕"/>
        <i/>
        <color rgb="FF7F7F7F"/>
        <sz val="8.0"/>
      </rPr>
      <t xml:space="preserve">) </t>
    </r>
    <r>
      <rPr>
        <rFont val="Noto Sans CJK SC"/>
        <i/>
        <color rgb="FF7F7F7F"/>
        <sz val="8.0"/>
      </rPr>
      <t>필요</t>
    </r>
  </si>
  <si>
    <r>
      <rPr>
        <rFont val="Noto Sans CJK SC"/>
        <b/>
        <color rgb="FF000000"/>
        <sz val="10.0"/>
      </rPr>
      <t>총 봉사시간</t>
    </r>
    <r>
      <rPr>
        <rFont val="맑은 고딕"/>
        <b/>
        <color rgb="FF000000"/>
        <sz val="10.0"/>
      </rPr>
      <t>(h)</t>
    </r>
  </si>
  <si>
    <r>
      <rPr>
        <rFont val="맑은 고딕"/>
        <color rgb="FF7F7F7F"/>
        <sz val="9.0"/>
      </rPr>
      <t xml:space="preserve">1365 </t>
    </r>
    <r>
      <rPr>
        <rFont val="Noto Sans CJK SC"/>
        <color rgb="FF7F7F7F"/>
        <sz val="9.0"/>
      </rPr>
      <t>등 인증 시간 합계</t>
    </r>
  </si>
  <si>
    <r>
      <rPr>
        <rFont val="맑은 고딕"/>
        <i/>
        <color rgb="FF7F7F7F"/>
        <sz val="8.0"/>
      </rPr>
      <t>[</t>
    </r>
    <r>
      <rPr>
        <rFont val="Noto Sans CJK SC"/>
        <i/>
        <color rgb="FF7F7F7F"/>
        <sz val="8.0"/>
      </rPr>
      <t xml:space="preserve">교내 </t>
    </r>
    <r>
      <rPr>
        <rFont val="맑은 고딕"/>
        <i/>
        <color rgb="FF7F7F7F"/>
        <sz val="8.0"/>
      </rPr>
      <t xml:space="preserve">/ </t>
    </r>
    <r>
      <rPr>
        <rFont val="Noto Sans CJK SC"/>
        <i/>
        <color rgb="FF7F7F7F"/>
        <sz val="8.0"/>
      </rPr>
      <t xml:space="preserve">지역 </t>
    </r>
    <r>
      <rPr>
        <rFont val="맑은 고딕"/>
        <i/>
        <color rgb="FF7F7F7F"/>
        <sz val="8.0"/>
      </rPr>
      <t xml:space="preserve">/ </t>
    </r>
    <r>
      <rPr>
        <rFont val="Noto Sans CJK SC"/>
        <i/>
        <color rgb="FF7F7F7F"/>
        <sz val="8.0"/>
      </rPr>
      <t xml:space="preserve">전국 </t>
    </r>
    <r>
      <rPr>
        <rFont val="맑은 고딕"/>
        <i/>
        <color rgb="FF7F7F7F"/>
        <sz val="8.0"/>
      </rPr>
      <t xml:space="preserve">/ </t>
    </r>
    <r>
      <rPr>
        <rFont val="Noto Sans CJK SC"/>
        <i/>
        <color rgb="FF7F7F7F"/>
        <sz val="8.0"/>
      </rPr>
      <t>국제</t>
    </r>
    <r>
      <rPr>
        <rFont val="맑은 고딕"/>
        <i/>
        <color rgb="FF7F7F7F"/>
        <sz val="8.0"/>
      </rPr>
      <t>]</t>
    </r>
  </si>
  <si>
    <r>
      <rPr>
        <rFont val="Noto Sans CJK SC"/>
        <b/>
        <color rgb="FF000000"/>
        <sz val="9.0"/>
      </rPr>
      <t>기관</t>
    </r>
    <r>
      <rPr>
        <rFont val="맑은 고딕"/>
        <b/>
        <color rgb="FF000000"/>
        <sz val="9.0"/>
      </rPr>
      <t>·</t>
    </r>
    <r>
      <rPr>
        <rFont val="Noto Sans CJK SC"/>
        <b/>
        <color rgb="FF000000"/>
        <sz val="9.0"/>
      </rPr>
      <t>내용</t>
    </r>
  </si>
  <si>
    <r>
      <rPr>
        <rFont val="Noto Sans CJK SC"/>
        <b/>
        <color rgb="FF000000"/>
        <sz val="9.0"/>
      </rPr>
      <t>시간</t>
    </r>
    <r>
      <rPr>
        <rFont val="맑은 고딕"/>
        <b/>
        <color rgb="FF000000"/>
        <sz val="9.0"/>
      </rPr>
      <t>(h)</t>
    </r>
  </si>
  <si>
    <r>
      <rPr>
        <rFont val="맑은 고딕"/>
        <i/>
        <color rgb="FF7F7F7F"/>
        <sz val="8.0"/>
      </rPr>
      <t>[</t>
    </r>
    <r>
      <rPr>
        <rFont val="Noto Sans CJK SC"/>
        <i/>
        <color rgb="FF7F7F7F"/>
        <sz val="8.0"/>
      </rPr>
      <t xml:space="preserve">참가 </t>
    </r>
    <r>
      <rPr>
        <rFont val="맑은 고딕"/>
        <i/>
        <color rgb="FF7F7F7F"/>
        <sz val="8.0"/>
      </rPr>
      <t xml:space="preserve">/ </t>
    </r>
    <r>
      <rPr>
        <rFont val="Noto Sans CJK SC"/>
        <i/>
        <color rgb="FF7F7F7F"/>
        <sz val="8.0"/>
      </rPr>
      <t xml:space="preserve">입선 </t>
    </r>
    <r>
      <rPr>
        <rFont val="맑은 고딕"/>
        <i/>
        <color rgb="FF7F7F7F"/>
        <sz val="8.0"/>
      </rPr>
      <t xml:space="preserve">/ </t>
    </r>
    <r>
      <rPr>
        <rFont val="Noto Sans CJK SC"/>
        <i/>
        <color rgb="FF7F7F7F"/>
        <sz val="8.0"/>
      </rPr>
      <t xml:space="preserve">장려 </t>
    </r>
    <r>
      <rPr>
        <rFont val="맑은 고딕"/>
        <i/>
        <color rgb="FF7F7F7F"/>
        <sz val="8.0"/>
      </rPr>
      <t xml:space="preserve">/ </t>
    </r>
    <r>
      <rPr>
        <rFont val="Noto Sans CJK SC"/>
        <i/>
        <color rgb="FF7F7F7F"/>
        <sz val="8.0"/>
      </rPr>
      <t xml:space="preserve">우수 </t>
    </r>
    <r>
      <rPr>
        <rFont val="맑은 고딕"/>
        <i/>
        <color rgb="FF7F7F7F"/>
        <sz val="8.0"/>
      </rPr>
      <t xml:space="preserve">/ </t>
    </r>
    <r>
      <rPr>
        <rFont val="Noto Sans CJK SC"/>
        <i/>
        <color rgb="FF7F7F7F"/>
        <sz val="8.0"/>
      </rPr>
      <t xml:space="preserve">최우수 </t>
    </r>
    <r>
      <rPr>
        <rFont val="맑은 고딕"/>
        <i/>
        <color rgb="FF7F7F7F"/>
        <sz val="8.0"/>
      </rPr>
      <t xml:space="preserve">/ </t>
    </r>
    <r>
      <rPr>
        <rFont val="Noto Sans CJK SC"/>
        <i/>
        <color rgb="FF7F7F7F"/>
        <sz val="8.0"/>
      </rPr>
      <t>대상</t>
    </r>
    <r>
      <rPr>
        <rFont val="맑은 고딕"/>
        <i/>
        <color rgb="FF7F7F7F"/>
        <sz val="8.0"/>
      </rPr>
      <t>]</t>
    </r>
  </si>
  <si>
    <r>
      <rPr>
        <rFont val="맑은 고딕"/>
        <i/>
        <color rgb="FF7F7F7F"/>
        <sz val="8.0"/>
      </rPr>
      <t>[</t>
    </r>
    <r>
      <rPr>
        <rFont val="Noto Sans CJK SC"/>
        <i/>
        <color rgb="FF7F7F7F"/>
        <sz val="8.0"/>
      </rPr>
      <t xml:space="preserve">개인 </t>
    </r>
    <r>
      <rPr>
        <rFont val="맑은 고딕"/>
        <i/>
        <color rgb="FF7F7F7F"/>
        <sz val="8.0"/>
      </rPr>
      <t xml:space="preserve">/ </t>
    </r>
    <r>
      <rPr>
        <rFont val="Noto Sans CJK SC"/>
        <i/>
        <color rgb="FF7F7F7F"/>
        <sz val="8.0"/>
      </rPr>
      <t>팀</t>
    </r>
    <r>
      <rPr>
        <rFont val="맑은 고딕"/>
        <i/>
        <color rgb="FF7F7F7F"/>
        <sz val="8.0"/>
      </rPr>
      <t>]</t>
    </r>
  </si>
  <si>
    <r>
      <rPr>
        <rFont val="맑은 고딕"/>
        <i/>
        <color rgb="FF7F7F7F"/>
        <sz val="8.0"/>
      </rPr>
      <t>[</t>
    </r>
    <r>
      <rPr>
        <rFont val="Noto Sans CJK SC"/>
        <i/>
        <color rgb="FF7F7F7F"/>
        <sz val="8.0"/>
      </rPr>
      <t xml:space="preserve">교내 </t>
    </r>
    <r>
      <rPr>
        <rFont val="맑은 고딕"/>
        <i/>
        <color rgb="FF7F7F7F"/>
        <sz val="8.0"/>
      </rPr>
      <t xml:space="preserve">/ </t>
    </r>
    <r>
      <rPr>
        <rFont val="Noto Sans CJK SC"/>
        <i/>
        <color rgb="FF7F7F7F"/>
        <sz val="8.0"/>
      </rPr>
      <t>교외</t>
    </r>
    <r>
      <rPr>
        <rFont val="맑은 고딕"/>
        <i/>
        <color rgb="FF7F7F7F"/>
        <sz val="8.0"/>
      </rPr>
      <t>(</t>
    </r>
    <r>
      <rPr>
        <rFont val="Noto Sans CJK SC"/>
        <i/>
        <color rgb="FF7F7F7F"/>
        <sz val="8.0"/>
      </rPr>
      <t>국내</t>
    </r>
    <r>
      <rPr>
        <rFont val="맑은 고딕"/>
        <i/>
        <color rgb="FF7F7F7F"/>
        <sz val="8.0"/>
      </rPr>
      <t xml:space="preserve">) / </t>
    </r>
    <r>
      <rPr>
        <rFont val="Noto Sans CJK SC"/>
        <i/>
        <color rgb="FF7F7F7F"/>
        <sz val="8.0"/>
      </rPr>
      <t xml:space="preserve">국외 </t>
    </r>
    <r>
      <rPr>
        <rFont val="맑은 고딕"/>
        <i/>
        <color rgb="FF7F7F7F"/>
        <sz val="8.0"/>
      </rPr>
      <t xml:space="preserve">/ </t>
    </r>
    <r>
      <rPr>
        <rFont val="Noto Sans CJK SC"/>
        <i/>
        <color rgb="FF7F7F7F"/>
        <sz val="8.0"/>
      </rPr>
      <t>유학생 봉사</t>
    </r>
    <r>
      <rPr>
        <rFont val="맑은 고딕"/>
        <i/>
        <color rgb="FF7F7F7F"/>
        <sz val="8.0"/>
      </rPr>
      <t>]</t>
    </r>
  </si>
  <si>
    <t>교내 창의설계 경진대회</t>
  </si>
  <si>
    <r>
      <rPr>
        <rFont val="Noto Sans CJK SC"/>
        <color rgb="FF1F3B8A"/>
        <sz val="10.0"/>
      </rPr>
      <t>교외</t>
    </r>
    <r>
      <rPr>
        <rFont val="맑은 고딕"/>
        <color rgb="FF1F3B8A"/>
        <sz val="10.0"/>
      </rPr>
      <t>(</t>
    </r>
    <r>
      <rPr>
        <rFont val="Noto Sans CJK SC"/>
        <color rgb="FF1F3B8A"/>
        <sz val="10.0"/>
      </rPr>
      <t>국내</t>
    </r>
    <r>
      <rPr>
        <rFont val="맑은 고딕"/>
        <color rgb="FF1F3B8A"/>
        <sz val="10.0"/>
      </rPr>
      <t>)</t>
    </r>
  </si>
  <si>
    <t>지역아동센터 학습 멘토링</t>
  </si>
  <si>
    <t>유학생 봉사</t>
  </si>
  <si>
    <t>외국인 유학생 버디</t>
  </si>
  <si>
    <t>우수</t>
  </si>
  <si>
    <r>
      <rPr>
        <rFont val="Noto Sans CJK SC"/>
        <color rgb="FF1F3B8A"/>
        <sz val="10.0"/>
      </rPr>
      <t>설계</t>
    </r>
    <r>
      <rPr>
        <rFont val="맑은 고딕"/>
        <color rgb="FF1F3B8A"/>
        <sz val="10.0"/>
      </rPr>
      <t>·</t>
    </r>
    <r>
      <rPr>
        <rFont val="Noto Sans CJK SC"/>
        <color rgb="FF1F3B8A"/>
        <sz val="10.0"/>
      </rPr>
      <t>제작</t>
    </r>
  </si>
  <si>
    <r>
      <rPr>
        <rFont val="Noto Sans CJK SC"/>
        <b/>
        <color rgb="FF000000"/>
        <sz val="11.0"/>
      </rPr>
      <t>멘토링</t>
    </r>
    <r>
      <rPr>
        <rFont val="맑은 고딕"/>
        <b/>
        <color rgb="FF000000"/>
        <sz val="11.0"/>
      </rPr>
      <t>·</t>
    </r>
    <r>
      <rPr>
        <rFont val="Noto Sans CJK SC"/>
        <b/>
        <color rgb="FF000000"/>
        <sz val="11.0"/>
      </rPr>
      <t>학습공동체</t>
    </r>
  </si>
  <si>
    <t>전국 대학생 로봇 경진대회</t>
  </si>
  <si>
    <r>
      <rPr>
        <rFont val="Noto Sans CJK SC"/>
        <color rgb="FF1F3B8A"/>
        <sz val="10.0"/>
      </rPr>
      <t>한국로봇학회</t>
    </r>
    <r>
      <rPr>
        <rFont val="맑은 고딕"/>
        <color rgb="FF1F3B8A"/>
        <sz val="10.0"/>
      </rPr>
      <t>(</t>
    </r>
    <r>
      <rPr>
        <rFont val="Noto Sans CJK SC"/>
        <color rgb="FF1F3B8A"/>
        <sz val="10.0"/>
      </rPr>
      <t>가상</t>
    </r>
    <r>
      <rPr>
        <rFont val="맑은 고딕"/>
        <color rgb="FF1F3B8A"/>
        <sz val="10.0"/>
      </rPr>
      <t>)</t>
    </r>
  </si>
  <si>
    <t>참가</t>
  </si>
  <si>
    <r>
      <rPr>
        <rFont val="Noto Sans CJK SC"/>
        <color rgb="FF1F3B8A"/>
        <sz val="10.0"/>
      </rPr>
      <t xml:space="preserve">제어 </t>
    </r>
    <r>
      <rPr>
        <rFont val="맑은 고딕"/>
        <color rgb="FF1F3B8A"/>
        <sz val="10.0"/>
      </rPr>
      <t>SW</t>
    </r>
  </si>
  <si>
    <r>
      <rPr>
        <rFont val="Noto Sans CJK SC"/>
        <i/>
        <color rgb="FF7F7F7F"/>
        <sz val="8.0"/>
      </rPr>
      <t>출처</t>
    </r>
    <r>
      <rPr>
        <rFont val="맑은 고딕"/>
        <i/>
        <color rgb="FF7F7F7F"/>
        <sz val="8.0"/>
      </rPr>
      <t xml:space="preserve">: </t>
    </r>
    <r>
      <rPr>
        <rFont val="Noto Sans CJK SC"/>
        <i/>
        <color rgb="FF7F7F7F"/>
        <sz val="8.0"/>
      </rPr>
      <t>학생 등록</t>
    </r>
    <r>
      <rPr>
        <rFont val="맑은 고딕"/>
        <i/>
        <color rgb="FF7F7F7F"/>
        <sz val="8.0"/>
      </rPr>
      <t>(</t>
    </r>
    <r>
      <rPr>
        <rFont val="Noto Sans CJK SC"/>
        <i/>
        <color rgb="FF7F7F7F"/>
        <sz val="8.0"/>
      </rPr>
      <t>성적표</t>
    </r>
    <r>
      <rPr>
        <rFont val="맑은 고딕"/>
        <i/>
        <color rgb="FF7F7F7F"/>
        <sz val="8.0"/>
      </rPr>
      <t>) · 3</t>
    </r>
    <r>
      <rPr>
        <rFont val="Noto Sans CJK SC"/>
        <i/>
        <color rgb="FF7F7F7F"/>
        <sz val="8.0"/>
      </rPr>
      <t>품</t>
    </r>
    <r>
      <rPr>
        <rFont val="맑은 고딕"/>
        <i/>
        <color rgb="FF7F7F7F"/>
        <sz val="8.0"/>
      </rPr>
      <t>(</t>
    </r>
    <r>
      <rPr>
        <rFont val="Noto Sans CJK SC"/>
        <i/>
        <color rgb="FF7F7F7F"/>
        <sz val="8.0"/>
      </rPr>
      <t>글로벌</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글로벌</t>
    </r>
    <r>
      <rPr>
        <rFont val="맑은 고딕"/>
        <i/>
        <color rgb="FF7F7F7F"/>
        <sz val="8.0"/>
      </rPr>
      <t>(</t>
    </r>
    <r>
      <rPr>
        <rFont val="Noto Sans CJK SC"/>
        <i/>
        <color rgb="FF7F7F7F"/>
        <sz val="8.0"/>
      </rPr>
      <t>언어 사용능력</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시험별 공통 척도 환산표 필요</t>
    </r>
  </si>
  <si>
    <t>시험명</t>
  </si>
  <si>
    <t>점수</t>
  </si>
  <si>
    <r>
      <rPr>
        <rFont val="Noto Sans CJK SC"/>
        <b/>
        <color rgb="FF000000"/>
        <sz val="9.0"/>
      </rPr>
      <t>등급</t>
    </r>
    <r>
      <rPr>
        <rFont val="맑은 고딕"/>
        <b/>
        <color rgb="FF000000"/>
        <sz val="9.0"/>
      </rPr>
      <t>·</t>
    </r>
    <r>
      <rPr>
        <rFont val="Noto Sans CJK SC"/>
        <b/>
        <color rgb="FF000000"/>
        <sz val="9.0"/>
      </rPr>
      <t>레벨</t>
    </r>
  </si>
  <si>
    <t>응시일</t>
  </si>
  <si>
    <t>만료일</t>
  </si>
  <si>
    <r>
      <rPr>
        <rFont val="맑은 고딕"/>
        <i/>
        <color rgb="FF7F7F7F"/>
        <sz val="8.0"/>
      </rPr>
      <t xml:space="preserve">[TOEIC / TOEFL iBT / TOEIC Speaking / OPIc / HSK / JPT / JLPT / DELF/DALF / DELE / </t>
    </r>
    <r>
      <rPr>
        <rFont val="Noto Sans CJK SC"/>
        <i/>
        <color rgb="FF7F7F7F"/>
        <sz val="8.0"/>
      </rPr>
      <t>기타</t>
    </r>
    <r>
      <rPr>
        <rFont val="맑은 고딕"/>
        <i/>
        <color rgb="FF7F7F7F"/>
        <sz val="8.0"/>
      </rPr>
      <t>]</t>
    </r>
  </si>
  <si>
    <r>
      <rPr>
        <rFont val="Noto Sans CJK SC"/>
        <i/>
        <color rgb="FF7F7F7F"/>
        <sz val="8.0"/>
      </rPr>
      <t>예</t>
    </r>
    <r>
      <rPr>
        <rFont val="맑은 고딕"/>
        <i/>
        <color rgb="FF7F7F7F"/>
        <sz val="8.0"/>
      </rPr>
      <t>: IH, N1, 5</t>
    </r>
    <r>
      <rPr>
        <rFont val="Noto Sans CJK SC"/>
        <i/>
        <color rgb="FF7F7F7F"/>
        <sz val="8.0"/>
      </rPr>
      <t>급</t>
    </r>
  </si>
  <si>
    <r>
      <rPr>
        <rFont val="Noto Sans CJK SC"/>
        <i/>
        <color rgb="FF7F7F7F"/>
        <sz val="8.0"/>
      </rPr>
      <t>출처</t>
    </r>
    <r>
      <rPr>
        <rFont val="맑은 고딕"/>
        <i/>
        <color rgb="FF7F7F7F"/>
        <sz val="8.0"/>
      </rPr>
      <t xml:space="preserve">: </t>
    </r>
    <r>
      <rPr>
        <rFont val="Noto Sans CJK SC"/>
        <i/>
        <color rgb="FF7F7F7F"/>
        <sz val="8.0"/>
      </rPr>
      <t xml:space="preserve">교수학습센터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소통능력 </t>
    </r>
    <r>
      <rPr>
        <rFont val="맑은 고딕"/>
        <i/>
        <color rgb="FF7F7F7F"/>
        <sz val="8.0"/>
      </rPr>
      <t xml:space="preserve">/ </t>
    </r>
    <r>
      <rPr>
        <rFont val="Noto Sans CJK SC"/>
        <i/>
        <color rgb="FF7F7F7F"/>
        <sz val="8.0"/>
      </rPr>
      <t xml:space="preserve">대인관계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교수 관심 </t>
    </r>
    <r>
      <rPr>
        <rFont val="맑은 고딕"/>
        <i/>
        <color rgb="FF7F7F7F"/>
        <sz val="8.0"/>
      </rPr>
      <t>'</t>
    </r>
    <r>
      <rPr>
        <rFont val="Noto Sans CJK SC"/>
        <i/>
        <color rgb="FF7F7F7F"/>
        <sz val="8.0"/>
      </rPr>
      <t>소통능력</t>
    </r>
    <r>
      <rPr>
        <rFont val="맑은 고딕"/>
        <i/>
        <color rgb="FF7F7F7F"/>
        <sz val="8.0"/>
      </rPr>
      <t>'</t>
    </r>
    <r>
      <rPr>
        <rFont val="Noto Sans CJK SC"/>
        <i/>
        <color rgb="FF7F7F7F"/>
        <sz val="8.0"/>
      </rPr>
      <t xml:space="preserve">의 </t>
    </r>
    <r>
      <rPr>
        <rFont val="맑은 고딕"/>
        <i/>
        <color rgb="FF7F7F7F"/>
        <sz val="8.0"/>
      </rPr>
      <t>'</t>
    </r>
    <r>
      <rPr>
        <rFont val="Noto Sans CJK SC"/>
        <i/>
        <color rgb="FF7F7F7F"/>
        <sz val="8.0"/>
      </rPr>
      <t>스터디 참여</t>
    </r>
    <r>
      <rPr>
        <rFont val="맑은 고딕"/>
        <i/>
        <color rgb="FF7F7F7F"/>
        <sz val="8.0"/>
      </rPr>
      <t xml:space="preserve">' </t>
    </r>
    <r>
      <rPr>
        <rFont val="Noto Sans CJK SC"/>
        <i/>
        <color rgb="FF7F7F7F"/>
        <sz val="8.0"/>
      </rPr>
      <t>근거 확보</t>
    </r>
  </si>
  <si>
    <r>
      <rPr>
        <rFont val="Noto Sans CJK SC"/>
        <b/>
        <color rgb="FF000000"/>
        <sz val="9.0"/>
      </rPr>
      <t>역할</t>
    </r>
    <r>
      <rPr>
        <rFont val="맑은 고딕"/>
        <b/>
        <color rgb="FF000000"/>
        <sz val="9.0"/>
      </rPr>
      <t>·</t>
    </r>
    <r>
      <rPr>
        <rFont val="Noto Sans CJK SC"/>
        <b/>
        <color rgb="FF000000"/>
        <sz val="9.0"/>
      </rPr>
      <t>내용</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</si>
  <si>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</si>
  <si>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Noto Sans CJK SC"/>
        <b/>
        <color rgb="FF000000"/>
        <sz val="11.0"/>
      </rPr>
      <t>자격증</t>
    </r>
    <r>
      <rPr>
        <rFont val="맑은 고딕"/>
        <b/>
        <color rgb="FF000000"/>
        <sz val="11.0"/>
      </rPr>
      <t>(</t>
    </r>
    <r>
      <rPr>
        <rFont val="Noto Sans CJK SC"/>
        <b/>
        <color rgb="FF000000"/>
        <sz val="11.0"/>
      </rPr>
      <t>기타</t>
    </r>
    <r>
      <rPr>
        <rFont val="맑은 고딕"/>
        <b/>
        <color rgb="FF000000"/>
        <sz val="11.0"/>
      </rPr>
      <t>/</t>
    </r>
    <r>
      <rPr>
        <rFont val="Noto Sans CJK SC"/>
        <b/>
        <color rgb="FF000000"/>
        <sz val="11.0"/>
      </rPr>
      <t>전공</t>
    </r>
    <r>
      <rPr>
        <rFont val="맑은 고딕"/>
        <b/>
        <color rgb="FF000000"/>
        <sz val="11.0"/>
      </rPr>
      <t>)</t>
    </r>
  </si>
  <si>
    <r>
      <rPr>
        <rFont val="맑은 고딕"/>
        <i/>
        <color rgb="FF7F7F7F"/>
        <sz val="8.0"/>
      </rPr>
      <t>[</t>
    </r>
    <r>
      <rPr>
        <rFont val="Noto Sans CJK SC"/>
        <i/>
        <color rgb="FF7F7F7F"/>
        <sz val="8.0"/>
      </rPr>
      <t xml:space="preserve">튜터 </t>
    </r>
    <r>
      <rPr>
        <rFont val="맑은 고딕"/>
        <i/>
        <color rgb="FF7F7F7F"/>
        <sz val="8.0"/>
      </rPr>
      <t xml:space="preserve">/ </t>
    </r>
    <r>
      <rPr>
        <rFont val="Noto Sans CJK SC"/>
        <i/>
        <color rgb="FF7F7F7F"/>
        <sz val="8.0"/>
      </rPr>
      <t xml:space="preserve">튜티 </t>
    </r>
    <r>
      <rPr>
        <rFont val="맑은 고딕"/>
        <i/>
        <color rgb="FF7F7F7F"/>
        <sz val="8.0"/>
      </rPr>
      <t xml:space="preserve">/ </t>
    </r>
    <r>
      <rPr>
        <rFont val="Noto Sans CJK SC"/>
        <i/>
        <color rgb="FF7F7F7F"/>
        <sz val="8.0"/>
      </rPr>
      <t xml:space="preserve">멘토 </t>
    </r>
    <r>
      <rPr>
        <rFont val="맑은 고딕"/>
        <i/>
        <color rgb="FF7F7F7F"/>
        <sz val="8.0"/>
      </rPr>
      <t xml:space="preserve">/ </t>
    </r>
    <r>
      <rPr>
        <rFont val="Noto Sans CJK SC"/>
        <i/>
        <color rgb="FF7F7F7F"/>
        <sz val="8.0"/>
      </rPr>
      <t xml:space="preserve">멘티 </t>
    </r>
    <r>
      <rPr>
        <rFont val="맑은 고딕"/>
        <i/>
        <color rgb="FF7F7F7F"/>
        <sz val="8.0"/>
      </rPr>
      <t xml:space="preserve">/ </t>
    </r>
    <r>
      <rPr>
        <rFont val="Noto Sans CJK SC"/>
        <i/>
        <color rgb="FF7F7F7F"/>
        <sz val="8.0"/>
      </rPr>
      <t xml:space="preserve">스터디 </t>
    </r>
    <r>
      <rPr>
        <rFont val="맑은 고딕"/>
        <i/>
        <color rgb="FF7F7F7F"/>
        <sz val="8.0"/>
      </rPr>
      <t xml:space="preserve">/ </t>
    </r>
    <r>
      <rPr>
        <rFont val="Noto Sans CJK SC"/>
        <i/>
        <color rgb="FF7F7F7F"/>
        <sz val="8.0"/>
      </rPr>
      <t>학습공동체</t>
    </r>
    <r>
      <rPr>
        <rFont val="맑은 고딕"/>
        <i/>
        <color rgb="FF7F7F7F"/>
        <sz val="8.0"/>
      </rPr>
      <t>]</t>
    </r>
  </si>
  <si>
    <t>튜터</t>
  </si>
  <si>
    <r>
      <rPr>
        <rFont val="Noto Sans CJK SC"/>
        <color rgb="FF1F3B8A"/>
        <sz val="10.0"/>
      </rPr>
      <t>교수학습센터 튜터링</t>
    </r>
    <r>
      <rPr>
        <rFont val="맑은 고딕"/>
        <color rgb="FF1F3B8A"/>
        <sz val="10.0"/>
      </rPr>
      <t>(</t>
    </r>
    <r>
      <rPr>
        <rFont val="Noto Sans CJK SC"/>
        <color rgb="FF1F3B8A"/>
        <sz val="10.0"/>
      </rPr>
      <t>기초통계</t>
    </r>
    <r>
      <rPr>
        <rFont val="맑은 고딕"/>
        <color rgb="FF1F3B8A"/>
        <sz val="10.0"/>
      </rPr>
      <t>)</t>
    </r>
  </si>
  <si>
    <r>
      <rPr>
        <rFont val="Noto Sans CJK SC"/>
        <color rgb="FF1F3B8A"/>
        <sz val="10.0"/>
      </rPr>
      <t xml:space="preserve">주 </t>
    </r>
    <r>
      <rPr>
        <rFont val="맑은 고딕"/>
        <color rgb="FF1F3B8A"/>
        <sz val="10.0"/>
      </rPr>
      <t>1</t>
    </r>
    <r>
      <rPr>
        <rFont val="Noto Sans CJK SC"/>
        <color rgb="FF1F3B8A"/>
        <sz val="10.0"/>
      </rPr>
      <t>회 튜터</t>
    </r>
  </si>
  <si>
    <t>스터디</t>
  </si>
  <si>
    <r>
      <rPr>
        <rFont val="맑은 고딕"/>
        <color rgb="FF1F3B8A"/>
        <sz val="10.0"/>
      </rPr>
      <t xml:space="preserve">SQLD </t>
    </r>
    <r>
      <rPr>
        <rFont val="Noto Sans CJK SC"/>
        <color rgb="FF1F3B8A"/>
        <sz val="10.0"/>
      </rPr>
      <t>스터디</t>
    </r>
  </si>
  <si>
    <t>스터디장</t>
  </si>
  <si>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xml:space="preserve">· </t>
    </r>
    <r>
      <rPr>
        <rFont val="Noto Sans CJK SC"/>
        <i/>
        <color rgb="FF7F7F7F"/>
        <sz val="8.0"/>
      </rPr>
      <t xml:space="preserve">창업지원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창의 </t>
    </r>
    <r>
      <rPr>
        <rFont val="맑은 고딕"/>
        <i/>
        <color rgb="FF7F7F7F"/>
        <sz val="8.0"/>
      </rPr>
      <t xml:space="preserve">/ </t>
    </r>
    <r>
      <rPr>
        <rFont val="Noto Sans CJK SC"/>
        <i/>
        <color rgb="FF7F7F7F"/>
        <sz val="8.0"/>
      </rPr>
      <t>도전정신</t>
    </r>
  </si>
  <si>
    <t>미수집</t>
  </si>
  <si>
    <r>
      <rPr>
        <rFont val="Noto Sans CJK SC"/>
        <b/>
        <color rgb="FF000000"/>
        <sz val="9.0"/>
      </rPr>
      <t>명칭</t>
    </r>
    <r>
      <rPr>
        <rFont val="맑은 고딕"/>
        <b/>
        <color rgb="FF000000"/>
        <sz val="9.0"/>
      </rPr>
      <t>·</t>
    </r>
    <r>
      <rPr>
        <rFont val="Noto Sans CJK SC"/>
        <b/>
        <color rgb="FF000000"/>
        <sz val="9.0"/>
      </rPr>
      <t>내용</t>
    </r>
  </si>
  <si>
    <r>
      <rPr>
        <rFont val="Noto Sans CJK SC"/>
        <i/>
        <color rgb="FF7F7F7F"/>
        <sz val="8.0"/>
      </rPr>
      <t>출처</t>
    </r>
    <r>
      <rPr>
        <rFont val="맑은 고딕"/>
        <i/>
        <color rgb="FF7F7F7F"/>
        <sz val="8.0"/>
      </rPr>
      <t xml:space="preserve">: </t>
    </r>
    <r>
      <rPr>
        <rFont val="Noto Sans CJK SC"/>
        <i/>
        <color rgb="FF7F7F7F"/>
        <sz val="8.0"/>
      </rPr>
      <t xml:space="preserve">학생 등록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 xml:space="preserve">-IT </t>
    </r>
    <r>
      <rPr>
        <rFont val="Noto Sans CJK SC"/>
        <i/>
        <color rgb="FF7F7F7F"/>
        <sz val="8.0"/>
      </rPr>
      <t>활용</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자원</t>
    </r>
    <r>
      <rPr>
        <rFont val="맑은 고딕"/>
        <i/>
        <color rgb="FF7F7F7F"/>
        <sz val="8.0"/>
      </rPr>
      <t>·</t>
    </r>
    <r>
      <rPr>
        <rFont val="Noto Sans CJK SC"/>
        <i/>
        <color rgb="FF7F7F7F"/>
        <sz val="8.0"/>
      </rPr>
      <t xml:space="preserve">정보기술활용 </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 xml:space="preserve">디지털리터러시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자격증별 </t>
    </r>
    <r>
      <rPr>
        <rFont val="맑은 고딕"/>
        <i/>
        <color rgb="FF7F7F7F"/>
        <sz val="8.0"/>
      </rPr>
      <t>'</t>
    </r>
    <r>
      <rPr>
        <rFont val="Noto Sans CJK SC"/>
        <i/>
        <color rgb="FF7F7F7F"/>
        <sz val="8.0"/>
      </rPr>
      <t>등급</t>
    </r>
    <r>
      <rPr>
        <rFont val="맑은 고딕"/>
        <i/>
        <color rgb="FF7F7F7F"/>
        <sz val="8.0"/>
      </rPr>
      <t>·</t>
    </r>
    <r>
      <rPr>
        <rFont val="Noto Sans CJK SC"/>
        <i/>
        <color rgb="FF7F7F7F"/>
        <sz val="8.0"/>
      </rPr>
      <t>난이도</t>
    </r>
    <r>
      <rPr>
        <rFont val="맑은 고딕"/>
        <i/>
        <color rgb="FF7F7F7F"/>
        <sz val="8.0"/>
      </rPr>
      <t xml:space="preserve">' </t>
    </r>
    <r>
      <rPr>
        <rFont val="Noto Sans CJK SC"/>
        <i/>
        <color rgb="FF7F7F7F"/>
        <sz val="8.0"/>
      </rPr>
      <t>매핑표 필요</t>
    </r>
  </si>
  <si>
    <r>
      <rPr>
        <rFont val="맑은 고딕"/>
        <i/>
        <color rgb="FF7F7F7F"/>
        <sz val="8.0"/>
      </rPr>
      <t>[</t>
    </r>
    <r>
      <rPr>
        <rFont val="Noto Sans CJK SC"/>
        <i/>
        <color rgb="FF7F7F7F"/>
        <sz val="8.0"/>
      </rPr>
      <t xml:space="preserve">창업교과목 </t>
    </r>
    <r>
      <rPr>
        <rFont val="맑은 고딕"/>
        <i/>
        <color rgb="FF7F7F7F"/>
        <sz val="8.0"/>
      </rPr>
      <t xml:space="preserve">/ </t>
    </r>
    <r>
      <rPr>
        <rFont val="Noto Sans CJK SC"/>
        <i/>
        <color rgb="FF7F7F7F"/>
        <sz val="8.0"/>
      </rPr>
      <t xml:space="preserve">창업경진대회 </t>
    </r>
    <r>
      <rPr>
        <rFont val="맑은 고딕"/>
        <i/>
        <color rgb="FF7F7F7F"/>
        <sz val="8.0"/>
      </rPr>
      <t xml:space="preserve">/ </t>
    </r>
    <r>
      <rPr>
        <rFont val="Noto Sans CJK SC"/>
        <i/>
        <color rgb="FF7F7F7F"/>
        <sz val="8.0"/>
      </rPr>
      <t xml:space="preserve">사업자등록 </t>
    </r>
    <r>
      <rPr>
        <rFont val="맑은 고딕"/>
        <i/>
        <color rgb="FF7F7F7F"/>
        <sz val="8.0"/>
      </rPr>
      <t xml:space="preserve">/ </t>
    </r>
    <r>
      <rPr>
        <rFont val="Noto Sans CJK SC"/>
        <i/>
        <color rgb="FF7F7F7F"/>
        <sz val="8.0"/>
      </rPr>
      <t>창업동아리</t>
    </r>
    <r>
      <rPr>
        <rFont val="맑은 고딕"/>
        <i/>
        <color rgb="FF7F7F7F"/>
        <sz val="8.0"/>
      </rPr>
      <t>]</t>
    </r>
  </si>
  <si>
    <t>자격증명</t>
  </si>
  <si>
    <r>
      <rPr>
        <rFont val="Noto Sans CJK SC"/>
        <b/>
        <color rgb="FF000000"/>
        <sz val="9.0"/>
      </rPr>
      <t>등급</t>
    </r>
    <r>
      <rPr>
        <rFont val="맑은 고딕"/>
        <b/>
        <color rgb="FF000000"/>
        <sz val="9.0"/>
      </rPr>
      <t>·</t>
    </r>
    <r>
      <rPr>
        <rFont val="Noto Sans CJK SC"/>
        <b/>
        <color rgb="FF000000"/>
        <sz val="9.0"/>
      </rPr>
      <t>급수</t>
    </r>
  </si>
  <si>
    <t>발급기관</t>
  </si>
  <si>
    <t>취득일</t>
  </si>
  <si>
    <r>
      <rPr>
        <rFont val="Noto Sans CJK SC"/>
        <i/>
        <color rgb="FF7F7F7F"/>
        <sz val="8.0"/>
      </rPr>
      <t>출처</t>
    </r>
    <r>
      <rPr>
        <rFont val="맑은 고딕"/>
        <i/>
        <color rgb="FF7F7F7F"/>
        <sz val="8.0"/>
      </rPr>
      <t xml:space="preserve">: LMS(i-Campus)   |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커뮤니케이션</t>
    </r>
    <r>
      <rPr>
        <rFont val="맑은 고딕"/>
        <i/>
        <color rgb="FF7F7F7F"/>
        <sz val="8.0"/>
      </rPr>
      <t>(</t>
    </r>
    <r>
      <rPr>
        <rFont val="Noto Sans CJK SC"/>
        <i/>
        <color rgb="FF7F7F7F"/>
        <sz val="8.0"/>
      </rPr>
      <t>협업</t>
    </r>
    <r>
      <rPr>
        <rFont val="맑은 고딕"/>
        <i/>
        <color rgb="FF7F7F7F"/>
        <sz val="8.0"/>
      </rPr>
      <t xml:space="preserve">) / </t>
    </r>
    <r>
      <rPr>
        <rFont val="Noto Sans CJK SC"/>
        <i/>
        <color rgb="FF7F7F7F"/>
        <sz val="8.0"/>
      </rPr>
      <t xml:space="preserve">대인관계 </t>
    </r>
    <r>
      <rPr>
        <rFont val="맑은 고딕"/>
        <i/>
        <color rgb="FF7F7F7F"/>
        <sz val="8.0"/>
      </rPr>
      <t xml:space="preserve">/ </t>
    </r>
    <r>
      <rPr>
        <rFont val="Noto Sans CJK SC"/>
        <i/>
        <color rgb="FF7F7F7F"/>
        <sz val="8.0"/>
      </rPr>
      <t xml:space="preserve">리더십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대인관계 역량을 </t>
    </r>
    <r>
      <rPr>
        <rFont val="맑은 고딕"/>
        <i/>
        <color rgb="FF7F7F7F"/>
        <sz val="8.0"/>
      </rPr>
      <t>'</t>
    </r>
    <r>
      <rPr>
        <rFont val="Noto Sans CJK SC"/>
        <i/>
        <color rgb="FF7F7F7F"/>
        <sz val="8.0"/>
      </rPr>
      <t>활동 여부</t>
    </r>
    <r>
      <rPr>
        <rFont val="맑은 고딕"/>
        <i/>
        <color rgb="FF7F7F7F"/>
        <sz val="8.0"/>
      </rPr>
      <t>'</t>
    </r>
    <r>
      <rPr>
        <rFont val="Noto Sans CJK SC"/>
        <i/>
        <color rgb="FF7F7F7F"/>
        <sz val="8.0"/>
      </rPr>
      <t xml:space="preserve">가 아닌 </t>
    </r>
    <r>
      <rPr>
        <rFont val="맑은 고딕"/>
        <i/>
        <color rgb="FF7F7F7F"/>
        <sz val="8.0"/>
      </rPr>
      <t>'</t>
    </r>
    <r>
      <rPr>
        <rFont val="Noto Sans CJK SC"/>
        <i/>
        <color rgb="FF7F7F7F"/>
        <sz val="8.0"/>
      </rPr>
      <t>평판</t>
    </r>
    <r>
      <rPr>
        <rFont val="맑은 고딕"/>
        <i/>
        <color rgb="FF7F7F7F"/>
        <sz val="8.0"/>
      </rPr>
      <t>'</t>
    </r>
    <r>
      <rPr>
        <rFont val="Noto Sans CJK SC"/>
        <i/>
        <color rgb="FF7F7F7F"/>
        <sz val="8.0"/>
      </rPr>
      <t>으로 측정할 수 있는 유일한 근거</t>
    </r>
  </si>
  <si>
    <r>
      <rPr>
        <rFont val="Noto Sans CJK SC"/>
        <b/>
        <color rgb="FF000000"/>
        <sz val="11.0"/>
      </rPr>
      <t>특허출원</t>
    </r>
    <r>
      <rPr>
        <rFont val="맑은 고딕"/>
        <b/>
        <color rgb="FF000000"/>
        <sz val="11.0"/>
      </rPr>
      <t xml:space="preserve">·SW </t>
    </r>
    <r>
      <rPr>
        <rFont val="Noto Sans CJK SC"/>
        <b/>
        <color rgb="FF000000"/>
        <sz val="11.0"/>
      </rPr>
      <t>등록</t>
    </r>
  </si>
  <si>
    <r>
      <rPr>
        <rFont val="Noto Sans CJK SC"/>
        <b/>
        <color rgb="FF000000"/>
        <sz val="9.0"/>
      </rPr>
      <t>평가 인원</t>
    </r>
    <r>
      <rPr>
        <rFont val="맑은 고딕"/>
        <b/>
        <color rgb="FF000000"/>
        <sz val="9.0"/>
      </rPr>
      <t>(</t>
    </r>
    <r>
      <rPr>
        <rFont val="Noto Sans CJK SC"/>
        <b/>
        <color rgb="FF000000"/>
        <sz val="9.0"/>
      </rPr>
      <t>명</t>
    </r>
    <r>
      <rPr>
        <rFont val="맑은 고딕"/>
        <b/>
        <color rgb="FF000000"/>
        <sz val="9.0"/>
      </rPr>
      <t>)</t>
    </r>
  </si>
  <si>
    <r>
      <rPr>
        <rFont val="Noto Sans CJK SC"/>
        <b/>
        <color rgb="FF000000"/>
        <sz val="11.0"/>
      </rPr>
      <t>전문직</t>
    </r>
    <r>
      <rPr>
        <rFont val="맑은 고딕"/>
        <b/>
        <color rgb="FF000000"/>
        <sz val="11.0"/>
      </rPr>
      <t>·</t>
    </r>
    <r>
      <rPr>
        <rFont val="Noto Sans CJK SC"/>
        <b/>
        <color rgb="FF000000"/>
        <sz val="11.0"/>
      </rPr>
      <t>공직 시험</t>
    </r>
  </si>
  <si>
    <t>미선택</t>
  </si>
  <si>
    <r>
      <rPr>
        <rFont val="맑은 고딕"/>
        <i/>
        <color rgb="FF7F7F7F"/>
        <sz val="8.0"/>
      </rPr>
      <t>YYYY-1 / YYYY-2 / YYYY-</t>
    </r>
    <r>
      <rPr>
        <rFont val="Noto Sans CJK SC"/>
        <i/>
        <color rgb="FF7F7F7F"/>
        <sz val="8.0"/>
      </rPr>
      <t xml:space="preserve">여름 </t>
    </r>
    <r>
      <rPr>
        <rFont val="맑은 고딕"/>
        <i/>
        <color rgb="FF7F7F7F"/>
        <sz val="8.0"/>
      </rPr>
      <t>/ YYYY-</t>
    </r>
    <r>
      <rPr>
        <rFont val="Noto Sans CJK SC"/>
        <i/>
        <color rgb="FF7F7F7F"/>
        <sz val="8.0"/>
      </rPr>
      <t>겨울</t>
    </r>
  </si>
  <si>
    <r>
      <rPr>
        <rFont val="Noto Sans CJK SC"/>
        <color rgb="FF1F3B8A"/>
        <sz val="10.0"/>
      </rPr>
      <t>역할 분담</t>
    </r>
    <r>
      <rPr>
        <rFont val="맑은 고딕"/>
        <color rgb="FF1F3B8A"/>
        <sz val="10.0"/>
      </rPr>
      <t>·</t>
    </r>
    <r>
      <rPr>
        <rFont val="Noto Sans CJK SC"/>
        <color rgb="FF1F3B8A"/>
        <sz val="10.0"/>
      </rPr>
      <t>일정 관리 우수</t>
    </r>
    <r>
      <rPr>
        <rFont val="맑은 고딕"/>
        <color rgb="FF1F3B8A"/>
        <sz val="10.0"/>
      </rPr>
      <t xml:space="preserve">, </t>
    </r>
    <r>
      <rPr>
        <rFont val="Noto Sans CJK SC"/>
        <color rgb="FF1F3B8A"/>
        <sz val="10.0"/>
      </rPr>
      <t>회의 주도</t>
    </r>
  </si>
  <si>
    <t>자료 정리가 꼼꼼함</t>
  </si>
  <si>
    <r>
      <rPr>
        <rFont val="Noto Sans CJK SC"/>
        <b/>
        <color rgb="FFFFFFFF"/>
        <sz val="11.0"/>
      </rPr>
      <t>■ 자격</t>
    </r>
    <r>
      <rPr>
        <rFont val="맑은 고딕"/>
        <b/>
        <color rgb="FFFFFFFF"/>
        <sz val="11.0"/>
      </rPr>
      <t>·</t>
    </r>
    <r>
      <rPr>
        <rFont val="Noto Sans CJK SC"/>
        <b/>
        <color rgb="FFFFFFFF"/>
        <sz val="11.0"/>
      </rPr>
      <t>인증</t>
    </r>
  </si>
  <si>
    <r>
      <rPr>
        <rFont val="Noto Sans CJK SC"/>
        <i/>
        <color rgb="FF7F7F7F"/>
        <sz val="8.0"/>
      </rPr>
      <t>출처</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 xml:space="preserve">) </t>
    </r>
    <r>
      <rPr>
        <rFont val="Noto Sans CJK SC"/>
        <i/>
        <color rgb="FF7F7F7F"/>
        <sz val="8.0"/>
      </rPr>
      <t xml:space="preserve">인증 </t>
    </r>
    <r>
      <rPr>
        <rFont val="맑은 고딕"/>
        <i/>
        <color rgb="FF7F7F7F"/>
        <sz val="8.0"/>
      </rPr>
      <t xml:space="preserve">· </t>
    </r>
    <r>
      <rPr>
        <rFont val="Noto Sans CJK SC"/>
        <i/>
        <color rgb="FF7F7F7F"/>
        <sz val="8.0"/>
      </rPr>
      <t xml:space="preserve">학생 등록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창의 </t>
    </r>
    <r>
      <rPr>
        <rFont val="맑은 고딕"/>
        <i/>
        <color rgb="FF7F7F7F"/>
        <sz val="8.0"/>
      </rPr>
      <t xml:space="preserve">/ </t>
    </r>
    <r>
      <rPr>
        <rFont val="Noto Sans CJK SC"/>
        <i/>
        <color rgb="FF7F7F7F"/>
        <sz val="8.0"/>
      </rPr>
      <t xml:space="preserve">도전정신 </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기존 데이터셋에 없는 신규 근거</t>
    </r>
  </si>
  <si>
    <r>
      <rPr>
        <rFont val="Noto Sans CJK SC"/>
        <b/>
        <color rgb="FF000000"/>
        <sz val="11.0"/>
      </rPr>
      <t>자격증</t>
    </r>
    <r>
      <rPr>
        <rFont val="맑은 고딕"/>
        <b/>
        <color rgb="FF000000"/>
        <sz val="11.0"/>
      </rPr>
      <t>(</t>
    </r>
    <r>
      <rPr>
        <rFont val="Noto Sans CJK SC"/>
        <b/>
        <color rgb="FF000000"/>
        <sz val="11.0"/>
      </rPr>
      <t>어학</t>
    </r>
    <r>
      <rPr>
        <rFont val="맑은 고딕"/>
        <b/>
        <color rgb="FF000000"/>
        <sz val="11.0"/>
      </rPr>
      <t>)</t>
    </r>
  </si>
  <si>
    <r>
      <rPr>
        <rFont val="Noto Sans CJK SC"/>
        <b/>
        <color rgb="FF000000"/>
        <sz val="9.0"/>
      </rPr>
      <t>출원</t>
    </r>
    <r>
      <rPr>
        <rFont val="맑은 고딕"/>
        <b/>
        <color rgb="FF000000"/>
        <sz val="9.0"/>
      </rPr>
      <t>·</t>
    </r>
    <r>
      <rPr>
        <rFont val="Noto Sans CJK SC"/>
        <b/>
        <color rgb="FF000000"/>
        <sz val="9.0"/>
      </rPr>
      <t>등록번호</t>
    </r>
  </si>
  <si>
    <r>
      <rPr>
        <rFont val="Noto Sans CJK SC"/>
        <i/>
        <color rgb="FF7F7F7F"/>
        <sz val="8.0"/>
      </rPr>
      <t>출처</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t>
    </r>
    <r>
      <rPr>
        <rFont val="Noto Sans CJK SC"/>
        <i/>
        <color rgb="FF7F7F7F"/>
        <sz val="8.0"/>
      </rPr>
      <t>진로개발</t>
    </r>
    <r>
      <rPr>
        <rFont val="맑은 고딕"/>
        <i/>
        <color rgb="FF7F7F7F"/>
        <sz val="8.0"/>
      </rPr>
      <t xml:space="preserve">) </t>
    </r>
    <r>
      <rPr>
        <rFont val="Noto Sans CJK SC"/>
        <i/>
        <color rgb="FF7F7F7F"/>
        <sz val="8.0"/>
      </rPr>
      <t xml:space="preserve">인증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 xml:space="preserve">도전정신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단계</t>
    </r>
    <r>
      <rPr>
        <rFont val="맑은 고딕"/>
        <i/>
        <color rgb="FF7F7F7F"/>
        <sz val="8.0"/>
      </rPr>
      <t>(1</t>
    </r>
    <r>
      <rPr>
        <rFont val="Noto Sans CJK SC"/>
        <i/>
        <color rgb="FF7F7F7F"/>
        <sz val="8.0"/>
      </rPr>
      <t>차</t>
    </r>
    <r>
      <rPr>
        <rFont val="맑은 고딕"/>
        <i/>
        <color rgb="FF7F7F7F"/>
        <sz val="8.0"/>
      </rPr>
      <t>·</t>
    </r>
    <r>
      <rPr>
        <rFont val="Noto Sans CJK SC"/>
        <i/>
        <color rgb="FF7F7F7F"/>
        <sz val="8.0"/>
      </rPr>
      <t>최종</t>
    </r>
    <r>
      <rPr>
        <rFont val="맑은 고딕"/>
        <i/>
        <color rgb="FF7F7F7F"/>
        <sz val="8.0"/>
      </rPr>
      <t xml:space="preserve">) </t>
    </r>
    <r>
      <rPr>
        <rFont val="Noto Sans CJK SC"/>
        <i/>
        <color rgb="FF7F7F7F"/>
        <sz val="8.0"/>
      </rPr>
      <t>구분</t>
    </r>
  </si>
  <si>
    <r>
      <rPr>
        <rFont val="맑은 고딕"/>
        <i/>
        <color rgb="FF7F7F7F"/>
        <sz val="8.0"/>
      </rPr>
      <t>[</t>
    </r>
    <r>
      <rPr>
        <rFont val="Noto Sans CJK SC"/>
        <i/>
        <color rgb="FF7F7F7F"/>
        <sz val="8.0"/>
      </rPr>
      <t xml:space="preserve">특허 </t>
    </r>
    <r>
      <rPr>
        <rFont val="맑은 고딕"/>
        <i/>
        <color rgb="FF7F7F7F"/>
        <sz val="8.0"/>
      </rPr>
      <t xml:space="preserve">/ </t>
    </r>
    <r>
      <rPr>
        <rFont val="Noto Sans CJK SC"/>
        <i/>
        <color rgb="FF7F7F7F"/>
        <sz val="8.0"/>
      </rPr>
      <t xml:space="preserve">실용신안 </t>
    </r>
    <r>
      <rPr>
        <rFont val="맑은 고딕"/>
        <i/>
        <color rgb="FF7F7F7F"/>
        <sz val="8.0"/>
      </rPr>
      <t xml:space="preserve">/ </t>
    </r>
    <r>
      <rPr>
        <rFont val="Noto Sans CJK SC"/>
        <i/>
        <color rgb="FF7F7F7F"/>
        <sz val="8.0"/>
      </rPr>
      <t xml:space="preserve">디자인 </t>
    </r>
    <r>
      <rPr>
        <rFont val="맑은 고딕"/>
        <i/>
        <color rgb="FF7F7F7F"/>
        <sz val="8.0"/>
      </rPr>
      <t>/ SW</t>
    </r>
    <r>
      <rPr>
        <rFont val="Noto Sans CJK SC"/>
        <i/>
        <color rgb="FF7F7F7F"/>
        <sz val="8.0"/>
      </rPr>
      <t>등록</t>
    </r>
    <r>
      <rPr>
        <rFont val="맑은 고딕"/>
        <i/>
        <color rgb="FF7F7F7F"/>
        <sz val="8.0"/>
      </rPr>
      <t>]</t>
    </r>
  </si>
  <si>
    <t>단계</t>
  </si>
  <si>
    <r>
      <rPr>
        <rFont val="맑은 고딕"/>
        <i/>
        <color rgb="FF7F7F7F"/>
        <sz val="8.0"/>
      </rPr>
      <t>[</t>
    </r>
    <r>
      <rPr>
        <rFont val="Noto Sans CJK SC"/>
        <i/>
        <color rgb="FF7F7F7F"/>
        <sz val="8.0"/>
      </rPr>
      <t xml:space="preserve">출원 </t>
    </r>
    <r>
      <rPr>
        <rFont val="맑은 고딕"/>
        <i/>
        <color rgb="FF7F7F7F"/>
        <sz val="8.0"/>
      </rPr>
      <t xml:space="preserve">/ </t>
    </r>
    <r>
      <rPr>
        <rFont val="Noto Sans CJK SC"/>
        <i/>
        <color rgb="FF7F7F7F"/>
        <sz val="8.0"/>
      </rPr>
      <t>등록</t>
    </r>
    <r>
      <rPr>
        <rFont val="맑은 고딕"/>
        <i/>
        <color rgb="FF7F7F7F"/>
        <sz val="8.0"/>
      </rPr>
      <t>]</t>
    </r>
  </si>
  <si>
    <t>연도</t>
  </si>
  <si>
    <r>
      <rPr>
        <rFont val="맑은 고딕"/>
        <i/>
        <color rgb="FF7F7F7F"/>
        <sz val="8.0"/>
      </rPr>
      <t>[</t>
    </r>
    <r>
      <rPr>
        <rFont val="Noto Sans CJK SC"/>
        <i/>
        <color rgb="FF7F7F7F"/>
        <sz val="8.0"/>
      </rPr>
      <t xml:space="preserve">단독 </t>
    </r>
    <r>
      <rPr>
        <rFont val="맑은 고딕"/>
        <i/>
        <color rgb="FF7F7F7F"/>
        <sz val="8.0"/>
      </rPr>
      <t xml:space="preserve">/ </t>
    </r>
    <r>
      <rPr>
        <rFont val="Noto Sans CJK SC"/>
        <i/>
        <color rgb="FF7F7F7F"/>
        <sz val="8.0"/>
      </rPr>
      <t>공동</t>
    </r>
    <r>
      <rPr>
        <rFont val="맑은 고딕"/>
        <i/>
        <color rgb="FF7F7F7F"/>
        <sz val="8.0"/>
      </rPr>
      <t>]</t>
    </r>
  </si>
  <si>
    <r>
      <rPr>
        <rFont val="맑은 고딕"/>
        <i/>
        <color rgb="FF7F7F7F"/>
        <sz val="8.0"/>
      </rPr>
      <t>[</t>
    </r>
    <r>
      <rPr>
        <rFont val="Noto Sans CJK SC"/>
        <i/>
        <color rgb="FF7F7F7F"/>
        <sz val="8.0"/>
      </rPr>
      <t xml:space="preserve">응시 </t>
    </r>
    <r>
      <rPr>
        <rFont val="맑은 고딕"/>
        <i/>
        <color rgb="FF7F7F7F"/>
        <sz val="8.0"/>
      </rPr>
      <t>/ 1</t>
    </r>
    <r>
      <rPr>
        <rFont val="Noto Sans CJK SC"/>
        <i/>
        <color rgb="FF7F7F7F"/>
        <sz val="8.0"/>
      </rPr>
      <t xml:space="preserve">차 합격 </t>
    </r>
    <r>
      <rPr>
        <rFont val="맑은 고딕"/>
        <i/>
        <color rgb="FF7F7F7F"/>
        <sz val="8.0"/>
      </rPr>
      <t>/ 2</t>
    </r>
    <r>
      <rPr>
        <rFont val="Noto Sans CJK SC"/>
        <i/>
        <color rgb="FF7F7F7F"/>
        <sz val="8.0"/>
      </rPr>
      <t xml:space="preserve">차 합격 </t>
    </r>
    <r>
      <rPr>
        <rFont val="맑은 고딕"/>
        <i/>
        <color rgb="FF7F7F7F"/>
        <sz val="8.0"/>
      </rPr>
      <t xml:space="preserve">/ </t>
    </r>
    <r>
      <rPr>
        <rFont val="Noto Sans CJK SC"/>
        <i/>
        <color rgb="FF7F7F7F"/>
        <sz val="8.0"/>
      </rPr>
      <t>최종 합격</t>
    </r>
    <r>
      <rPr>
        <rFont val="맑은 고딕"/>
        <i/>
        <color rgb="FF7F7F7F"/>
        <sz val="8.0"/>
      </rPr>
      <t>]</t>
    </r>
  </si>
  <si>
    <t>YYYY</t>
  </si>
  <si>
    <t>⚠ 점검 건수</t>
  </si>
  <si>
    <r>
      <rPr>
        <rFont val="맑은 고딕"/>
        <b/>
        <color rgb="FF000000"/>
        <sz val="11.0"/>
      </rPr>
      <t>3</t>
    </r>
    <r>
      <rPr>
        <rFont val="Noto Sans CJK SC"/>
        <b/>
        <color rgb="FF000000"/>
        <sz val="11.0"/>
      </rPr>
      <t>품인증 취득현황</t>
    </r>
  </si>
  <si>
    <r>
      <rPr>
        <rFont val="Noto Sans CJK SC"/>
        <i/>
        <color rgb="FF7F7F7F"/>
        <sz val="8.0"/>
      </rPr>
      <t>출처</t>
    </r>
    <r>
      <rPr>
        <rFont val="맑은 고딕"/>
        <i/>
        <color rgb="FF7F7F7F"/>
        <sz val="8.0"/>
      </rPr>
      <t xml:space="preserve">: </t>
    </r>
    <r>
      <rPr>
        <rFont val="Noto Sans CJK SC"/>
        <i/>
        <color rgb="FF7F7F7F"/>
        <sz val="8.0"/>
      </rPr>
      <t>학생 등록</t>
    </r>
    <r>
      <rPr>
        <rFont val="맑은 고딕"/>
        <i/>
        <color rgb="FF7F7F7F"/>
        <sz val="8.0"/>
      </rPr>
      <t>(</t>
    </r>
    <r>
      <rPr>
        <rFont val="Noto Sans CJK SC"/>
        <i/>
        <color rgb="FF7F7F7F"/>
        <sz val="8.0"/>
      </rPr>
      <t>성적표</t>
    </r>
    <r>
      <rPr>
        <rFont val="맑은 고딕"/>
        <i/>
        <color rgb="FF7F7F7F"/>
        <sz val="8.0"/>
      </rPr>
      <t>) · 3</t>
    </r>
    <r>
      <rPr>
        <rFont val="Noto Sans CJK SC"/>
        <i/>
        <color rgb="FF7F7F7F"/>
        <sz val="8.0"/>
      </rPr>
      <t>품</t>
    </r>
    <r>
      <rPr>
        <rFont val="맑은 고딕"/>
        <i/>
        <color rgb="FF7F7F7F"/>
        <sz val="8.0"/>
      </rPr>
      <t>(</t>
    </r>
    <r>
      <rPr>
        <rFont val="Noto Sans CJK SC"/>
        <i/>
        <color rgb="FF7F7F7F"/>
        <sz val="8.0"/>
      </rPr>
      <t>글로벌</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글로벌</t>
    </r>
    <r>
      <rPr>
        <rFont val="맑은 고딕"/>
        <i/>
        <color rgb="FF7F7F7F"/>
        <sz val="8.0"/>
      </rPr>
      <t>(</t>
    </r>
    <r>
      <rPr>
        <rFont val="Noto Sans CJK SC"/>
        <i/>
        <color rgb="FF7F7F7F"/>
        <sz val="8.0"/>
      </rPr>
      <t>언어 사용능력</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시험별 공통 척도 환산표 필요</t>
    </r>
  </si>
  <si>
    <r>
      <rPr>
        <rFont val="Noto Sans CJK SC"/>
        <b/>
        <color rgb="FF000000"/>
        <sz val="11.0"/>
      </rPr>
      <t>교환학생</t>
    </r>
    <r>
      <rPr>
        <rFont val="맑은 고딕"/>
        <b/>
        <color rgb="FF000000"/>
        <sz val="11.0"/>
      </rPr>
      <t>·</t>
    </r>
    <r>
      <rPr>
        <rFont val="Noto Sans CJK SC"/>
        <b/>
        <color rgb="FF000000"/>
        <sz val="11.0"/>
      </rPr>
      <t>해외경험</t>
    </r>
  </si>
  <si>
    <r>
      <rPr>
        <rFont val="Noto Sans CJK SC"/>
        <b/>
        <color rgb="FF000000"/>
        <sz val="9.0"/>
      </rPr>
      <t>등급</t>
    </r>
    <r>
      <rPr>
        <rFont val="맑은 고딕"/>
        <b/>
        <color rgb="FF000000"/>
        <sz val="9.0"/>
      </rPr>
      <t>·</t>
    </r>
    <r>
      <rPr>
        <rFont val="Noto Sans CJK SC"/>
        <b/>
        <color rgb="FF000000"/>
        <sz val="9.0"/>
      </rPr>
      <t>레벨</t>
    </r>
  </si>
  <si>
    <r>
      <rPr>
        <rFont val="맑은 고딕"/>
        <i/>
        <color rgb="FF7F7F7F"/>
        <sz val="8.0"/>
      </rPr>
      <t xml:space="preserve">[TOEIC / TOEFL iBT / TOEIC Speaking / OPIc / HSK / JPT / JLPT / DELF/DALF / DELE / </t>
    </r>
    <r>
      <rPr>
        <rFont val="Noto Sans CJK SC"/>
        <i/>
        <color rgb="FF7F7F7F"/>
        <sz val="8.0"/>
      </rPr>
      <t>기타</t>
    </r>
    <r>
      <rPr>
        <rFont val="맑은 고딕"/>
        <i/>
        <color rgb="FF7F7F7F"/>
        <sz val="8.0"/>
      </rPr>
      <t>]</t>
    </r>
  </si>
  <si>
    <r>
      <rPr>
        <rFont val="Noto Sans CJK SC"/>
        <i/>
        <color rgb="FF7F7F7F"/>
        <sz val="8.0"/>
      </rPr>
      <t>예</t>
    </r>
    <r>
      <rPr>
        <rFont val="맑은 고딕"/>
        <i/>
        <color rgb="FF7F7F7F"/>
        <sz val="8.0"/>
      </rPr>
      <t>: IH, N1, 5</t>
    </r>
    <r>
      <rPr>
        <rFont val="Noto Sans CJK SC"/>
        <i/>
        <color rgb="FF7F7F7F"/>
        <sz val="8.0"/>
      </rPr>
      <t>급</t>
    </r>
  </si>
  <si>
    <t>TOEIC</t>
  </si>
  <si>
    <t>2025-01-12</t>
  </si>
  <si>
    <t>2027-01-12</t>
  </si>
  <si>
    <t>OPIc</t>
  </si>
  <si>
    <t>IH</t>
  </si>
  <si>
    <t>2025-06-21</t>
  </si>
  <si>
    <t>2027-06-21</t>
  </si>
  <si>
    <r>
      <rPr>
        <rFont val="Noto Sans CJK SC"/>
        <i/>
        <color rgb="FF7F7F7F"/>
        <sz val="8.0"/>
      </rPr>
      <t>출처</t>
    </r>
    <r>
      <rPr>
        <rFont val="맑은 고딕"/>
        <i/>
        <color rgb="FF7F7F7F"/>
        <sz val="8.0"/>
      </rPr>
      <t>: 3</t>
    </r>
    <r>
      <rPr>
        <rFont val="Noto Sans CJK SC"/>
        <i/>
        <color rgb="FF7F7F7F"/>
        <sz val="8.0"/>
      </rPr>
      <t xml:space="preserve">품인증 시스템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t>
    </r>
    <r>
      <rPr>
        <rFont val="Noto Sans CJK SC"/>
        <i/>
        <color rgb="FF7F7F7F"/>
        <sz val="8.0"/>
      </rPr>
      <t>복수 역량 종합</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 xml:space="preserve">하위 활동과 중복 가산 위험 → 가산점이 아닌 </t>
    </r>
    <r>
      <rPr>
        <rFont val="맑은 고딕"/>
        <i/>
        <color rgb="FF7F7F7F"/>
        <sz val="8.0"/>
      </rPr>
      <t>'</t>
    </r>
    <r>
      <rPr>
        <rFont val="Noto Sans CJK SC"/>
        <i/>
        <color rgb="FF7F7F7F"/>
        <sz val="8.0"/>
      </rPr>
      <t>참고 지표</t>
    </r>
    <r>
      <rPr>
        <rFont val="맑은 고딕"/>
        <i/>
        <color rgb="FF7F7F7F"/>
        <sz val="8.0"/>
      </rPr>
      <t>'</t>
    </r>
    <r>
      <rPr>
        <rFont val="Noto Sans CJK SC"/>
        <i/>
        <color rgb="FF7F7F7F"/>
        <sz val="8.0"/>
      </rPr>
      <t>로 권장</t>
    </r>
  </si>
  <si>
    <t>인성품</t>
  </si>
  <si>
    <r>
      <rPr>
        <rFont val="Noto Sans CJK SC"/>
        <i/>
        <color rgb="FF7F7F7F"/>
        <sz val="8.0"/>
      </rPr>
      <t>출처</t>
    </r>
    <r>
      <rPr>
        <rFont val="맑은 고딕"/>
        <i/>
        <color rgb="FF7F7F7F"/>
        <sz val="8.0"/>
      </rPr>
      <t xml:space="preserve">: </t>
    </r>
    <r>
      <rPr>
        <rFont val="Noto Sans CJK SC"/>
        <i/>
        <color rgb="FF7F7F7F"/>
        <sz val="8.0"/>
      </rPr>
      <t xml:space="preserve">국제처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글로벌</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글로벌</t>
    </r>
    <r>
      <rPr>
        <rFont val="맑은 고딕"/>
        <i/>
        <color rgb="FF7F7F7F"/>
        <sz val="8.0"/>
      </rPr>
      <t>(</t>
    </r>
    <r>
      <rPr>
        <rFont val="Noto Sans CJK SC"/>
        <i/>
        <color rgb="FF7F7F7F"/>
        <sz val="8.0"/>
      </rPr>
      <t>문화적 수용능력</t>
    </r>
    <r>
      <rPr>
        <rFont val="맑은 고딕"/>
        <i/>
        <color rgb="FF7F7F7F"/>
        <sz val="8.0"/>
      </rPr>
      <t xml:space="preserve">)   |   </t>
    </r>
    <r>
      <rPr>
        <rFont val="Noto Sans CJK SC"/>
        <i/>
        <color rgb="FF7F7F7F"/>
        <sz val="8.0"/>
      </rPr>
      <t>비고</t>
    </r>
    <r>
      <rPr>
        <rFont val="맑은 고딕"/>
        <i/>
        <color rgb="FF7F7F7F"/>
        <sz val="8.0"/>
      </rPr>
      <t xml:space="preserve">: [C] </t>
    </r>
    <r>
      <rPr>
        <rFont val="Noto Sans CJK SC"/>
        <i/>
        <color rgb="FF7F7F7F"/>
        <sz val="8.0"/>
      </rPr>
      <t>국제연구</t>
    </r>
    <r>
      <rPr>
        <rFont val="맑은 고딕"/>
        <i/>
        <color rgb="FF7F7F7F"/>
        <sz val="8.0"/>
      </rPr>
      <t>·</t>
    </r>
    <r>
      <rPr>
        <rFont val="Noto Sans CJK SC"/>
        <i/>
        <color rgb="FF7F7F7F"/>
        <sz val="8.0"/>
      </rPr>
      <t>국제문화체험 항목 추가</t>
    </r>
  </si>
  <si>
    <r>
      <rPr>
        <rFont val="Noto Sans CJK SC"/>
        <b/>
        <color rgb="FF000000"/>
        <sz val="11.0"/>
      </rPr>
      <t>자격증</t>
    </r>
    <r>
      <rPr>
        <rFont val="맑은 고딕"/>
        <b/>
        <color rgb="FF000000"/>
        <sz val="11.0"/>
      </rPr>
      <t>(</t>
    </r>
    <r>
      <rPr>
        <rFont val="Noto Sans CJK SC"/>
        <b/>
        <color rgb="FF000000"/>
        <sz val="11.0"/>
      </rPr>
      <t>기타</t>
    </r>
    <r>
      <rPr>
        <rFont val="맑은 고딕"/>
        <b/>
        <color rgb="FF000000"/>
        <sz val="11.0"/>
      </rPr>
      <t>/</t>
    </r>
    <r>
      <rPr>
        <rFont val="Noto Sans CJK SC"/>
        <b/>
        <color rgb="FF000000"/>
        <sz val="11.0"/>
      </rPr>
      <t>전공</t>
    </r>
    <r>
      <rPr>
        <rFont val="맑은 고딕"/>
        <b/>
        <color rgb="FF000000"/>
        <sz val="11.0"/>
      </rPr>
      <t>)</t>
    </r>
  </si>
  <si>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</si>
  <si>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r>
      <rPr>
        <rFont val="Noto Sans CJK SC"/>
        <b/>
        <color rgb="FF000000"/>
        <sz val="9.0"/>
      </rPr>
      <t>기관</t>
    </r>
    <r>
      <rPr>
        <rFont val="맑은 고딕"/>
        <b/>
        <color rgb="FF000000"/>
        <sz val="9.0"/>
      </rPr>
      <t>·</t>
    </r>
    <r>
      <rPr>
        <rFont val="Noto Sans CJK SC"/>
        <b/>
        <color rgb="FF000000"/>
        <sz val="9.0"/>
      </rPr>
      <t>프로그램명</t>
    </r>
  </si>
  <si>
    <t>글로벌품</t>
  </si>
  <si>
    <r>
      <rPr>
        <rFont val="Noto Sans CJK SC"/>
        <b/>
        <color rgb="FF000000"/>
        <sz val="9.0"/>
      </rPr>
      <t>기간</t>
    </r>
    <r>
      <rPr>
        <rFont val="맑은 고딕"/>
        <b/>
        <color rgb="FF000000"/>
        <sz val="9.0"/>
      </rPr>
      <t>(</t>
    </r>
    <r>
      <rPr>
        <rFont val="Noto Sans CJK SC"/>
        <b/>
        <color rgb="FF000000"/>
        <sz val="9.0"/>
      </rPr>
      <t>주</t>
    </r>
    <r>
      <rPr>
        <rFont val="맑은 고딕"/>
        <b/>
        <color rgb="FF000000"/>
        <sz val="9.0"/>
      </rPr>
      <t>)</t>
    </r>
  </si>
  <si>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</si>
  <si>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r>
      <rPr>
        <rFont val="맑은 고딕"/>
        <b/>
        <color rgb="FF000000"/>
        <sz val="9.0"/>
      </rPr>
      <t>3</t>
    </r>
    <r>
      <rPr>
        <rFont val="Noto Sans CJK SC"/>
        <b/>
        <color rgb="FF000000"/>
        <sz val="9.0"/>
      </rPr>
      <t>품 인정</t>
    </r>
  </si>
  <si>
    <t>창의품</t>
  </si>
  <si>
    <r>
      <rPr>
        <rFont val="맑은 고딕"/>
        <i/>
        <color rgb="FF7F7F7F"/>
        <sz val="8.0"/>
      </rPr>
      <t>[</t>
    </r>
    <r>
      <rPr>
        <rFont val="Noto Sans CJK SC"/>
        <i/>
        <color rgb="FF7F7F7F"/>
        <sz val="8.0"/>
      </rPr>
      <t xml:space="preserve">교환학생 </t>
    </r>
    <r>
      <rPr>
        <rFont val="맑은 고딕"/>
        <i/>
        <color rgb="FF7F7F7F"/>
        <sz val="8.0"/>
      </rPr>
      <t xml:space="preserve">/ </t>
    </r>
    <r>
      <rPr>
        <rFont val="Noto Sans CJK SC"/>
        <i/>
        <color rgb="FF7F7F7F"/>
        <sz val="8.0"/>
      </rPr>
      <t xml:space="preserve">어학연수 </t>
    </r>
    <r>
      <rPr>
        <rFont val="맑은 고딕"/>
        <i/>
        <color rgb="FF7F7F7F"/>
        <sz val="8.0"/>
      </rPr>
      <t xml:space="preserve">/ </t>
    </r>
    <r>
      <rPr>
        <rFont val="Noto Sans CJK SC"/>
        <i/>
        <color rgb="FF7F7F7F"/>
        <sz val="8.0"/>
      </rPr>
      <t xml:space="preserve">해외봉사 </t>
    </r>
    <r>
      <rPr>
        <rFont val="맑은 고딕"/>
        <i/>
        <color rgb="FF7F7F7F"/>
        <sz val="8.0"/>
      </rPr>
      <t xml:space="preserve">/ </t>
    </r>
    <r>
      <rPr>
        <rFont val="Noto Sans CJK SC"/>
        <i/>
        <color rgb="FF7F7F7F"/>
        <sz val="8.0"/>
      </rPr>
      <t xml:space="preserve">국제연구 </t>
    </r>
    <r>
      <rPr>
        <rFont val="맑은 고딕"/>
        <i/>
        <color rgb="FF7F7F7F"/>
        <sz val="8.0"/>
      </rPr>
      <t xml:space="preserve">/ </t>
    </r>
    <r>
      <rPr>
        <rFont val="Noto Sans CJK SC"/>
        <i/>
        <color rgb="FF7F7F7F"/>
        <sz val="8.0"/>
      </rPr>
      <t xml:space="preserve">국제문화체험 </t>
    </r>
    <r>
      <rPr>
        <rFont val="맑은 고딕"/>
        <i/>
        <color rgb="FF7F7F7F"/>
        <sz val="8.0"/>
      </rPr>
      <t xml:space="preserve">/ </t>
    </r>
    <r>
      <rPr>
        <rFont val="Noto Sans CJK SC"/>
        <i/>
        <color rgb="FF7F7F7F"/>
        <sz val="8.0"/>
      </rPr>
      <t>해외학습</t>
    </r>
    <r>
      <rPr>
        <rFont val="맑은 고딕"/>
        <i/>
        <color rgb="FF7F7F7F"/>
        <sz val="8.0"/>
      </rPr>
      <t>]</t>
    </r>
  </si>
  <si>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</si>
  <si>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r>
      <rPr>
        <rFont val="맑은 고딕"/>
        <b/>
        <color rgb="FF000000"/>
        <sz val="10.0"/>
      </rPr>
      <t xml:space="preserve">AI </t>
    </r>
    <r>
      <rPr>
        <rFont val="Noto Sans CJK SC"/>
        <b/>
        <color rgb="FF000000"/>
        <sz val="10.0"/>
      </rPr>
      <t>영역</t>
    </r>
  </si>
  <si>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</si>
  <si>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t>인턴십 영역</t>
  </si>
  <si>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</si>
  <si>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r>
      <rPr>
        <rFont val="Noto Sans CJK SC"/>
        <i/>
        <color rgb="FF7F7F7F"/>
        <sz val="8.0"/>
      </rPr>
      <t>출처</t>
    </r>
    <r>
      <rPr>
        <rFont val="맑은 고딕"/>
        <i/>
        <color rgb="FF7F7F7F"/>
        <sz val="8.0"/>
      </rPr>
      <t xml:space="preserve">: </t>
    </r>
    <r>
      <rPr>
        <rFont val="Noto Sans CJK SC"/>
        <i/>
        <color rgb="FF7F7F7F"/>
        <sz val="8.0"/>
      </rPr>
      <t xml:space="preserve">학생 등록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 xml:space="preserve">-IT </t>
    </r>
    <r>
      <rPr>
        <rFont val="Noto Sans CJK SC"/>
        <i/>
        <color rgb="FF7F7F7F"/>
        <sz val="8.0"/>
      </rPr>
      <t>활용</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자원</t>
    </r>
    <r>
      <rPr>
        <rFont val="맑은 고딕"/>
        <i/>
        <color rgb="FF7F7F7F"/>
        <sz val="8.0"/>
      </rPr>
      <t>·</t>
    </r>
    <r>
      <rPr>
        <rFont val="Noto Sans CJK SC"/>
        <i/>
        <color rgb="FF7F7F7F"/>
        <sz val="8.0"/>
      </rPr>
      <t xml:space="preserve">정보기술활용 </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 xml:space="preserve">디지털리터러시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자격증별 </t>
    </r>
    <r>
      <rPr>
        <rFont val="맑은 고딕"/>
        <i/>
        <color rgb="FF7F7F7F"/>
        <sz val="8.0"/>
      </rPr>
      <t>'</t>
    </r>
    <r>
      <rPr>
        <rFont val="Noto Sans CJK SC"/>
        <i/>
        <color rgb="FF7F7F7F"/>
        <sz val="8.0"/>
      </rPr>
      <t>등급</t>
    </r>
    <r>
      <rPr>
        <rFont val="맑은 고딕"/>
        <i/>
        <color rgb="FF7F7F7F"/>
        <sz val="8.0"/>
      </rPr>
      <t>·</t>
    </r>
    <r>
      <rPr>
        <rFont val="Noto Sans CJK SC"/>
        <i/>
        <color rgb="FF7F7F7F"/>
        <sz val="8.0"/>
      </rPr>
      <t>난이도</t>
    </r>
    <r>
      <rPr>
        <rFont val="맑은 고딕"/>
        <i/>
        <color rgb="FF7F7F7F"/>
        <sz val="8.0"/>
      </rPr>
      <t xml:space="preserve">' </t>
    </r>
    <r>
      <rPr>
        <rFont val="Noto Sans CJK SC"/>
        <i/>
        <color rgb="FF7F7F7F"/>
        <sz val="8.0"/>
      </rPr>
      <t>매핑표 필요</t>
    </r>
  </si>
  <si>
    <r>
      <rPr>
        <rFont val="Noto Sans CJK SC"/>
        <color rgb="FF595959"/>
        <sz val="9.0"/>
      </rPr>
      <t xml:space="preserve">※ 수집 완료율 </t>
    </r>
    <r>
      <rPr>
        <rFont val="맑은 고딕"/>
        <color rgb="FF595959"/>
        <sz val="9.0"/>
      </rPr>
      <t>= (</t>
    </r>
    <r>
      <rPr>
        <rFont val="Noto Sans CJK SC"/>
        <color rgb="FF595959"/>
        <sz val="9.0"/>
      </rPr>
      <t xml:space="preserve">값 있음 </t>
    </r>
    <r>
      <rPr>
        <rFont val="맑은 고딕"/>
        <color rgb="FF595959"/>
        <sz val="9.0"/>
      </rPr>
      <t xml:space="preserve">+ </t>
    </r>
    <r>
      <rPr>
        <rFont val="Noto Sans CJK SC"/>
        <color rgb="FF595959"/>
        <sz val="9.0"/>
      </rPr>
      <t xml:space="preserve">활동 없음 </t>
    </r>
    <r>
      <rPr>
        <rFont val="맑은 고딕"/>
        <color rgb="FF595959"/>
        <sz val="9.0"/>
      </rPr>
      <t xml:space="preserve">+ </t>
    </r>
    <r>
      <rPr>
        <rFont val="Noto Sans CJK SC"/>
        <color rgb="FF595959"/>
        <sz val="9.0"/>
      </rPr>
      <t>해당 없음</t>
    </r>
    <r>
      <rPr>
        <rFont val="맑은 고딕"/>
        <color rgb="FF595959"/>
        <sz val="9.0"/>
      </rPr>
      <t xml:space="preserve">) ÷ 34. </t>
    </r>
    <r>
      <rPr>
        <rFont val="Noto Sans CJK SC"/>
        <color rgb="FF595959"/>
        <sz val="9.0"/>
      </rPr>
      <t>미수집</t>
    </r>
    <r>
      <rPr>
        <rFont val="맑은 고딕"/>
        <color rgb="FF595959"/>
        <sz val="9.0"/>
      </rPr>
      <t>·</t>
    </r>
    <r>
      <rPr>
        <rFont val="Noto Sans CJK SC"/>
        <color rgb="FF595959"/>
        <sz val="9.0"/>
      </rPr>
      <t xml:space="preserve">미선택은 평가에서 제외되므로 낮을수록 </t>
    </r>
    <r>
      <rPr>
        <rFont val="맑은 고딕"/>
        <color rgb="FF595959"/>
        <sz val="9.0"/>
      </rPr>
      <t>'</t>
    </r>
    <r>
      <rPr>
        <rFont val="Noto Sans CJK SC"/>
        <color rgb="FF595959"/>
        <sz val="9.0"/>
      </rPr>
      <t>판정 보류</t>
    </r>
    <r>
      <rPr>
        <rFont val="맑은 고딕"/>
        <color rgb="FF595959"/>
        <sz val="9.0"/>
      </rPr>
      <t xml:space="preserve">' </t>
    </r>
    <r>
      <rPr>
        <rFont val="Noto Sans CJK SC"/>
        <color rgb="FF595959"/>
        <sz val="9.0"/>
      </rPr>
      <t>가능성이 큽니다</t>
    </r>
    <r>
      <rPr>
        <rFont val="맑은 고딕"/>
        <color rgb="FF595959"/>
        <sz val="9.0"/>
      </rPr>
      <t>.</t>
    </r>
  </si>
  <si>
    <r>
      <rPr>
        <rFont val="Noto Sans CJK SC"/>
        <b/>
        <color rgb="FF000000"/>
        <sz val="9.0"/>
      </rPr>
      <t>등급</t>
    </r>
    <r>
      <rPr>
        <rFont val="맑은 고딕"/>
        <b/>
        <color rgb="FF000000"/>
        <sz val="9.0"/>
      </rPr>
      <t>·</t>
    </r>
    <r>
      <rPr>
        <rFont val="Noto Sans CJK SC"/>
        <b/>
        <color rgb="FF000000"/>
        <sz val="9.0"/>
      </rPr>
      <t>급수</t>
    </r>
  </si>
  <si>
    <t>SQLD</t>
  </si>
  <si>
    <t>한국데이터산업진흥원</t>
  </si>
  <si>
    <t>2025-09-19</t>
  </si>
  <si>
    <t>ADsP</t>
  </si>
  <si>
    <t>2024-11-30</t>
  </si>
  <si>
    <t>컴퓨터활용능력</t>
  </si>
  <si>
    <r>
      <rPr>
        <rFont val="맑은 고딕"/>
        <color rgb="FF1F3B8A"/>
        <sz val="10.0"/>
      </rPr>
      <t>1</t>
    </r>
    <r>
      <rPr>
        <rFont val="Noto Sans CJK SC"/>
        <color rgb="FF1F3B8A"/>
        <sz val="10.0"/>
      </rPr>
      <t>급</t>
    </r>
  </si>
  <si>
    <t>대한상공회의소</t>
  </si>
  <si>
    <t>2023-12-01</t>
  </si>
  <si>
    <r>
      <rPr>
        <rFont val="Noto Sans CJK SC"/>
        <b/>
        <color rgb="FF000000"/>
        <sz val="11.0"/>
      </rPr>
      <t>전문직</t>
    </r>
    <r>
      <rPr>
        <rFont val="맑은 고딕"/>
        <b/>
        <color rgb="FF000000"/>
        <sz val="11.0"/>
      </rPr>
      <t>·</t>
    </r>
    <r>
      <rPr>
        <rFont val="Noto Sans CJK SC"/>
        <b/>
        <color rgb="FF000000"/>
        <sz val="11.0"/>
      </rPr>
      <t>공직 시험</t>
    </r>
  </si>
  <si>
    <r>
      <rPr>
        <rFont val="Noto Sans CJK SC"/>
        <i/>
        <color rgb="FF7F7F7F"/>
        <sz val="8.0"/>
      </rPr>
      <t>출처</t>
    </r>
    <r>
      <rPr>
        <rFont val="맑은 고딕"/>
        <i/>
        <color rgb="FF7F7F7F"/>
        <sz val="8.0"/>
      </rPr>
      <t xml:space="preserve">: </t>
    </r>
    <r>
      <rPr>
        <rFont val="Noto Sans CJK SC"/>
        <i/>
        <color rgb="FF7F7F7F"/>
        <sz val="8.0"/>
      </rPr>
      <t>학사시스템</t>
    </r>
    <r>
      <rPr>
        <rFont val="맑은 고딕"/>
        <i/>
        <color rgb="FF7F7F7F"/>
        <sz val="8.0"/>
      </rPr>
      <t>(</t>
    </r>
    <r>
      <rPr>
        <rFont val="Noto Sans CJK SC"/>
        <i/>
        <color rgb="FF7F7F7F"/>
        <sz val="8.0"/>
      </rPr>
      <t>수강내역</t>
    </r>
    <r>
      <rPr>
        <rFont val="맑은 고딕"/>
        <i/>
        <color rgb="FF7F7F7F"/>
        <sz val="8.0"/>
      </rPr>
      <t xml:space="preserve">)   |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글로벌</t>
    </r>
    <r>
      <rPr>
        <rFont val="맑은 고딕"/>
        <i/>
        <color rgb="FF7F7F7F"/>
        <sz val="8.0"/>
      </rPr>
      <t>(</t>
    </r>
    <r>
      <rPr>
        <rFont val="Noto Sans CJK SC"/>
        <i/>
        <color rgb="FF7F7F7F"/>
        <sz val="8.0"/>
      </rPr>
      <t>외국어 능력</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마인드맵</t>
    </r>
    <r>
      <rPr>
        <rFont val="맑은 고딕"/>
        <i/>
        <color rgb="FF7F7F7F"/>
        <sz val="8.0"/>
      </rPr>
      <t>(</t>
    </r>
    <r>
      <rPr>
        <rFont val="Noto Sans CJK SC"/>
        <i/>
        <color rgb="FF7F7F7F"/>
        <sz val="8.0"/>
      </rPr>
      <t>기업 관심</t>
    </r>
    <r>
      <rPr>
        <rFont val="맑은 고딕"/>
        <i/>
        <color rgb="FF7F7F7F"/>
        <sz val="8.0"/>
      </rPr>
      <t>-</t>
    </r>
    <r>
      <rPr>
        <rFont val="Noto Sans CJK SC"/>
        <i/>
        <color rgb="FF7F7F7F"/>
        <sz val="8.0"/>
      </rPr>
      <t>글로벌</t>
    </r>
    <r>
      <rPr>
        <rFont val="맑은 고딕"/>
        <i/>
        <color rgb="FF7F7F7F"/>
        <sz val="8.0"/>
      </rPr>
      <t>)</t>
    </r>
    <r>
      <rPr>
        <rFont val="Noto Sans CJK SC"/>
        <i/>
        <color rgb="FF7F7F7F"/>
        <sz val="8.0"/>
      </rPr>
      <t>에 있으나 기존 데이터셋에 없음</t>
    </r>
  </si>
  <si>
    <r>
      <rPr>
        <rFont val="Noto Sans CJK SC"/>
        <color rgb="FF7F7F7F"/>
        <sz val="9.0"/>
      </rPr>
      <t xml:space="preserve">없으면 </t>
    </r>
    <r>
      <rPr>
        <rFont val="맑은 고딕"/>
        <color rgb="FF7F7F7F"/>
        <sz val="9.0"/>
      </rPr>
      <t>0</t>
    </r>
  </si>
  <si>
    <r>
      <rPr>
        <rFont val="Noto Sans CJK SC"/>
        <color rgb="FF7F7F7F"/>
        <sz val="9.0"/>
      </rPr>
      <t>예</t>
    </r>
    <r>
      <rPr>
        <rFont val="맑은 고딕"/>
        <color rgb="FF7F7F7F"/>
        <sz val="9.0"/>
      </rPr>
      <t xml:space="preserve">: </t>
    </r>
    <r>
      <rPr>
        <rFont val="Noto Sans CJK SC"/>
        <color rgb="FF7F7F7F"/>
        <sz val="9.0"/>
      </rPr>
      <t>영어</t>
    </r>
  </si>
  <si>
    <r>
      <rPr>
        <rFont val="Noto Sans CJK SC"/>
        <b/>
        <color rgb="FFFFFFFF"/>
        <sz val="11.0"/>
      </rPr>
      <t>■ 디지털</t>
    </r>
    <r>
      <rPr>
        <rFont val="맑은 고딕"/>
        <b/>
        <color rgb="FFFFFFFF"/>
        <sz val="11.0"/>
      </rPr>
      <t>·AI</t>
    </r>
  </si>
  <si>
    <r>
      <rPr>
        <rFont val="Noto Sans CJK SC"/>
        <i/>
        <color rgb="FF7F7F7F"/>
        <sz val="8.0"/>
      </rPr>
      <t>출처</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t>
    </r>
    <r>
      <rPr>
        <rFont val="Noto Sans CJK SC"/>
        <i/>
        <color rgb="FF7F7F7F"/>
        <sz val="8.0"/>
      </rPr>
      <t>진로개발</t>
    </r>
    <r>
      <rPr>
        <rFont val="맑은 고딕"/>
        <i/>
        <color rgb="FF7F7F7F"/>
        <sz val="8.0"/>
      </rPr>
      <t xml:space="preserve">) </t>
    </r>
    <r>
      <rPr>
        <rFont val="Noto Sans CJK SC"/>
        <i/>
        <color rgb="FF7F7F7F"/>
        <sz val="8.0"/>
      </rPr>
      <t xml:space="preserve">인증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 xml:space="preserve">도전정신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단계</t>
    </r>
    <r>
      <rPr>
        <rFont val="맑은 고딕"/>
        <i/>
        <color rgb="FF7F7F7F"/>
        <sz val="8.0"/>
      </rPr>
      <t>(1</t>
    </r>
    <r>
      <rPr>
        <rFont val="Noto Sans CJK SC"/>
        <i/>
        <color rgb="FF7F7F7F"/>
        <sz val="8.0"/>
      </rPr>
      <t>차</t>
    </r>
    <r>
      <rPr>
        <rFont val="맑은 고딕"/>
        <i/>
        <color rgb="FF7F7F7F"/>
        <sz val="8.0"/>
      </rPr>
      <t>·</t>
    </r>
    <r>
      <rPr>
        <rFont val="Noto Sans CJK SC"/>
        <i/>
        <color rgb="FF7F7F7F"/>
        <sz val="8.0"/>
      </rPr>
      <t>최종</t>
    </r>
    <r>
      <rPr>
        <rFont val="맑은 고딕"/>
        <i/>
        <color rgb="FF7F7F7F"/>
        <sz val="8.0"/>
      </rPr>
      <t xml:space="preserve">) </t>
    </r>
    <r>
      <rPr>
        <rFont val="Noto Sans CJK SC"/>
        <i/>
        <color rgb="FF7F7F7F"/>
        <sz val="8.0"/>
      </rPr>
      <t>구분</t>
    </r>
  </si>
  <si>
    <r>
      <rPr>
        <rFont val="맑은 고딕"/>
        <b/>
        <color rgb="FF000000"/>
        <sz val="11.0"/>
      </rPr>
      <t>AI</t>
    </r>
    <r>
      <rPr>
        <rFont val="Noto Sans CJK SC"/>
        <b/>
        <color rgb="FF000000"/>
        <sz val="11.0"/>
      </rPr>
      <t>교육 이수내역</t>
    </r>
  </si>
  <si>
    <r>
      <rPr>
        <rFont val="맑은 고딕"/>
        <i/>
        <color rgb="FF7F7F7F"/>
        <sz val="8.0"/>
      </rPr>
      <t>[</t>
    </r>
    <r>
      <rPr>
        <rFont val="Noto Sans CJK SC"/>
        <i/>
        <color rgb="FF7F7F7F"/>
        <sz val="8.0"/>
      </rPr>
      <t xml:space="preserve">응시 </t>
    </r>
    <r>
      <rPr>
        <rFont val="맑은 고딕"/>
        <i/>
        <color rgb="FF7F7F7F"/>
        <sz val="8.0"/>
      </rPr>
      <t>/ 1</t>
    </r>
    <r>
      <rPr>
        <rFont val="Noto Sans CJK SC"/>
        <i/>
        <color rgb="FF7F7F7F"/>
        <sz val="8.0"/>
      </rPr>
      <t xml:space="preserve">차 합격 </t>
    </r>
    <r>
      <rPr>
        <rFont val="맑은 고딕"/>
        <i/>
        <color rgb="FF7F7F7F"/>
        <sz val="8.0"/>
      </rPr>
      <t>/ 2</t>
    </r>
    <r>
      <rPr>
        <rFont val="Noto Sans CJK SC"/>
        <i/>
        <color rgb="FF7F7F7F"/>
        <sz val="8.0"/>
      </rPr>
      <t xml:space="preserve">차 합격 </t>
    </r>
    <r>
      <rPr>
        <rFont val="맑은 고딕"/>
        <i/>
        <color rgb="FF7F7F7F"/>
        <sz val="8.0"/>
      </rPr>
      <t xml:space="preserve">/ </t>
    </r>
    <r>
      <rPr>
        <rFont val="Noto Sans CJK SC"/>
        <i/>
        <color rgb="FF7F7F7F"/>
        <sz val="8.0"/>
      </rPr>
      <t>최종 합격</t>
    </r>
    <r>
      <rPr>
        <rFont val="맑은 고딕"/>
        <i/>
        <color rgb="FF7F7F7F"/>
        <sz val="8.0"/>
      </rPr>
      <t>]</t>
    </r>
  </si>
  <si>
    <t>물류관리사</t>
  </si>
  <si>
    <t>최종 합격</t>
  </si>
  <si>
    <t>2026</t>
  </si>
  <si>
    <r>
      <rPr>
        <rFont val="Noto Sans CJK SC"/>
        <i/>
        <color rgb="FF7F7F7F"/>
        <sz val="8.0"/>
      </rPr>
      <t>출처</t>
    </r>
    <r>
      <rPr>
        <rFont val="맑은 고딕"/>
        <i/>
        <color rgb="FF7F7F7F"/>
        <sz val="8.0"/>
      </rPr>
      <t xml:space="preserve">: </t>
    </r>
    <r>
      <rPr>
        <rFont val="Noto Sans CJK SC"/>
        <i/>
        <color rgb="FF7F7F7F"/>
        <sz val="8.0"/>
      </rPr>
      <t xml:space="preserve">비교과 시스템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자기관리 </t>
    </r>
    <r>
      <rPr>
        <rFont val="맑은 고딕"/>
        <i/>
        <color rgb="FF7F7F7F"/>
        <sz val="8.0"/>
      </rPr>
      <t xml:space="preserve">/ </t>
    </r>
    <r>
      <rPr>
        <rFont val="Noto Sans CJK SC"/>
        <i/>
        <color rgb="FF7F7F7F"/>
        <sz val="8.0"/>
      </rPr>
      <t>종합적사고력</t>
    </r>
    <r>
      <rPr>
        <rFont val="맑은 고딕"/>
        <i/>
        <color rgb="FF7F7F7F"/>
        <sz val="8.0"/>
      </rPr>
      <t>(</t>
    </r>
    <r>
      <rPr>
        <rFont val="Noto Sans CJK SC"/>
        <i/>
        <color rgb="FF7F7F7F"/>
        <sz val="8.0"/>
      </rPr>
      <t>융합적 사고</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학년 보정 필요</t>
    </r>
  </si>
  <si>
    <r>
      <rPr>
        <rFont val="맑은 고딕"/>
        <b/>
        <color rgb="FF000000"/>
        <sz val="11.0"/>
      </rPr>
      <t>3</t>
    </r>
    <r>
      <rPr>
        <rFont val="Noto Sans CJK SC"/>
        <b/>
        <color rgb="FF000000"/>
        <sz val="11.0"/>
      </rPr>
      <t>품인증 취득현황</t>
    </r>
  </si>
  <si>
    <r>
      <rPr>
        <rFont val="Noto Sans CJK SC"/>
        <b/>
        <color rgb="FF000000"/>
        <sz val="10.0"/>
      </rPr>
      <t>누적 이수시간</t>
    </r>
    <r>
      <rPr>
        <rFont val="맑은 고딕"/>
        <b/>
        <color rgb="FF000000"/>
        <sz val="10.0"/>
      </rPr>
      <t>(h)</t>
    </r>
  </si>
  <si>
    <r>
      <rPr>
        <rFont val="Noto Sans CJK SC"/>
        <b/>
        <color rgb="FF000000"/>
        <sz val="10.0"/>
      </rPr>
      <t>기준 시간</t>
    </r>
    <r>
      <rPr>
        <rFont val="맑은 고딕"/>
        <b/>
        <color rgb="FF000000"/>
        <sz val="10.0"/>
      </rPr>
      <t>(h)</t>
    </r>
  </si>
  <si>
    <r>
      <rPr>
        <rFont val="Noto Sans CJK SC"/>
        <color rgb="FF7F7F7F"/>
        <sz val="9.0"/>
      </rPr>
      <t>예</t>
    </r>
    <r>
      <rPr>
        <rFont val="맑은 고딕"/>
        <color rgb="FF7F7F7F"/>
        <sz val="9.0"/>
      </rPr>
      <t>: 90</t>
    </r>
  </si>
  <si>
    <t>집계 기준일</t>
  </si>
  <si>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xml:space="preserve">· </t>
    </r>
    <r>
      <rPr>
        <rFont val="Noto Sans CJK SC"/>
        <i/>
        <color rgb="FF7F7F7F"/>
        <sz val="8.0"/>
      </rPr>
      <t xml:space="preserve">비교과 </t>
    </r>
    <r>
      <rPr>
        <rFont val="맑은 고딕"/>
        <i/>
        <color rgb="FF7F7F7F"/>
        <sz val="8.0"/>
      </rPr>
      <t>· 3</t>
    </r>
    <r>
      <rPr>
        <rFont val="Noto Sans CJK SC"/>
        <i/>
        <color rgb="FF7F7F7F"/>
        <sz val="8.0"/>
      </rPr>
      <t>품</t>
    </r>
    <r>
      <rPr>
        <rFont val="맑은 고딕"/>
        <i/>
        <color rgb="FF7F7F7F"/>
        <sz val="8.0"/>
      </rPr>
      <t xml:space="preserve">(AI)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자원</t>
    </r>
    <r>
      <rPr>
        <rFont val="맑은 고딕"/>
        <i/>
        <color rgb="FF7F7F7F"/>
        <sz val="8.0"/>
      </rPr>
      <t>·</t>
    </r>
    <r>
      <rPr>
        <rFont val="Noto Sans CJK SC"/>
        <i/>
        <color rgb="FF7F7F7F"/>
        <sz val="8.0"/>
      </rPr>
      <t xml:space="preserve">정보기술활용 </t>
    </r>
    <r>
      <rPr>
        <rFont val="맑은 고딕"/>
        <i/>
        <color rgb="FF7F7F7F"/>
        <sz val="8.0"/>
      </rPr>
      <t xml:space="preserve">/ </t>
    </r>
    <r>
      <rPr>
        <rFont val="Noto Sans CJK SC"/>
        <i/>
        <color rgb="FF7F7F7F"/>
        <sz val="8.0"/>
      </rPr>
      <t xml:space="preserve">디지털리터러시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이수 </t>
    </r>
    <r>
      <rPr>
        <rFont val="맑은 고딕"/>
        <i/>
        <color rgb="FF7F7F7F"/>
        <sz val="8.0"/>
      </rPr>
      <t>'</t>
    </r>
    <r>
      <rPr>
        <rFont val="Noto Sans CJK SC"/>
        <i/>
        <color rgb="FF7F7F7F"/>
        <sz val="8.0"/>
      </rPr>
      <t>시간</t>
    </r>
    <r>
      <rPr>
        <rFont val="맑은 고딕"/>
        <i/>
        <color rgb="FF7F7F7F"/>
        <sz val="8.0"/>
      </rPr>
      <t>'</t>
    </r>
    <r>
      <rPr>
        <rFont val="Noto Sans CJK SC"/>
        <i/>
        <color rgb="FF7F7F7F"/>
        <sz val="8.0"/>
      </rPr>
      <t>까지 받으면 정량화 쉬워짐</t>
    </r>
  </si>
  <si>
    <r>
      <rPr>
        <rFont val="Noto Sans CJK SC"/>
        <b/>
        <color rgb="FFFFFFFF"/>
        <sz val="11.0"/>
      </rPr>
      <t>■ 진단</t>
    </r>
    <r>
      <rPr>
        <rFont val="맑은 고딕"/>
        <b/>
        <color rgb="FFFFFFFF"/>
        <sz val="11.0"/>
      </rPr>
      <t>·</t>
    </r>
    <r>
      <rPr>
        <rFont val="Noto Sans CJK SC"/>
        <b/>
        <color rgb="FFFFFFFF"/>
        <sz val="11.0"/>
      </rPr>
      <t>자기평가</t>
    </r>
  </si>
  <si>
    <r>
      <rPr>
        <rFont val="Noto Sans CJK SC"/>
        <i/>
        <color rgb="FF7F7F7F"/>
        <sz val="8.0"/>
      </rPr>
      <t>출처</t>
    </r>
    <r>
      <rPr>
        <rFont val="맑은 고딕"/>
        <i/>
        <color rgb="FF7F7F7F"/>
        <sz val="8.0"/>
      </rPr>
      <t>: 3</t>
    </r>
    <r>
      <rPr>
        <rFont val="Noto Sans CJK SC"/>
        <i/>
        <color rgb="FF7F7F7F"/>
        <sz val="8.0"/>
      </rPr>
      <t xml:space="preserve">품인증 시스템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t>
    </r>
    <r>
      <rPr>
        <rFont val="Noto Sans CJK SC"/>
        <i/>
        <color rgb="FF7F7F7F"/>
        <sz val="8.0"/>
      </rPr>
      <t>복수 역량 종합</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 xml:space="preserve">하위 활동과 중복 가산 위험 → 가산점이 아닌 </t>
    </r>
    <r>
      <rPr>
        <rFont val="맑은 고딕"/>
        <i/>
        <color rgb="FF7F7F7F"/>
        <sz val="8.0"/>
      </rPr>
      <t>'</t>
    </r>
    <r>
      <rPr>
        <rFont val="Noto Sans CJK SC"/>
        <i/>
        <color rgb="FF7F7F7F"/>
        <sz val="8.0"/>
      </rPr>
      <t>참고 지표</t>
    </r>
    <r>
      <rPr>
        <rFont val="맑은 고딕"/>
        <i/>
        <color rgb="FF7F7F7F"/>
        <sz val="8.0"/>
      </rPr>
      <t>'</t>
    </r>
    <r>
      <rPr>
        <rFont val="Noto Sans CJK SC"/>
        <i/>
        <color rgb="FF7F7F7F"/>
        <sz val="8.0"/>
      </rPr>
      <t>로 권장</t>
    </r>
  </si>
  <si>
    <r>
      <rPr>
        <rFont val="Noto Sans CJK SC"/>
        <b/>
        <color rgb="FF000000"/>
        <sz val="9.0"/>
      </rPr>
      <t>이수 시간</t>
    </r>
    <r>
      <rPr>
        <rFont val="맑은 고딕"/>
        <b/>
        <color rgb="FF000000"/>
        <sz val="9.0"/>
      </rPr>
      <t>(h)</t>
    </r>
  </si>
  <si>
    <t>취득</t>
  </si>
  <si>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</si>
  <si>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r>
      <rPr>
        <rFont val="맑은 고딕"/>
        <i/>
        <color rgb="FF7F7F7F"/>
        <sz val="8.0"/>
      </rPr>
      <t>[</t>
    </r>
    <r>
      <rPr>
        <rFont val="Noto Sans CJK SC"/>
        <i/>
        <color rgb="FF7F7F7F"/>
        <sz val="8.0"/>
      </rPr>
      <t xml:space="preserve">교과 </t>
    </r>
    <r>
      <rPr>
        <rFont val="맑은 고딕"/>
        <i/>
        <color rgb="FF7F7F7F"/>
        <sz val="8.0"/>
      </rPr>
      <t xml:space="preserve">/ </t>
    </r>
    <r>
      <rPr>
        <rFont val="Noto Sans CJK SC"/>
        <i/>
        <color rgb="FF7F7F7F"/>
        <sz val="8.0"/>
      </rPr>
      <t xml:space="preserve">비교과 </t>
    </r>
    <r>
      <rPr>
        <rFont val="맑은 고딕"/>
        <i/>
        <color rgb="FF7F7F7F"/>
        <sz val="8.0"/>
      </rPr>
      <t>/ 3</t>
    </r>
    <r>
      <rPr>
        <rFont val="Noto Sans CJK SC"/>
        <i/>
        <color rgb="FF7F7F7F"/>
        <sz val="8.0"/>
      </rPr>
      <t>품</t>
    </r>
    <r>
      <rPr>
        <rFont val="맑은 고딕"/>
        <i/>
        <color rgb="FF7F7F7F"/>
        <sz val="8.0"/>
      </rPr>
      <t>(AI)]</t>
    </r>
  </si>
  <si>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</si>
  <si>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r>
      <rPr>
        <rFont val="맑은 고딕"/>
        <i/>
        <color rgb="FF7F7F7F"/>
        <sz val="8.0"/>
      </rPr>
      <t>[</t>
    </r>
    <r>
      <rPr>
        <rFont val="Noto Sans CJK SC"/>
        <i/>
        <color rgb="FF7F7F7F"/>
        <sz val="8.0"/>
      </rPr>
      <t xml:space="preserve">이수 </t>
    </r>
    <r>
      <rPr>
        <rFont val="맑은 고딕"/>
        <i/>
        <color rgb="FF7F7F7F"/>
        <sz val="8.0"/>
      </rPr>
      <t xml:space="preserve">/ </t>
    </r>
    <r>
      <rPr>
        <rFont val="Noto Sans CJK SC"/>
        <i/>
        <color rgb="FF7F7F7F"/>
        <sz val="8.0"/>
      </rPr>
      <t xml:space="preserve">수강중 </t>
    </r>
    <r>
      <rPr>
        <rFont val="맑은 고딕"/>
        <i/>
        <color rgb="FF7F7F7F"/>
        <sz val="8.0"/>
      </rPr>
      <t xml:space="preserve">/ </t>
    </r>
    <r>
      <rPr>
        <rFont val="Noto Sans CJK SC"/>
        <i/>
        <color rgb="FF7F7F7F"/>
        <sz val="8.0"/>
      </rPr>
      <t>미이수</t>
    </r>
    <r>
      <rPr>
        <rFont val="맑은 고딕"/>
        <i/>
        <color rgb="FF7F7F7F"/>
        <sz val="8.0"/>
      </rPr>
      <t>]</t>
    </r>
  </si>
  <si>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</si>
  <si>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t>인공지능기초</t>
  </si>
  <si>
    <r>
      <rPr>
        <rFont val="맑은 고딕"/>
        <b/>
        <color rgb="FF000000"/>
        <sz val="10.0"/>
      </rPr>
      <t xml:space="preserve">AI </t>
    </r>
    <r>
      <rPr>
        <rFont val="Noto Sans CJK SC"/>
        <b/>
        <color rgb="FF000000"/>
        <sz val="10.0"/>
      </rPr>
      <t>영역</t>
    </r>
  </si>
  <si>
    <r>
      <rPr>
        <rFont val="맑은 고딕"/>
        <b/>
        <color rgb="FF000000"/>
        <sz val="11.0"/>
      </rPr>
      <t xml:space="preserve">SSCA </t>
    </r>
    <r>
      <rPr>
        <rFont val="Noto Sans CJK SC"/>
        <b/>
        <color rgb="FF000000"/>
        <sz val="11.0"/>
      </rPr>
      <t>학생성공역량진단</t>
    </r>
  </si>
  <si>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</si>
  <si>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r>
      <rPr>
        <rFont val="맑은 고딕"/>
        <color rgb="FF1F3B8A"/>
        <sz val="10.0"/>
      </rPr>
      <t>3</t>
    </r>
    <r>
      <rPr>
        <rFont val="Noto Sans CJK SC"/>
        <color rgb="FF1F3B8A"/>
        <sz val="10.0"/>
      </rPr>
      <t>품</t>
    </r>
    <r>
      <rPr>
        <rFont val="맑은 고딕"/>
        <color rgb="FF1F3B8A"/>
        <sz val="10.0"/>
      </rPr>
      <t>(AI)</t>
    </r>
  </si>
  <si>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</si>
  <si>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r>
      <rPr>
        <rFont val="Noto Sans CJK SC"/>
        <color rgb="FF1F3B8A"/>
        <sz val="10.0"/>
      </rPr>
      <t xml:space="preserve">생성형 </t>
    </r>
    <r>
      <rPr>
        <rFont val="맑은 고딕"/>
        <color rgb="FF1F3B8A"/>
        <sz val="10.0"/>
      </rPr>
      <t xml:space="preserve">AI </t>
    </r>
    <r>
      <rPr>
        <rFont val="Noto Sans CJK SC"/>
        <color rgb="FF1F3B8A"/>
        <sz val="10.0"/>
      </rPr>
      <t>활용 코딩</t>
    </r>
  </si>
  <si>
    <t>2026-01</t>
  </si>
  <si>
    <r>
      <rPr>
        <rFont val="맑은 고딕"/>
        <b/>
        <color rgb="FF000000"/>
        <sz val="11.0"/>
      </rPr>
      <t xml:space="preserve">AI </t>
    </r>
    <r>
      <rPr>
        <rFont val="Noto Sans CJK SC"/>
        <b/>
        <color rgb="FF000000"/>
        <sz val="11.0"/>
      </rPr>
      <t>프로젝트</t>
    </r>
    <r>
      <rPr>
        <rFont val="맑은 고딕"/>
        <b/>
        <color rgb="FF000000"/>
        <sz val="11.0"/>
      </rPr>
      <t>·</t>
    </r>
    <r>
      <rPr>
        <rFont val="Noto Sans CJK SC"/>
        <b/>
        <color rgb="FF000000"/>
        <sz val="11.0"/>
      </rPr>
      <t>대회</t>
    </r>
  </si>
  <si>
    <r>
      <rPr>
        <rFont val="Noto Sans CJK SC"/>
        <i/>
        <color rgb="FF7F7F7F"/>
        <sz val="8.0"/>
      </rPr>
      <t>출처</t>
    </r>
    <r>
      <rPr>
        <rFont val="맑은 고딕"/>
        <i/>
        <color rgb="FF7F7F7F"/>
        <sz val="8.0"/>
      </rPr>
      <t xml:space="preserve">: </t>
    </r>
    <r>
      <rPr>
        <rFont val="Noto Sans CJK SC"/>
        <i/>
        <color rgb="FF7F7F7F"/>
        <sz val="8.0"/>
      </rPr>
      <t xml:space="preserve">학생성공 게이트웨이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전 역량</t>
    </r>
    <r>
      <rPr>
        <rFont val="맑은 고딕"/>
        <i/>
        <color rgb="FF7F7F7F"/>
        <sz val="8.0"/>
      </rPr>
      <t>(</t>
    </r>
    <r>
      <rPr>
        <rFont val="Noto Sans CJK SC"/>
        <i/>
        <color rgb="FF7F7F7F"/>
        <sz val="8.0"/>
      </rPr>
      <t>자기인식</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 xml:space="preserve">객관 점수에 합산하지 말고 </t>
    </r>
    <r>
      <rPr>
        <rFont val="맑은 고딕"/>
        <i/>
        <color rgb="FF7F7F7F"/>
        <sz val="8.0"/>
      </rPr>
      <t>'</t>
    </r>
    <r>
      <rPr>
        <rFont val="Noto Sans CJK SC"/>
        <i/>
        <color rgb="FF7F7F7F"/>
        <sz val="8.0"/>
      </rPr>
      <t xml:space="preserve">자기평가 </t>
    </r>
    <r>
      <rPr>
        <rFont val="맑은 고딕"/>
        <i/>
        <color rgb="FF7F7F7F"/>
        <sz val="8.0"/>
      </rPr>
      <t xml:space="preserve">vs </t>
    </r>
    <r>
      <rPr>
        <rFont val="Noto Sans CJK SC"/>
        <i/>
        <color rgb="FF7F7F7F"/>
        <sz val="8.0"/>
      </rPr>
      <t>데이터 평가</t>
    </r>
    <r>
      <rPr>
        <rFont val="맑은 고딕"/>
        <i/>
        <color rgb="FF7F7F7F"/>
        <sz val="8.0"/>
      </rPr>
      <t xml:space="preserve">' </t>
    </r>
    <r>
      <rPr>
        <rFont val="Noto Sans CJK SC"/>
        <i/>
        <color rgb="FF7F7F7F"/>
        <sz val="8.0"/>
      </rPr>
      <t>비교용으로 별도 표시</t>
    </r>
  </si>
  <si>
    <t>진단일</t>
  </si>
  <si>
    <t>진단 역량명</t>
  </si>
  <si>
    <t>자기진단 점수</t>
  </si>
  <si>
    <t>결과지 표기 그대로</t>
  </si>
  <si>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3</t>
    </r>
    <r>
      <rPr>
        <rFont val="Noto Sans CJK SC"/>
        <i/>
        <color rgb="FF7F7F7F"/>
        <sz val="8.0"/>
      </rPr>
      <t>품</t>
    </r>
    <r>
      <rPr>
        <rFont val="맑은 고딕"/>
        <i/>
        <color rgb="FF7F7F7F"/>
        <sz val="8.0"/>
      </rPr>
      <t xml:space="preserve">(AI)   |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디지털리터러시</t>
    </r>
    <r>
      <rPr>
        <rFont val="맑은 고딕"/>
        <i/>
        <color rgb="FF7F7F7F"/>
        <sz val="8.0"/>
      </rPr>
      <t xml:space="preserve">(AI </t>
    </r>
    <r>
      <rPr>
        <rFont val="Noto Sans CJK SC"/>
        <i/>
        <color rgb="FF7F7F7F"/>
        <sz val="8.0"/>
      </rPr>
      <t>활용</t>
    </r>
    <r>
      <rPr>
        <rFont val="맑은 고딕"/>
        <i/>
        <color rgb="FF7F7F7F"/>
        <sz val="8.0"/>
      </rPr>
      <t xml:space="preserve">) / </t>
    </r>
    <r>
      <rPr>
        <rFont val="Noto Sans CJK SC"/>
        <i/>
        <color rgb="FF7F7F7F"/>
        <sz val="8.0"/>
      </rPr>
      <t xml:space="preserve">문제해결력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공모전 항목과 중복 가산되지 않게 분리</t>
    </r>
  </si>
  <si>
    <r>
      <rPr>
        <rFont val="Noto Sans CJK SC"/>
        <b/>
        <color rgb="FF000000"/>
        <sz val="9.0"/>
      </rPr>
      <t>결과</t>
    </r>
    <r>
      <rPr>
        <rFont val="맑은 고딕"/>
        <b/>
        <color rgb="FF000000"/>
        <sz val="9.0"/>
      </rPr>
      <t>·</t>
    </r>
    <r>
      <rPr>
        <rFont val="Noto Sans CJK SC"/>
        <b/>
        <color rgb="FF000000"/>
        <sz val="9.0"/>
      </rPr>
      <t>산출물</t>
    </r>
  </si>
  <si>
    <r>
      <rPr>
        <rFont val="Noto Sans CJK SC"/>
        <i/>
        <color rgb="FF7F7F7F"/>
        <sz val="8.0"/>
      </rPr>
      <t>출처</t>
    </r>
    <r>
      <rPr>
        <rFont val="맑은 고딕"/>
        <i/>
        <color rgb="FF7F7F7F"/>
        <sz val="8.0"/>
      </rPr>
      <t xml:space="preserve">: </t>
    </r>
    <r>
      <rPr>
        <rFont val="Noto Sans CJK SC"/>
        <i/>
        <color rgb="FF7F7F7F"/>
        <sz val="8.0"/>
      </rPr>
      <t xml:space="preserve">비교과 시스템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자기관리 </t>
    </r>
    <r>
      <rPr>
        <rFont val="맑은 고딕"/>
        <i/>
        <color rgb="FF7F7F7F"/>
        <sz val="8.0"/>
      </rPr>
      <t xml:space="preserve">/ </t>
    </r>
    <r>
      <rPr>
        <rFont val="Noto Sans CJK SC"/>
        <i/>
        <color rgb="FF7F7F7F"/>
        <sz val="8.0"/>
      </rPr>
      <t>종합적사고력</t>
    </r>
    <r>
      <rPr>
        <rFont val="맑은 고딕"/>
        <i/>
        <color rgb="FF7F7F7F"/>
        <sz val="8.0"/>
      </rPr>
      <t>(</t>
    </r>
    <r>
      <rPr>
        <rFont val="Noto Sans CJK SC"/>
        <i/>
        <color rgb="FF7F7F7F"/>
        <sz val="8.0"/>
      </rPr>
      <t>융합적 사고</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학년 보정 필요</t>
    </r>
  </si>
  <si>
    <r>
      <rPr>
        <rFont val="맑은 고딕"/>
        <i/>
        <color rgb="FF7F7F7F"/>
        <sz val="8.0"/>
      </rPr>
      <t>[AI</t>
    </r>
    <r>
      <rPr>
        <rFont val="Noto Sans CJK SC"/>
        <i/>
        <color rgb="FF7F7F7F"/>
        <sz val="8.0"/>
      </rPr>
      <t xml:space="preserve">캡스톤 </t>
    </r>
    <r>
      <rPr>
        <rFont val="맑은 고딕"/>
        <i/>
        <color rgb="FF7F7F7F"/>
        <sz val="8.0"/>
      </rPr>
      <t>/ AI</t>
    </r>
    <r>
      <rPr>
        <rFont val="Noto Sans CJK SC"/>
        <i/>
        <color rgb="FF7F7F7F"/>
        <sz val="8.0"/>
      </rPr>
      <t xml:space="preserve">대회 </t>
    </r>
    <r>
      <rPr>
        <rFont val="맑은 고딕"/>
        <i/>
        <color rgb="FF7F7F7F"/>
        <sz val="8.0"/>
      </rPr>
      <t>/ AI</t>
    </r>
    <r>
      <rPr>
        <rFont val="Noto Sans CJK SC"/>
        <i/>
        <color rgb="FF7F7F7F"/>
        <sz val="8.0"/>
      </rPr>
      <t xml:space="preserve">공모전 </t>
    </r>
    <r>
      <rPr>
        <rFont val="맑은 고딕"/>
        <i/>
        <color rgb="FF7F7F7F"/>
        <sz val="8.0"/>
      </rPr>
      <t>/ AI</t>
    </r>
    <r>
      <rPr>
        <rFont val="Noto Sans CJK SC"/>
        <i/>
        <color rgb="FF7F7F7F"/>
        <sz val="8.0"/>
      </rPr>
      <t>프로젝트</t>
    </r>
    <r>
      <rPr>
        <rFont val="맑은 고딕"/>
        <i/>
        <color rgb="FF7F7F7F"/>
        <sz val="8.0"/>
      </rPr>
      <t>]</t>
    </r>
  </si>
  <si>
    <r>
      <rPr>
        <rFont val="Noto Sans CJK SC"/>
        <b/>
        <color rgb="FF000000"/>
        <sz val="10.0"/>
      </rPr>
      <t>누적 이수시간</t>
    </r>
    <r>
      <rPr>
        <rFont val="맑은 고딕"/>
        <b/>
        <color rgb="FF000000"/>
        <sz val="10.0"/>
      </rPr>
      <t>(h)</t>
    </r>
  </si>
  <si>
    <r>
      <rPr>
        <rFont val="맑은 고딕"/>
        <i/>
        <color rgb="FF7F7F7F"/>
        <sz val="8.0"/>
      </rPr>
      <t>[</t>
    </r>
    <r>
      <rPr>
        <rFont val="Noto Sans CJK SC"/>
        <i/>
        <color rgb="FF7F7F7F"/>
        <sz val="8.0"/>
      </rPr>
      <t xml:space="preserve">교내 </t>
    </r>
    <r>
      <rPr>
        <rFont val="맑은 고딕"/>
        <i/>
        <color rgb="FF7F7F7F"/>
        <sz val="8.0"/>
      </rPr>
      <t xml:space="preserve">/ </t>
    </r>
    <r>
      <rPr>
        <rFont val="Noto Sans CJK SC"/>
        <i/>
        <color rgb="FF7F7F7F"/>
        <sz val="8.0"/>
      </rPr>
      <t xml:space="preserve">지역 </t>
    </r>
    <r>
      <rPr>
        <rFont val="맑은 고딕"/>
        <i/>
        <color rgb="FF7F7F7F"/>
        <sz val="8.0"/>
      </rPr>
      <t xml:space="preserve">/ </t>
    </r>
    <r>
      <rPr>
        <rFont val="Noto Sans CJK SC"/>
        <i/>
        <color rgb="FF7F7F7F"/>
        <sz val="8.0"/>
      </rPr>
      <t xml:space="preserve">전국 </t>
    </r>
    <r>
      <rPr>
        <rFont val="맑은 고딕"/>
        <i/>
        <color rgb="FF7F7F7F"/>
        <sz val="8.0"/>
      </rPr>
      <t xml:space="preserve">/ </t>
    </r>
    <r>
      <rPr>
        <rFont val="Noto Sans CJK SC"/>
        <i/>
        <color rgb="FF7F7F7F"/>
        <sz val="8.0"/>
      </rPr>
      <t>국제</t>
    </r>
    <r>
      <rPr>
        <rFont val="맑은 고딕"/>
        <i/>
        <color rgb="FF7F7F7F"/>
        <sz val="8.0"/>
      </rPr>
      <t>]</t>
    </r>
  </si>
  <si>
    <r>
      <rPr>
        <rFont val="Noto Sans CJK SC"/>
        <b/>
        <color rgb="FF000000"/>
        <sz val="10.0"/>
      </rPr>
      <t>기준 시간</t>
    </r>
    <r>
      <rPr>
        <rFont val="맑은 고딕"/>
        <b/>
        <color rgb="FF000000"/>
        <sz val="10.0"/>
      </rPr>
      <t>(h)</t>
    </r>
  </si>
  <si>
    <r>
      <rPr>
        <rFont val="맑은 고딕"/>
        <color rgb="FF1F3B8A"/>
        <sz val="10.0"/>
      </rPr>
      <t>AI</t>
    </r>
    <r>
      <rPr>
        <rFont val="Noto Sans CJK SC"/>
        <color rgb="FF1F3B8A"/>
        <sz val="10.0"/>
      </rPr>
      <t>프로젝트</t>
    </r>
  </si>
  <si>
    <t>강화학습 기반 로봇 보행 제어</t>
  </si>
  <si>
    <r>
      <rPr>
        <rFont val="Noto Sans CJK SC"/>
        <color rgb="FF7F7F7F"/>
        <sz val="9.0"/>
      </rPr>
      <t>예</t>
    </r>
    <r>
      <rPr>
        <rFont val="맑은 고딕"/>
        <color rgb="FF7F7F7F"/>
        <sz val="9.0"/>
      </rPr>
      <t>: 90</t>
    </r>
  </si>
  <si>
    <r>
      <rPr>
        <rFont val="맑은 고딕"/>
        <color rgb="FF1F3B8A"/>
        <sz val="10.0"/>
      </rPr>
      <t xml:space="preserve">SW </t>
    </r>
    <r>
      <rPr>
        <rFont val="Noto Sans CJK SC"/>
        <color rgb="FF1F3B8A"/>
        <sz val="10.0"/>
      </rPr>
      <t>담당</t>
    </r>
  </si>
  <si>
    <t>시뮬레이션 결과 보고서</t>
  </si>
  <si>
    <r>
      <rPr>
        <rFont val="Noto Sans CJK SC"/>
        <i/>
        <color rgb="FF7F7F7F"/>
        <sz val="8.0"/>
      </rPr>
      <t>출처</t>
    </r>
    <r>
      <rPr>
        <rFont val="맑은 고딕"/>
        <i/>
        <color rgb="FF7F7F7F"/>
        <sz val="8.0"/>
      </rPr>
      <t xml:space="preserve">: </t>
    </r>
    <r>
      <rPr>
        <rFont val="Noto Sans CJK SC"/>
        <i/>
        <color rgb="FF7F7F7F"/>
        <sz val="8.0"/>
      </rPr>
      <t xml:space="preserve">학생성공 게이트웨이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자기관리 </t>
    </r>
    <r>
      <rPr>
        <rFont val="맑은 고딕"/>
        <i/>
        <color rgb="FF7F7F7F"/>
        <sz val="8.0"/>
      </rPr>
      <t xml:space="preserve">/ </t>
    </r>
    <r>
      <rPr>
        <rFont val="Noto Sans CJK SC"/>
        <i/>
        <color rgb="FF7F7F7F"/>
        <sz val="8.0"/>
      </rPr>
      <t xml:space="preserve">학업성취   </t>
    </r>
    <r>
      <rPr>
        <rFont val="맑은 고딕"/>
        <i/>
        <color rgb="FF7F7F7F"/>
        <sz val="8.0"/>
      </rPr>
      <t xml:space="preserve">|   </t>
    </r>
    <r>
      <rPr>
        <rFont val="Noto Sans CJK SC"/>
        <i/>
        <color rgb="FF7F7F7F"/>
        <sz val="8.0"/>
      </rPr>
      <t>비고</t>
    </r>
    <r>
      <rPr>
        <rFont val="맑은 고딕"/>
        <i/>
        <color rgb="FF7F7F7F"/>
        <sz val="8.0"/>
      </rPr>
      <t>: SSCA</t>
    </r>
    <r>
      <rPr>
        <rFont val="Noto Sans CJK SC"/>
        <i/>
        <color rgb="FF7F7F7F"/>
        <sz val="8.0"/>
      </rPr>
      <t>와 동일하게 비교용 권장</t>
    </r>
  </si>
  <si>
    <t>2026-09-30</t>
  </si>
  <si>
    <r>
      <rPr>
        <rFont val="Noto Sans CJK SC"/>
        <b/>
        <color rgb="FFFFFFFF"/>
        <sz val="11.0"/>
      </rPr>
      <t>■ 진단</t>
    </r>
    <r>
      <rPr>
        <rFont val="맑은 고딕"/>
        <b/>
        <color rgb="FFFFFFFF"/>
        <sz val="11.0"/>
      </rPr>
      <t>·</t>
    </r>
    <r>
      <rPr>
        <rFont val="Noto Sans CJK SC"/>
        <b/>
        <color rgb="FFFFFFFF"/>
        <sz val="11.0"/>
      </rPr>
      <t>자기평가</t>
    </r>
  </si>
  <si>
    <t>종합 점수</t>
  </si>
  <si>
    <r>
      <rPr>
        <rFont val="맑은 고딕"/>
        <b/>
        <color rgb="FF000000"/>
        <sz val="11.0"/>
      </rPr>
      <t xml:space="preserve">SSCA </t>
    </r>
    <r>
      <rPr>
        <rFont val="Noto Sans CJK SC"/>
        <b/>
        <color rgb="FF000000"/>
        <sz val="11.0"/>
      </rPr>
      <t>학생성공역량진단</t>
    </r>
  </si>
  <si>
    <t>결과 요약</t>
  </si>
  <si>
    <t>결과지 요약 문구</t>
  </si>
  <si>
    <r>
      <rPr>
        <rFont val="Noto Sans CJK SC"/>
        <b/>
        <color rgb="FF000000"/>
        <sz val="11.0"/>
      </rPr>
      <t>활동 성찰 기록</t>
    </r>
    <r>
      <rPr>
        <rFont val="맑은 고딕"/>
        <b/>
        <color rgb="FF000000"/>
        <sz val="11.0"/>
      </rPr>
      <t>(STAR)</t>
    </r>
  </si>
  <si>
    <r>
      <rPr>
        <rFont val="Noto Sans CJK SC"/>
        <i/>
        <color rgb="FF7F7F7F"/>
        <sz val="8.0"/>
      </rPr>
      <t>출처</t>
    </r>
    <r>
      <rPr>
        <rFont val="맑은 고딕"/>
        <i/>
        <color rgb="FF7F7F7F"/>
        <sz val="8.0"/>
      </rPr>
      <t xml:space="preserve">: </t>
    </r>
    <r>
      <rPr>
        <rFont val="Noto Sans CJK SC"/>
        <i/>
        <color rgb="FF7F7F7F"/>
        <sz val="8.0"/>
      </rPr>
      <t xml:space="preserve">학생 등록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자원</t>
    </r>
    <r>
      <rPr>
        <rFont val="맑은 고딕"/>
        <i/>
        <color rgb="FF7F7F7F"/>
        <sz val="8.0"/>
      </rPr>
      <t>·</t>
    </r>
    <r>
      <rPr>
        <rFont val="Noto Sans CJK SC"/>
        <i/>
        <color rgb="FF7F7F7F"/>
        <sz val="8.0"/>
      </rPr>
      <t xml:space="preserve">정보기술활용 </t>
    </r>
    <r>
      <rPr>
        <rFont val="맑은 고딕"/>
        <i/>
        <color rgb="FF7F7F7F"/>
        <sz val="8.0"/>
      </rPr>
      <t xml:space="preserve">/ </t>
    </r>
    <r>
      <rPr>
        <rFont val="Noto Sans CJK SC"/>
        <i/>
        <color rgb="FF7F7F7F"/>
        <sz val="8.0"/>
      </rPr>
      <t xml:space="preserve">디지털리터러시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자기 서술 위주 → 정성 판단 </t>
    </r>
    <r>
      <rPr>
        <rFont val="맑은 고딕"/>
        <i/>
        <color rgb="FF7F7F7F"/>
        <sz val="8.0"/>
      </rPr>
      <t xml:space="preserve">+ </t>
    </r>
    <r>
      <rPr>
        <rFont val="Noto Sans CJK SC"/>
        <i/>
        <color rgb="FF7F7F7F"/>
        <sz val="8.0"/>
      </rPr>
      <t>낮은 가중치 권장</t>
    </r>
  </si>
  <si>
    <r>
      <rPr>
        <rFont val="맑은 고딕"/>
        <i/>
        <color rgb="FF7F7F7F"/>
        <sz val="8.0"/>
      </rPr>
      <t>[</t>
    </r>
    <r>
      <rPr>
        <rFont val="Noto Sans CJK SC"/>
        <i/>
        <color rgb="FF7F7F7F"/>
        <sz val="8.0"/>
      </rPr>
      <t xml:space="preserve">기초 </t>
    </r>
    <r>
      <rPr>
        <rFont val="맑은 고딕"/>
        <i/>
        <color rgb="FF7F7F7F"/>
        <sz val="8.0"/>
      </rPr>
      <t xml:space="preserve">/ </t>
    </r>
    <r>
      <rPr>
        <rFont val="Noto Sans CJK SC"/>
        <i/>
        <color rgb="FF7F7F7F"/>
        <sz val="8.0"/>
      </rPr>
      <t xml:space="preserve">활용 </t>
    </r>
    <r>
      <rPr>
        <rFont val="맑은 고딕"/>
        <i/>
        <color rgb="FF7F7F7F"/>
        <sz val="8.0"/>
      </rPr>
      <t xml:space="preserve">/ </t>
    </r>
    <r>
      <rPr>
        <rFont val="Noto Sans CJK SC"/>
        <i/>
        <color rgb="FF7F7F7F"/>
        <sz val="8.0"/>
      </rPr>
      <t>능숙</t>
    </r>
    <r>
      <rPr>
        <rFont val="맑은 고딕"/>
        <i/>
        <color rgb="FF7F7F7F"/>
        <sz val="8.0"/>
      </rPr>
      <t>]</t>
    </r>
  </si>
  <si>
    <r>
      <rPr>
        <rFont val="Noto Sans CJK SC"/>
        <i/>
        <color rgb="FF7F7F7F"/>
        <sz val="8.0"/>
      </rPr>
      <t>출처</t>
    </r>
    <r>
      <rPr>
        <rFont val="맑은 고딕"/>
        <i/>
        <color rgb="FF7F7F7F"/>
        <sz val="8.0"/>
      </rPr>
      <t xml:space="preserve">: </t>
    </r>
    <r>
      <rPr>
        <rFont val="Noto Sans CJK SC"/>
        <i/>
        <color rgb="FF7F7F7F"/>
        <sz val="8.0"/>
      </rPr>
      <t xml:space="preserve">학생성공 게이트웨이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전 역량</t>
    </r>
    <r>
      <rPr>
        <rFont val="맑은 고딕"/>
        <i/>
        <color rgb="FF7F7F7F"/>
        <sz val="8.0"/>
      </rPr>
      <t>(</t>
    </r>
    <r>
      <rPr>
        <rFont val="Noto Sans CJK SC"/>
        <i/>
        <color rgb="FF7F7F7F"/>
        <sz val="8.0"/>
      </rPr>
      <t>자기인식</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 xml:space="preserve">객관 점수에 합산하지 말고 </t>
    </r>
    <r>
      <rPr>
        <rFont val="맑은 고딕"/>
        <i/>
        <color rgb="FF7F7F7F"/>
        <sz val="8.0"/>
      </rPr>
      <t>'</t>
    </r>
    <r>
      <rPr>
        <rFont val="Noto Sans CJK SC"/>
        <i/>
        <color rgb="FF7F7F7F"/>
        <sz val="8.0"/>
      </rPr>
      <t xml:space="preserve">자기평가 </t>
    </r>
    <r>
      <rPr>
        <rFont val="맑은 고딕"/>
        <i/>
        <color rgb="FF7F7F7F"/>
        <sz val="8.0"/>
      </rPr>
      <t xml:space="preserve">vs </t>
    </r>
    <r>
      <rPr>
        <rFont val="Noto Sans CJK SC"/>
        <i/>
        <color rgb="FF7F7F7F"/>
        <sz val="8.0"/>
      </rPr>
      <t>데이터 평가</t>
    </r>
    <r>
      <rPr>
        <rFont val="맑은 고딕"/>
        <i/>
        <color rgb="FF7F7F7F"/>
        <sz val="8.0"/>
      </rPr>
      <t xml:space="preserve">' </t>
    </r>
    <r>
      <rPr>
        <rFont val="Noto Sans CJK SC"/>
        <i/>
        <color rgb="FF7F7F7F"/>
        <sz val="8.0"/>
      </rPr>
      <t>비교용으로 별도 표시</t>
    </r>
  </si>
  <si>
    <r>
      <rPr>
        <rFont val="Noto Sans CJK SC"/>
        <i/>
        <color rgb="FF7F7F7F"/>
        <sz val="8.0"/>
      </rPr>
      <t>출처</t>
    </r>
    <r>
      <rPr>
        <rFont val="맑은 고딕"/>
        <i/>
        <color rgb="FF7F7F7F"/>
        <sz val="8.0"/>
      </rPr>
      <t xml:space="preserve">: </t>
    </r>
    <r>
      <rPr>
        <rFont val="Noto Sans CJK SC"/>
        <i/>
        <color rgb="FF7F7F7F"/>
        <sz val="8.0"/>
      </rPr>
      <t>학생 입력</t>
    </r>
    <r>
      <rPr>
        <rFont val="맑은 고딕"/>
        <i/>
        <color rgb="FF7F7F7F"/>
        <sz val="8.0"/>
      </rPr>
      <t>(</t>
    </r>
    <r>
      <rPr>
        <rFont val="Noto Sans CJK SC"/>
        <i/>
        <color rgb="FF7F7F7F"/>
        <sz val="8.0"/>
      </rPr>
      <t>포트폴리오</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리더십 </t>
    </r>
    <r>
      <rPr>
        <rFont val="맑은 고딕"/>
        <i/>
        <color rgb="FF7F7F7F"/>
        <sz val="8.0"/>
      </rPr>
      <t xml:space="preserve">/ </t>
    </r>
    <r>
      <rPr>
        <rFont val="Noto Sans CJK SC"/>
        <i/>
        <color rgb="FF7F7F7F"/>
        <sz val="8.0"/>
      </rPr>
      <t xml:space="preserve">문제해결력 </t>
    </r>
    <r>
      <rPr>
        <rFont val="맑은 고딕"/>
        <i/>
        <color rgb="FF7F7F7F"/>
        <sz val="8.0"/>
      </rPr>
      <t xml:space="preserve">/ </t>
    </r>
    <r>
      <rPr>
        <rFont val="Noto Sans CJK SC"/>
        <i/>
        <color rgb="FF7F7F7F"/>
        <sz val="8.0"/>
      </rPr>
      <t xml:space="preserve">커뮤니케이션 등 정성 역량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정성 루브릭이 판단할 </t>
    </r>
    <r>
      <rPr>
        <rFont val="맑은 고딕"/>
        <i/>
        <color rgb="FF7F7F7F"/>
        <sz val="8.0"/>
      </rPr>
      <t>'</t>
    </r>
    <r>
      <rPr>
        <rFont val="Noto Sans CJK SC"/>
        <i/>
        <color rgb="FF7F7F7F"/>
        <sz val="8.0"/>
      </rPr>
      <t>질적 근거</t>
    </r>
    <r>
      <rPr>
        <rFont val="맑은 고딕"/>
        <i/>
        <color rgb="FF7F7F7F"/>
        <sz val="8.0"/>
      </rPr>
      <t>'</t>
    </r>
    <r>
      <rPr>
        <rFont val="Noto Sans CJK SC"/>
        <i/>
        <color rgb="FF7F7F7F"/>
        <sz val="8.0"/>
      </rPr>
      <t>가 현재 거의 없음 → 가장 우선 확보 권장</t>
    </r>
  </si>
  <si>
    <t>연구실 코드 관리</t>
  </si>
  <si>
    <t>2026-03-15</t>
  </si>
  <si>
    <r>
      <rPr>
        <rFont val="Noto Sans CJK SC"/>
        <b/>
        <color rgb="FF000000"/>
        <sz val="9.0"/>
      </rPr>
      <t xml:space="preserve">관련 카테고리 </t>
    </r>
    <r>
      <rPr>
        <rFont val="맑은 고딕"/>
        <b/>
        <color rgb="FF000000"/>
        <sz val="9.0"/>
      </rPr>
      <t>No</t>
    </r>
  </si>
  <si>
    <t>기초</t>
  </si>
  <si>
    <t>활동명</t>
  </si>
  <si>
    <t>팀 과제 정리</t>
  </si>
  <si>
    <r>
      <rPr>
        <rFont val="Noto Sans CJK SC"/>
        <b/>
        <color rgb="FF000000"/>
        <sz val="9.0"/>
      </rPr>
      <t>상황</t>
    </r>
    <r>
      <rPr>
        <rFont val="맑은 고딕"/>
        <b/>
        <color rgb="FF000000"/>
        <sz val="9.0"/>
      </rPr>
      <t>(S)</t>
    </r>
  </si>
  <si>
    <r>
      <rPr>
        <rFont val="Noto Sans CJK SC"/>
        <b/>
        <color rgb="FF000000"/>
        <sz val="9.0"/>
      </rPr>
      <t>과제</t>
    </r>
    <r>
      <rPr>
        <rFont val="맑은 고딕"/>
        <b/>
        <color rgb="FF000000"/>
        <sz val="9.0"/>
      </rPr>
      <t>·</t>
    </r>
    <r>
      <rPr>
        <rFont val="Noto Sans CJK SC"/>
        <b/>
        <color rgb="FF000000"/>
        <sz val="9.0"/>
      </rPr>
      <t>역할</t>
    </r>
    <r>
      <rPr>
        <rFont val="맑은 고딕"/>
        <b/>
        <color rgb="FF000000"/>
        <sz val="9.0"/>
      </rPr>
      <t>(T)</t>
    </r>
  </si>
  <si>
    <r>
      <rPr>
        <rFont val="Noto Sans CJK SC"/>
        <b/>
        <color rgb="FF000000"/>
        <sz val="9.0"/>
      </rPr>
      <t>행동</t>
    </r>
    <r>
      <rPr>
        <rFont val="맑은 고딕"/>
        <b/>
        <color rgb="FF000000"/>
        <sz val="9.0"/>
      </rPr>
      <t>(A)</t>
    </r>
  </si>
  <si>
    <r>
      <rPr>
        <rFont val="Noto Sans CJK SC"/>
        <b/>
        <color rgb="FF000000"/>
        <sz val="9.0"/>
      </rPr>
      <t>결과</t>
    </r>
    <r>
      <rPr>
        <rFont val="맑은 고딕"/>
        <b/>
        <color rgb="FF000000"/>
        <sz val="9.0"/>
      </rPr>
      <t>(R)</t>
    </r>
  </si>
  <si>
    <r>
      <rPr>
        <rFont val="Noto Sans CJK SC"/>
        <b/>
        <color rgb="FFFFFFFF"/>
        <sz val="11.0"/>
      </rPr>
      <t>■ 공동체</t>
    </r>
    <r>
      <rPr>
        <rFont val="맑은 고딕"/>
        <b/>
        <color rgb="FFFFFFFF"/>
        <sz val="11.0"/>
      </rPr>
      <t>·</t>
    </r>
    <r>
      <rPr>
        <rFont val="Noto Sans CJK SC"/>
        <b/>
        <color rgb="FFFFFFFF"/>
        <sz val="11.0"/>
      </rPr>
      <t>리더십</t>
    </r>
  </si>
  <si>
    <t>자기관리</t>
  </si>
  <si>
    <r>
      <rPr>
        <rFont val="Noto Sans CJK SC"/>
        <i/>
        <color rgb="FF7F7F7F"/>
        <sz val="8.0"/>
      </rPr>
      <t xml:space="preserve">숫자 </t>
    </r>
    <r>
      <rPr>
        <rFont val="맑은 고딕"/>
        <i/>
        <color rgb="FF7F7F7F"/>
        <sz val="8.0"/>
      </rPr>
      <t>1~34</t>
    </r>
  </si>
  <si>
    <t>의사소통</t>
  </si>
  <si>
    <r>
      <rPr>
        <rFont val="Noto Sans CJK SC"/>
        <i/>
        <color rgb="FF7F7F7F"/>
        <sz val="8.0"/>
      </rPr>
      <t>서술</t>
    </r>
    <r>
      <rPr>
        <rFont val="맑은 고딕"/>
        <i/>
        <color rgb="FF7F7F7F"/>
        <sz val="8.0"/>
      </rPr>
      <t>(</t>
    </r>
    <r>
      <rPr>
        <rFont val="Noto Sans CJK SC"/>
        <i/>
        <color rgb="FF7F7F7F"/>
        <sz val="8.0"/>
      </rPr>
      <t>수치 포함 권장</t>
    </r>
    <r>
      <rPr>
        <rFont val="맑은 고딕"/>
        <i/>
        <color rgb="FF7F7F7F"/>
        <sz val="8.0"/>
      </rPr>
      <t>)</t>
    </r>
  </si>
  <si>
    <t>문제해결</t>
  </si>
  <si>
    <t>협업</t>
  </si>
  <si>
    <r>
      <rPr>
        <rFont val="Noto Sans CJK SC"/>
        <b/>
        <color rgb="FF000000"/>
        <sz val="11.0"/>
      </rPr>
      <t>동아리</t>
    </r>
    <r>
      <rPr>
        <rFont val="맑은 고딕"/>
        <b/>
        <color rgb="FF000000"/>
        <sz val="11.0"/>
      </rPr>
      <t>·</t>
    </r>
    <r>
      <rPr>
        <rFont val="Noto Sans CJK SC"/>
        <b/>
        <color rgb="FF000000"/>
        <sz val="11.0"/>
      </rPr>
      <t>학생회 활동</t>
    </r>
  </si>
  <si>
    <t>창의</t>
  </si>
  <si>
    <r>
      <rPr>
        <rFont val="Noto Sans CJK SC"/>
        <i/>
        <color rgb="FF7F7F7F"/>
        <sz val="8.0"/>
      </rPr>
      <t>출처</t>
    </r>
    <r>
      <rPr>
        <rFont val="맑은 고딕"/>
        <i/>
        <color rgb="FF7F7F7F"/>
        <sz val="8.0"/>
      </rPr>
      <t xml:space="preserve">: </t>
    </r>
    <r>
      <rPr>
        <rFont val="Noto Sans CJK SC"/>
        <i/>
        <color rgb="FF7F7F7F"/>
        <sz val="8.0"/>
      </rPr>
      <t xml:space="preserve">비교과 시스템 </t>
    </r>
    <r>
      <rPr>
        <rFont val="맑은 고딕"/>
        <i/>
        <color rgb="FF7F7F7F"/>
        <sz val="8.0"/>
      </rPr>
      <t xml:space="preserve">· </t>
    </r>
    <r>
      <rPr>
        <rFont val="Noto Sans CJK SC"/>
        <i/>
        <color rgb="FF7F7F7F"/>
        <sz val="8.0"/>
      </rPr>
      <t xml:space="preserve">학생 등록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대인관계 </t>
    </r>
    <r>
      <rPr>
        <rFont val="맑은 고딕"/>
        <i/>
        <color rgb="FF7F7F7F"/>
        <sz val="8.0"/>
      </rPr>
      <t xml:space="preserve">/ </t>
    </r>
    <r>
      <rPr>
        <rFont val="Noto Sans CJK SC"/>
        <i/>
        <color rgb="FF7F7F7F"/>
        <sz val="8.0"/>
      </rPr>
      <t xml:space="preserve">리더십 </t>
    </r>
    <r>
      <rPr>
        <rFont val="맑은 고딕"/>
        <i/>
        <color rgb="FF7F7F7F"/>
        <sz val="8.0"/>
      </rPr>
      <t xml:space="preserve">/ </t>
    </r>
    <r>
      <rPr>
        <rFont val="Noto Sans CJK SC"/>
        <i/>
        <color rgb="FF7F7F7F"/>
        <sz val="8.0"/>
      </rPr>
      <t xml:space="preserve">커뮤니케이션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직책</t>
    </r>
    <r>
      <rPr>
        <rFont val="맑은 고딕"/>
        <i/>
        <color rgb="FF7F7F7F"/>
        <sz val="8.0"/>
      </rPr>
      <t>(</t>
    </r>
    <r>
      <rPr>
        <rFont val="Noto Sans CJK SC"/>
        <i/>
        <color rgb="FF7F7F7F"/>
        <sz val="8.0"/>
      </rPr>
      <t>회장</t>
    </r>
    <r>
      <rPr>
        <rFont val="맑은 고딕"/>
        <i/>
        <color rgb="FF7F7F7F"/>
        <sz val="8.0"/>
      </rPr>
      <t>·</t>
    </r>
    <r>
      <rPr>
        <rFont val="Noto Sans CJK SC"/>
        <i/>
        <color rgb="FF7F7F7F"/>
        <sz val="8.0"/>
      </rPr>
      <t>부장</t>
    </r>
    <r>
      <rPr>
        <rFont val="맑은 고딕"/>
        <i/>
        <color rgb="FF7F7F7F"/>
        <sz val="8.0"/>
      </rPr>
      <t>·</t>
    </r>
    <r>
      <rPr>
        <rFont val="Noto Sans CJK SC"/>
        <i/>
        <color rgb="FF7F7F7F"/>
        <sz val="8.0"/>
      </rPr>
      <t>총무</t>
    </r>
    <r>
      <rPr>
        <rFont val="맑은 고딕"/>
        <i/>
        <color rgb="FF7F7F7F"/>
        <sz val="8.0"/>
      </rPr>
      <t>·</t>
    </r>
    <r>
      <rPr>
        <rFont val="Noto Sans CJK SC"/>
        <i/>
        <color rgb="FF7F7F7F"/>
        <sz val="8.0"/>
      </rPr>
      <t>부원</t>
    </r>
    <r>
      <rPr>
        <rFont val="맑은 고딕"/>
        <i/>
        <color rgb="FF7F7F7F"/>
        <sz val="8.0"/>
      </rPr>
      <t xml:space="preserve">) × </t>
    </r>
    <r>
      <rPr>
        <rFont val="Noto Sans CJK SC"/>
        <i/>
        <color rgb="FF7F7F7F"/>
        <sz val="8.0"/>
      </rPr>
      <t>기간으로 정량화</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</si>
  <si>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</si>
  <si>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Noto Sans CJK SC"/>
        <i/>
        <color rgb="FF7F7F7F"/>
        <sz val="8.0"/>
      </rPr>
      <t>출처</t>
    </r>
    <r>
      <rPr>
        <rFont val="맑은 고딕"/>
        <i/>
        <color rgb="FF7F7F7F"/>
        <sz val="8.0"/>
      </rPr>
      <t xml:space="preserve">: </t>
    </r>
    <r>
      <rPr>
        <rFont val="Noto Sans CJK SC"/>
        <i/>
        <color rgb="FF7F7F7F"/>
        <sz val="8.0"/>
      </rPr>
      <t xml:space="preserve">교수 입력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교수 관심 역량 전반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입력 부담 고려해 선택 항목으로</t>
    </r>
  </si>
  <si>
    <r>
      <rPr>
        <rFont val="Noto Sans CJK SC"/>
        <b/>
        <color rgb="FF000000"/>
        <sz val="9.0"/>
      </rPr>
      <t>단체 규모</t>
    </r>
    <r>
      <rPr>
        <rFont val="맑은 고딕"/>
        <b/>
        <color rgb="FF000000"/>
        <sz val="9.0"/>
      </rPr>
      <t>(</t>
    </r>
    <r>
      <rPr>
        <rFont val="Noto Sans CJK SC"/>
        <b/>
        <color rgb="FF000000"/>
        <sz val="9.0"/>
      </rPr>
      <t>명</t>
    </r>
    <r>
      <rPr>
        <rFont val="맑은 고딕"/>
        <b/>
        <color rgb="FF000000"/>
        <sz val="9.0"/>
      </rPr>
      <t>)</t>
    </r>
  </si>
  <si>
    <r>
      <rPr>
        <rFont val="Noto Sans CJK SC"/>
        <i/>
        <color rgb="FF7F7F7F"/>
        <sz val="8.0"/>
      </rPr>
      <t>출처</t>
    </r>
    <r>
      <rPr>
        <rFont val="맑은 고딕"/>
        <i/>
        <color rgb="FF7F7F7F"/>
        <sz val="8.0"/>
      </rPr>
      <t xml:space="preserve">: </t>
    </r>
    <r>
      <rPr>
        <rFont val="Noto Sans CJK SC"/>
        <i/>
        <color rgb="FF7F7F7F"/>
        <sz val="8.0"/>
      </rPr>
      <t xml:space="preserve">학생성공 게이트웨이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자기관리 </t>
    </r>
    <r>
      <rPr>
        <rFont val="맑은 고딕"/>
        <i/>
        <color rgb="FF7F7F7F"/>
        <sz val="8.0"/>
      </rPr>
      <t xml:space="preserve">/ </t>
    </r>
    <r>
      <rPr>
        <rFont val="Noto Sans CJK SC"/>
        <i/>
        <color rgb="FF7F7F7F"/>
        <sz val="8.0"/>
      </rPr>
      <t xml:space="preserve">학업성취   </t>
    </r>
    <r>
      <rPr>
        <rFont val="맑은 고딕"/>
        <i/>
        <color rgb="FF7F7F7F"/>
        <sz val="8.0"/>
      </rPr>
      <t xml:space="preserve">|   </t>
    </r>
    <r>
      <rPr>
        <rFont val="Noto Sans CJK SC"/>
        <i/>
        <color rgb="FF7F7F7F"/>
        <sz val="8.0"/>
      </rPr>
      <t>비고</t>
    </r>
    <r>
      <rPr>
        <rFont val="맑은 고딕"/>
        <i/>
        <color rgb="FF7F7F7F"/>
        <sz val="8.0"/>
      </rPr>
      <t>: SSCA</t>
    </r>
    <r>
      <rPr>
        <rFont val="Noto Sans CJK SC"/>
        <i/>
        <color rgb="FF7F7F7F"/>
        <sz val="8.0"/>
      </rPr>
      <t>와 동일하게 비교용 권장</t>
    </r>
  </si>
  <si>
    <r>
      <rPr>
        <rFont val="Noto Sans CJK SC"/>
        <b/>
        <color rgb="FF000000"/>
        <sz val="9.0"/>
      </rPr>
      <t>주요 활동</t>
    </r>
    <r>
      <rPr>
        <rFont val="맑은 고딕"/>
        <b/>
        <color rgb="FF000000"/>
        <sz val="9.0"/>
      </rPr>
      <t>·</t>
    </r>
    <r>
      <rPr>
        <rFont val="Noto Sans CJK SC"/>
        <b/>
        <color rgb="FF000000"/>
        <sz val="9.0"/>
      </rPr>
      <t>성과</t>
    </r>
  </si>
  <si>
    <r>
      <rPr>
        <rFont val="Noto Sans CJK SC"/>
        <b/>
        <color rgb="FF000000"/>
        <sz val="9.0"/>
      </rPr>
      <t>작성자</t>
    </r>
    <r>
      <rPr>
        <rFont val="맑은 고딕"/>
        <b/>
        <color rgb="FF000000"/>
        <sz val="9.0"/>
      </rPr>
      <t>(</t>
    </r>
    <r>
      <rPr>
        <rFont val="Noto Sans CJK SC"/>
        <b/>
        <color rgb="FF000000"/>
        <sz val="9.0"/>
      </rPr>
      <t>직위</t>
    </r>
    <r>
      <rPr>
        <rFont val="맑은 고딕"/>
        <b/>
        <color rgb="FF000000"/>
        <sz val="9.0"/>
      </rPr>
      <t>)</t>
    </r>
  </si>
  <si>
    <t>관계</t>
  </si>
  <si>
    <r>
      <rPr>
        <rFont val="맑은 고딕"/>
        <i/>
        <color rgb="FF7F7F7F"/>
        <sz val="8.0"/>
      </rPr>
      <t>[</t>
    </r>
    <r>
      <rPr>
        <rFont val="Noto Sans CJK SC"/>
        <i/>
        <color rgb="FF7F7F7F"/>
        <sz val="8.0"/>
      </rPr>
      <t xml:space="preserve">동아리 </t>
    </r>
    <r>
      <rPr>
        <rFont val="맑은 고딕"/>
        <i/>
        <color rgb="FF7F7F7F"/>
        <sz val="8.0"/>
      </rPr>
      <t xml:space="preserve">/ </t>
    </r>
    <r>
      <rPr>
        <rFont val="Noto Sans CJK SC"/>
        <i/>
        <color rgb="FF7F7F7F"/>
        <sz val="8.0"/>
      </rPr>
      <t xml:space="preserve">학생회 </t>
    </r>
    <r>
      <rPr>
        <rFont val="맑은 고딕"/>
        <i/>
        <color rgb="FF7F7F7F"/>
        <sz val="8.0"/>
      </rPr>
      <t xml:space="preserve">/ </t>
    </r>
    <r>
      <rPr>
        <rFont val="Noto Sans CJK SC"/>
        <i/>
        <color rgb="FF7F7F7F"/>
        <sz val="8.0"/>
      </rPr>
      <t xml:space="preserve">학회 </t>
    </r>
    <r>
      <rPr>
        <rFont val="맑은 고딕"/>
        <i/>
        <color rgb="FF7F7F7F"/>
        <sz val="8.0"/>
      </rPr>
      <t xml:space="preserve">/ </t>
    </r>
    <r>
      <rPr>
        <rFont val="Noto Sans CJK SC"/>
        <i/>
        <color rgb="FF7F7F7F"/>
        <sz val="8.0"/>
      </rPr>
      <t>기타단체</t>
    </r>
    <r>
      <rPr>
        <rFont val="맑은 고딕"/>
        <i/>
        <color rgb="FF7F7F7F"/>
        <sz val="8.0"/>
      </rPr>
      <t>]</t>
    </r>
  </si>
  <si>
    <t>관찰 역량</t>
  </si>
  <si>
    <t>코멘트</t>
  </si>
  <si>
    <t>작성일</t>
  </si>
  <si>
    <r>
      <rPr>
        <rFont val="맑은 고딕"/>
        <i/>
        <color rgb="FF7F7F7F"/>
        <sz val="8.0"/>
      </rPr>
      <t>[</t>
    </r>
    <r>
      <rPr>
        <rFont val="Noto Sans CJK SC"/>
        <i/>
        <color rgb="FF7F7F7F"/>
        <sz val="8.0"/>
      </rPr>
      <t xml:space="preserve">회장 </t>
    </r>
    <r>
      <rPr>
        <rFont val="맑은 고딕"/>
        <i/>
        <color rgb="FF7F7F7F"/>
        <sz val="8.0"/>
      </rPr>
      <t xml:space="preserve">/ </t>
    </r>
    <r>
      <rPr>
        <rFont val="Noto Sans CJK SC"/>
        <i/>
        <color rgb="FF7F7F7F"/>
        <sz val="8.0"/>
      </rPr>
      <t xml:space="preserve">부회장 </t>
    </r>
    <r>
      <rPr>
        <rFont val="맑은 고딕"/>
        <i/>
        <color rgb="FF7F7F7F"/>
        <sz val="8.0"/>
      </rPr>
      <t xml:space="preserve">/ </t>
    </r>
    <r>
      <rPr>
        <rFont val="Noto Sans CJK SC"/>
        <i/>
        <color rgb="FF7F7F7F"/>
        <sz val="8.0"/>
      </rPr>
      <t xml:space="preserve">부장 </t>
    </r>
    <r>
      <rPr>
        <rFont val="맑은 고딕"/>
        <i/>
        <color rgb="FF7F7F7F"/>
        <sz val="8.0"/>
      </rPr>
      <t xml:space="preserve">/ </t>
    </r>
    <r>
      <rPr>
        <rFont val="Noto Sans CJK SC"/>
        <i/>
        <color rgb="FF7F7F7F"/>
        <sz val="8.0"/>
      </rPr>
      <t xml:space="preserve">총무 </t>
    </r>
    <r>
      <rPr>
        <rFont val="맑은 고딕"/>
        <i/>
        <color rgb="FF7F7F7F"/>
        <sz val="8.0"/>
      </rPr>
      <t xml:space="preserve">/ </t>
    </r>
    <r>
      <rPr>
        <rFont val="Noto Sans CJK SC"/>
        <i/>
        <color rgb="FF7F7F7F"/>
        <sz val="8.0"/>
      </rPr>
      <t>부원</t>
    </r>
    <r>
      <rPr>
        <rFont val="맑은 고딕"/>
        <i/>
        <color rgb="FF7F7F7F"/>
        <sz val="8.0"/>
      </rPr>
      <t>]</t>
    </r>
  </si>
  <si>
    <r>
      <rPr>
        <rFont val="맑은 고딕"/>
        <i/>
        <color rgb="FF7F7F7F"/>
        <sz val="8.0"/>
      </rPr>
      <t xml:space="preserve">YYYY-MM / </t>
    </r>
    <r>
      <rPr>
        <rFont val="Noto Sans CJK SC"/>
        <i/>
        <color rgb="FF7F7F7F"/>
        <sz val="8.0"/>
      </rPr>
      <t>진행중</t>
    </r>
  </si>
  <si>
    <r>
      <rPr>
        <rFont val="맑은 고딕"/>
        <i/>
        <color rgb="FF7F7F7F"/>
        <sz val="8.0"/>
      </rPr>
      <t>[</t>
    </r>
    <r>
      <rPr>
        <rFont val="Noto Sans CJK SC"/>
        <i/>
        <color rgb="FF7F7F7F"/>
        <sz val="8.0"/>
      </rPr>
      <t xml:space="preserve">지도교수 </t>
    </r>
    <r>
      <rPr>
        <rFont val="맑은 고딕"/>
        <i/>
        <color rgb="FF7F7F7F"/>
        <sz val="8.0"/>
      </rPr>
      <t xml:space="preserve">/ </t>
    </r>
    <r>
      <rPr>
        <rFont val="Noto Sans CJK SC"/>
        <i/>
        <color rgb="FF7F7F7F"/>
        <sz val="8.0"/>
      </rPr>
      <t>수업 담당교수</t>
    </r>
    <r>
      <rPr>
        <rFont val="맑은 고딕"/>
        <i/>
        <color rgb="FF7F7F7F"/>
        <sz val="8.0"/>
      </rPr>
      <t>]</t>
    </r>
  </si>
  <si>
    <r>
      <rPr>
        <rFont val="Noto Sans CJK SC"/>
        <color rgb="FF1F3B8A"/>
        <sz val="10.0"/>
      </rPr>
      <t>자기주도 학습 높음</t>
    </r>
    <r>
      <rPr>
        <rFont val="맑은 고딕"/>
        <color rgb="FF1F3B8A"/>
        <sz val="10.0"/>
      </rPr>
      <t xml:space="preserve">, </t>
    </r>
    <r>
      <rPr>
        <rFont val="Noto Sans CJK SC"/>
        <color rgb="FF1F3B8A"/>
        <sz val="10.0"/>
      </rPr>
      <t>학습전략 다양성 보통</t>
    </r>
  </si>
  <si>
    <t>로봇 제작 동아리</t>
  </si>
  <si>
    <t>부장</t>
  </si>
  <si>
    <r>
      <rPr>
        <rFont val="Noto Sans CJK SC"/>
        <b/>
        <color rgb="FF000000"/>
        <sz val="11.0"/>
      </rPr>
      <t>활동 성찰 기록</t>
    </r>
    <r>
      <rPr>
        <rFont val="맑은 고딕"/>
        <b/>
        <color rgb="FF000000"/>
        <sz val="11.0"/>
      </rPr>
      <t>(STAR)</t>
    </r>
  </si>
  <si>
    <r>
      <rPr>
        <rFont val="Noto Sans CJK SC"/>
        <color rgb="FF1F3B8A"/>
        <sz val="10.0"/>
      </rPr>
      <t>설계팀장</t>
    </r>
    <r>
      <rPr>
        <rFont val="맑은 고딕"/>
        <color rgb="FF1F3B8A"/>
        <sz val="10.0"/>
      </rPr>
      <t xml:space="preserve">, </t>
    </r>
    <r>
      <rPr>
        <rFont val="Noto Sans CJK SC"/>
        <color rgb="FF1F3B8A"/>
        <sz val="10.0"/>
      </rPr>
      <t xml:space="preserve">경진대회 출전 </t>
    </r>
    <r>
      <rPr>
        <rFont val="맑은 고딕"/>
        <color rgb="FF1F3B8A"/>
        <sz val="10.0"/>
      </rPr>
      <t>2</t>
    </r>
    <r>
      <rPr>
        <rFont val="Noto Sans CJK SC"/>
        <color rgb="FF1F3B8A"/>
        <sz val="10.0"/>
      </rPr>
      <t>회</t>
    </r>
  </si>
  <si>
    <r>
      <rPr>
        <rFont val="Noto Sans CJK SC"/>
        <i/>
        <color rgb="FF7F7F7F"/>
        <sz val="8.0"/>
      </rPr>
      <t>출처</t>
    </r>
    <r>
      <rPr>
        <rFont val="맑은 고딕"/>
        <i/>
        <color rgb="FF7F7F7F"/>
        <sz val="8.0"/>
      </rPr>
      <t xml:space="preserve">: </t>
    </r>
    <r>
      <rPr>
        <rFont val="Noto Sans CJK SC"/>
        <i/>
        <color rgb="FF7F7F7F"/>
        <sz val="8.0"/>
      </rPr>
      <t>학생 입력</t>
    </r>
    <r>
      <rPr>
        <rFont val="맑은 고딕"/>
        <i/>
        <color rgb="FF7F7F7F"/>
        <sz val="8.0"/>
      </rPr>
      <t>(</t>
    </r>
    <r>
      <rPr>
        <rFont val="Noto Sans CJK SC"/>
        <i/>
        <color rgb="FF7F7F7F"/>
        <sz val="8.0"/>
      </rPr>
      <t>포트폴리오</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리더십 </t>
    </r>
    <r>
      <rPr>
        <rFont val="맑은 고딕"/>
        <i/>
        <color rgb="FF7F7F7F"/>
        <sz val="8.0"/>
      </rPr>
      <t xml:space="preserve">/ </t>
    </r>
    <r>
      <rPr>
        <rFont val="Noto Sans CJK SC"/>
        <i/>
        <color rgb="FF7F7F7F"/>
        <sz val="8.0"/>
      </rPr>
      <t xml:space="preserve">문제해결력 </t>
    </r>
    <r>
      <rPr>
        <rFont val="맑은 고딕"/>
        <i/>
        <color rgb="FF7F7F7F"/>
        <sz val="8.0"/>
      </rPr>
      <t xml:space="preserve">/ </t>
    </r>
    <r>
      <rPr>
        <rFont val="Noto Sans CJK SC"/>
        <i/>
        <color rgb="FF7F7F7F"/>
        <sz val="8.0"/>
      </rPr>
      <t xml:space="preserve">커뮤니케이션 등 정성 역량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정성 루브릭이 판단할 </t>
    </r>
    <r>
      <rPr>
        <rFont val="맑은 고딕"/>
        <i/>
        <color rgb="FF7F7F7F"/>
        <sz val="8.0"/>
      </rPr>
      <t>'</t>
    </r>
    <r>
      <rPr>
        <rFont val="Noto Sans CJK SC"/>
        <i/>
        <color rgb="FF7F7F7F"/>
        <sz val="8.0"/>
      </rPr>
      <t>질적 근거</t>
    </r>
    <r>
      <rPr>
        <rFont val="맑은 고딕"/>
        <i/>
        <color rgb="FF7F7F7F"/>
        <sz val="8.0"/>
      </rPr>
      <t>'</t>
    </r>
    <r>
      <rPr>
        <rFont val="Noto Sans CJK SC"/>
        <i/>
        <color rgb="FF7F7F7F"/>
        <sz val="8.0"/>
      </rPr>
      <t>가 현재 거의 없음 → 가장 우선 확보 권장</t>
    </r>
  </si>
  <si>
    <r>
      <rPr>
        <rFont val="Noto Sans CJK SC"/>
        <b/>
        <color rgb="FF000000"/>
        <sz val="9.0"/>
      </rPr>
      <t xml:space="preserve">관련 카테고리 </t>
    </r>
    <r>
      <rPr>
        <rFont val="맑은 고딕"/>
        <b/>
        <color rgb="FF000000"/>
        <sz val="9.0"/>
      </rPr>
      <t>No</t>
    </r>
  </si>
  <si>
    <r>
      <rPr>
        <rFont val="Noto Sans CJK SC"/>
        <b/>
        <color rgb="FF000000"/>
        <sz val="9.0"/>
      </rPr>
      <t>상황</t>
    </r>
    <r>
      <rPr>
        <rFont val="맑은 고딕"/>
        <b/>
        <color rgb="FF000000"/>
        <sz val="9.0"/>
      </rPr>
      <t>(S)</t>
    </r>
  </si>
  <si>
    <r>
      <rPr>
        <rFont val="Noto Sans CJK SC"/>
        <b/>
        <color rgb="FF000000"/>
        <sz val="9.0"/>
      </rPr>
      <t>과제</t>
    </r>
    <r>
      <rPr>
        <rFont val="맑은 고딕"/>
        <b/>
        <color rgb="FF000000"/>
        <sz val="9.0"/>
      </rPr>
      <t>·</t>
    </r>
    <r>
      <rPr>
        <rFont val="Noto Sans CJK SC"/>
        <b/>
        <color rgb="FF000000"/>
        <sz val="9.0"/>
      </rPr>
      <t>역할</t>
    </r>
    <r>
      <rPr>
        <rFont val="맑은 고딕"/>
        <b/>
        <color rgb="FF000000"/>
        <sz val="9.0"/>
      </rPr>
      <t>(T)</t>
    </r>
  </si>
  <si>
    <r>
      <rPr>
        <rFont val="Noto Sans CJK SC"/>
        <b/>
        <color rgb="FF000000"/>
        <sz val="9.0"/>
      </rPr>
      <t>행동</t>
    </r>
    <r>
      <rPr>
        <rFont val="맑은 고딕"/>
        <b/>
        <color rgb="FF000000"/>
        <sz val="9.0"/>
      </rPr>
      <t>(A)</t>
    </r>
  </si>
  <si>
    <r>
      <rPr>
        <rFont val="Noto Sans CJK SC"/>
        <b/>
        <color rgb="FF000000"/>
        <sz val="9.0"/>
      </rPr>
      <t>결과</t>
    </r>
    <r>
      <rPr>
        <rFont val="맑은 고딕"/>
        <b/>
        <color rgb="FF000000"/>
        <sz val="9.0"/>
      </rPr>
      <t>(R)</t>
    </r>
  </si>
  <si>
    <r>
      <rPr>
        <rFont val="Noto Sans CJK SC"/>
        <i/>
        <color rgb="FF7F7F7F"/>
        <sz val="8.0"/>
      </rPr>
      <t xml:space="preserve">숫자 </t>
    </r>
    <r>
      <rPr>
        <rFont val="맑은 고딕"/>
        <i/>
        <color rgb="FF7F7F7F"/>
        <sz val="8.0"/>
      </rPr>
      <t>1~34</t>
    </r>
  </si>
  <si>
    <r>
      <rPr>
        <rFont val="Noto Sans CJK SC"/>
        <i/>
        <color rgb="FF7F7F7F"/>
        <sz val="8.0"/>
      </rPr>
      <t>서술</t>
    </r>
    <r>
      <rPr>
        <rFont val="맑은 고딕"/>
        <i/>
        <color rgb="FF7F7F7F"/>
        <sz val="8.0"/>
      </rPr>
      <t>(</t>
    </r>
    <r>
      <rPr>
        <rFont val="Noto Sans CJK SC"/>
        <i/>
        <color rgb="FF7F7F7F"/>
        <sz val="8.0"/>
      </rPr>
      <t>수치 포함 권장</t>
    </r>
    <r>
      <rPr>
        <rFont val="맑은 고딕"/>
        <i/>
        <color rgb="FF7F7F7F"/>
        <sz val="8.0"/>
      </rPr>
      <t>)</t>
    </r>
  </si>
  <si>
    <r>
      <rPr>
        <rFont val="맑은 고딕"/>
        <color rgb="FF1F3B8A"/>
        <sz val="10.0"/>
      </rPr>
      <t xml:space="preserve">OPTIMA </t>
    </r>
    <r>
      <rPr>
        <rFont val="Noto Sans CJK SC"/>
        <color rgb="FF1F3B8A"/>
        <sz val="10.0"/>
      </rPr>
      <t>학회 회장</t>
    </r>
  </si>
  <si>
    <r>
      <rPr>
        <rFont val="Noto Sans CJK SC"/>
        <color rgb="FF1F3B8A"/>
        <sz val="10.0"/>
      </rPr>
      <t xml:space="preserve">신입 회원 이탈로 정기 세미나 참여율이 </t>
    </r>
    <r>
      <rPr>
        <rFont val="맑은 고딕"/>
        <color rgb="FF1F3B8A"/>
        <sz val="10.0"/>
      </rPr>
      <t>40%</t>
    </r>
    <r>
      <rPr>
        <rFont val="Noto Sans CJK SC"/>
        <color rgb="FF1F3B8A"/>
        <sz val="10.0"/>
      </rPr>
      <t>까지 떨어짐</t>
    </r>
  </si>
  <si>
    <t>회장으로서 세미나 운영 방식 개편을 맡음</t>
  </si>
  <si>
    <r>
      <rPr>
        <rFont val="Noto Sans CJK SC"/>
        <color rgb="FF1F3B8A"/>
        <sz val="10.0"/>
      </rPr>
      <t>주제 선정 투표 도입</t>
    </r>
    <r>
      <rPr>
        <rFont val="맑은 고딕"/>
        <color rgb="FF1F3B8A"/>
        <sz val="10.0"/>
      </rPr>
      <t>, 2</t>
    </r>
    <r>
      <rPr>
        <rFont val="Noto Sans CJK SC"/>
        <color rgb="FF1F3B8A"/>
        <sz val="10.0"/>
      </rPr>
      <t xml:space="preserve">인 </t>
    </r>
    <r>
      <rPr>
        <rFont val="맑은 고딕"/>
        <color rgb="FF1F3B8A"/>
        <sz val="10.0"/>
      </rPr>
      <t>1</t>
    </r>
    <r>
      <rPr>
        <rFont val="Noto Sans CJK SC"/>
        <color rgb="FF1F3B8A"/>
        <sz val="10.0"/>
      </rPr>
      <t>조 발표제 운영</t>
    </r>
    <r>
      <rPr>
        <rFont val="맑은 고딕"/>
        <color rgb="FF1F3B8A"/>
        <sz val="10.0"/>
      </rPr>
      <t xml:space="preserve">, </t>
    </r>
    <r>
      <rPr>
        <rFont val="Noto Sans CJK SC"/>
        <color rgb="FF1F3B8A"/>
        <sz val="10.0"/>
      </rPr>
      <t>노션으로 출석 리마인드 자동화</t>
    </r>
  </si>
  <si>
    <r>
      <rPr>
        <rFont val="Noto Sans CJK SC"/>
        <color rgb="FF1F3B8A"/>
        <sz val="10.0"/>
      </rPr>
      <t xml:space="preserve">한 학기 만에 참여율 </t>
    </r>
    <r>
      <rPr>
        <rFont val="맑은 고딕"/>
        <color rgb="FF1F3B8A"/>
        <sz val="10.0"/>
      </rPr>
      <t>85%</t>
    </r>
    <r>
      <rPr>
        <rFont val="Noto Sans CJK SC"/>
        <color rgb="FF1F3B8A"/>
        <sz val="10.0"/>
      </rPr>
      <t>로 회복</t>
    </r>
    <r>
      <rPr>
        <rFont val="맑은 고딕"/>
        <color rgb="FF1F3B8A"/>
        <sz val="10.0"/>
      </rPr>
      <t xml:space="preserve">, </t>
    </r>
    <r>
      <rPr>
        <rFont val="Noto Sans CJK SC"/>
        <color rgb="FF1F3B8A"/>
        <sz val="10.0"/>
      </rPr>
      <t xml:space="preserve">외부 연사 세미나 </t>
    </r>
    <r>
      <rPr>
        <rFont val="맑은 고딕"/>
        <color rgb="FF1F3B8A"/>
        <sz val="10.0"/>
      </rPr>
      <t>2</t>
    </r>
    <r>
      <rPr>
        <rFont val="Noto Sans CJK SC"/>
        <color rgb="FF1F3B8A"/>
        <sz val="10.0"/>
      </rPr>
      <t>회 유치</t>
    </r>
  </si>
  <si>
    <t>한빛로지스 인턴</t>
  </si>
  <si>
    <t>출고 지연 원인을 담당자마다 다르게 파악하고 있었음</t>
  </si>
  <si>
    <r>
      <rPr>
        <rFont val="Noto Sans CJK SC"/>
        <color rgb="FF1F3B8A"/>
        <sz val="10.0"/>
      </rPr>
      <t xml:space="preserve">출고 데이터 </t>
    </r>
    <r>
      <rPr>
        <rFont val="맑은 고딕"/>
        <color rgb="FF1F3B8A"/>
        <sz val="10.0"/>
      </rPr>
      <t>3</t>
    </r>
    <r>
      <rPr>
        <rFont val="Noto Sans CJK SC"/>
        <color rgb="FF1F3B8A"/>
        <sz val="10.0"/>
      </rPr>
      <t>개월치를 분석해 지연 원인을 정리하는 과제</t>
    </r>
  </si>
  <si>
    <r>
      <rPr>
        <rFont val="맑은 고딕"/>
        <color rgb="FF1F3B8A"/>
        <sz val="10.0"/>
      </rPr>
      <t>SQL</t>
    </r>
    <r>
      <rPr>
        <rFont val="Noto Sans CJK SC"/>
        <color rgb="FF1F3B8A"/>
        <sz val="10.0"/>
      </rPr>
      <t>로 데이터 추출 후 단계별 소요시간 시각화</t>
    </r>
    <r>
      <rPr>
        <rFont val="맑은 고딕"/>
        <color rgb="FF1F3B8A"/>
        <sz val="10.0"/>
      </rPr>
      <t xml:space="preserve">, </t>
    </r>
    <r>
      <rPr>
        <rFont val="Noto Sans CJK SC"/>
        <color rgb="FF1F3B8A"/>
        <sz val="10.0"/>
      </rPr>
      <t xml:space="preserve">현업 인터뷰 </t>
    </r>
    <r>
      <rPr>
        <rFont val="맑은 고딕"/>
        <color rgb="FF1F3B8A"/>
        <sz val="10.0"/>
      </rPr>
      <t>5</t>
    </r>
    <r>
      <rPr>
        <rFont val="Noto Sans CJK SC"/>
        <color rgb="FF1F3B8A"/>
        <sz val="10.0"/>
      </rPr>
      <t>회</t>
    </r>
  </si>
  <si>
    <r>
      <rPr>
        <rFont val="Noto Sans CJK SC"/>
        <color rgb="FF1F3B8A"/>
        <sz val="10.0"/>
      </rPr>
      <t>피킹 단계 병목을 확인</t>
    </r>
    <r>
      <rPr>
        <rFont val="맑은 고딕"/>
        <color rgb="FF1F3B8A"/>
        <sz val="10.0"/>
      </rPr>
      <t xml:space="preserve">, </t>
    </r>
    <r>
      <rPr>
        <rFont val="Noto Sans CJK SC"/>
        <color rgb="FF1F3B8A"/>
        <sz val="10.0"/>
      </rPr>
      <t>개선안이 팀 회의 안건으로 채택됨</t>
    </r>
  </si>
  <si>
    <r>
      <rPr>
        <rFont val="Noto Sans CJK SC"/>
        <i/>
        <color rgb="FF7F7F7F"/>
        <sz val="8.0"/>
      </rPr>
      <t>출처</t>
    </r>
    <r>
      <rPr>
        <rFont val="맑은 고딕"/>
        <i/>
        <color rgb="FF7F7F7F"/>
        <sz val="8.0"/>
      </rPr>
      <t>: 1365 · 3</t>
    </r>
    <r>
      <rPr>
        <rFont val="Noto Sans CJK SC"/>
        <i/>
        <color rgb="FF7F7F7F"/>
        <sz val="8.0"/>
      </rPr>
      <t>품</t>
    </r>
    <r>
      <rPr>
        <rFont val="맑은 고딕"/>
        <i/>
        <color rgb="FF7F7F7F"/>
        <sz val="8.0"/>
      </rPr>
      <t>(</t>
    </r>
    <r>
      <rPr>
        <rFont val="Noto Sans CJK SC"/>
        <i/>
        <color rgb="FF7F7F7F"/>
        <sz val="8.0"/>
      </rPr>
      <t>인성</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대인관계 </t>
    </r>
    <r>
      <rPr>
        <rFont val="맑은 고딕"/>
        <i/>
        <color rgb="FF7F7F7F"/>
        <sz val="8.0"/>
      </rPr>
      <t xml:space="preserve">/ </t>
    </r>
    <r>
      <rPr>
        <rFont val="Noto Sans CJK SC"/>
        <i/>
        <color rgb="FF7F7F7F"/>
        <sz val="8.0"/>
      </rPr>
      <t xml:space="preserve">리더십 </t>
    </r>
    <r>
      <rPr>
        <rFont val="맑은 고딕"/>
        <i/>
        <color rgb="FF7F7F7F"/>
        <sz val="8.0"/>
      </rPr>
      <t xml:space="preserve">/ </t>
    </r>
    <r>
      <rPr>
        <rFont val="Noto Sans CJK SC"/>
        <i/>
        <color rgb="FF7F7F7F"/>
        <sz val="8.0"/>
      </rPr>
      <t xml:space="preserve">문화적수용능력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학년 보정</t>
    </r>
    <r>
      <rPr>
        <rFont val="맑은 고딕"/>
        <i/>
        <color rgb="FF7F7F7F"/>
        <sz val="8.0"/>
      </rPr>
      <t>(</t>
    </r>
    <r>
      <rPr>
        <rFont val="Noto Sans CJK SC"/>
        <i/>
        <color rgb="FF7F7F7F"/>
        <sz val="8.0"/>
      </rPr>
      <t>학기당 시간</t>
    </r>
    <r>
      <rPr>
        <rFont val="맑은 고딕"/>
        <i/>
        <color rgb="FF7F7F7F"/>
        <sz val="8.0"/>
      </rPr>
      <t xml:space="preserve">) </t>
    </r>
    <r>
      <rPr>
        <rFont val="Noto Sans CJK SC"/>
        <i/>
        <color rgb="FF7F7F7F"/>
        <sz val="8.0"/>
      </rPr>
      <t>필요</t>
    </r>
  </si>
  <si>
    <r>
      <rPr>
        <rFont val="Noto Sans CJK SC"/>
        <b/>
        <color rgb="FF000000"/>
        <sz val="10.0"/>
      </rPr>
      <t>총 봉사시간</t>
    </r>
    <r>
      <rPr>
        <rFont val="맑은 고딕"/>
        <b/>
        <color rgb="FF000000"/>
        <sz val="10.0"/>
      </rPr>
      <t>(h)</t>
    </r>
  </si>
  <si>
    <r>
      <rPr>
        <rFont val="맑은 고딕"/>
        <color rgb="FF7F7F7F"/>
        <sz val="9.0"/>
      </rPr>
      <t xml:space="preserve">1365 </t>
    </r>
    <r>
      <rPr>
        <rFont val="Noto Sans CJK SC"/>
        <color rgb="FF7F7F7F"/>
        <sz val="9.0"/>
      </rPr>
      <t>등 인증 시간 합계</t>
    </r>
  </si>
  <si>
    <r>
      <rPr>
        <rFont val="Noto Sans CJK SC"/>
        <b/>
        <color rgb="FF000000"/>
        <sz val="9.0"/>
      </rPr>
      <t>기관</t>
    </r>
    <r>
      <rPr>
        <rFont val="맑은 고딕"/>
        <b/>
        <color rgb="FF000000"/>
        <sz val="9.0"/>
      </rPr>
      <t>·</t>
    </r>
    <r>
      <rPr>
        <rFont val="Noto Sans CJK SC"/>
        <b/>
        <color rgb="FF000000"/>
        <sz val="9.0"/>
      </rPr>
      <t>내용</t>
    </r>
  </si>
  <si>
    <r>
      <rPr>
        <rFont val="Noto Sans CJK SC"/>
        <b/>
        <color rgb="FF000000"/>
        <sz val="9.0"/>
      </rPr>
      <t>시간</t>
    </r>
    <r>
      <rPr>
        <rFont val="맑은 고딕"/>
        <b/>
        <color rgb="FF000000"/>
        <sz val="9.0"/>
      </rPr>
      <t>(h)</t>
    </r>
  </si>
  <si>
    <r>
      <rPr>
        <rFont val="맑은 고딕"/>
        <i/>
        <color rgb="FF7F7F7F"/>
        <sz val="8.0"/>
      </rPr>
      <t>[</t>
    </r>
    <r>
      <rPr>
        <rFont val="Noto Sans CJK SC"/>
        <i/>
        <color rgb="FF7F7F7F"/>
        <sz val="8.0"/>
      </rPr>
      <t xml:space="preserve">교내 </t>
    </r>
    <r>
      <rPr>
        <rFont val="맑은 고딕"/>
        <i/>
        <color rgb="FF7F7F7F"/>
        <sz val="8.0"/>
      </rPr>
      <t xml:space="preserve">/ </t>
    </r>
    <r>
      <rPr>
        <rFont val="Noto Sans CJK SC"/>
        <i/>
        <color rgb="FF7F7F7F"/>
        <sz val="8.0"/>
      </rPr>
      <t>교외</t>
    </r>
    <r>
      <rPr>
        <rFont val="맑은 고딕"/>
        <i/>
        <color rgb="FF7F7F7F"/>
        <sz val="8.0"/>
      </rPr>
      <t>(</t>
    </r>
    <r>
      <rPr>
        <rFont val="Noto Sans CJK SC"/>
        <i/>
        <color rgb="FF7F7F7F"/>
        <sz val="8.0"/>
      </rPr>
      <t>국내</t>
    </r>
    <r>
      <rPr>
        <rFont val="맑은 고딕"/>
        <i/>
        <color rgb="FF7F7F7F"/>
        <sz val="8.0"/>
      </rPr>
      <t xml:space="preserve">) / </t>
    </r>
    <r>
      <rPr>
        <rFont val="Noto Sans CJK SC"/>
        <i/>
        <color rgb="FF7F7F7F"/>
        <sz val="8.0"/>
      </rPr>
      <t xml:space="preserve">국외 </t>
    </r>
    <r>
      <rPr>
        <rFont val="맑은 고딕"/>
        <i/>
        <color rgb="FF7F7F7F"/>
        <sz val="8.0"/>
      </rPr>
      <t xml:space="preserve">/ </t>
    </r>
    <r>
      <rPr>
        <rFont val="Noto Sans CJK SC"/>
        <i/>
        <color rgb="FF7F7F7F"/>
        <sz val="8.0"/>
      </rPr>
      <t>유학생 봉사</t>
    </r>
    <r>
      <rPr>
        <rFont val="맑은 고딕"/>
        <i/>
        <color rgb="FF7F7F7F"/>
        <sz val="8.0"/>
      </rPr>
      <t>]</t>
    </r>
  </si>
  <si>
    <r>
      <rPr>
        <rFont val="Noto Sans CJK SC"/>
        <color rgb="FF1F3B8A"/>
        <sz val="10.0"/>
      </rPr>
      <t>교외</t>
    </r>
    <r>
      <rPr>
        <rFont val="맑은 고딕"/>
        <color rgb="FF1F3B8A"/>
        <sz val="10.0"/>
      </rPr>
      <t>(</t>
    </r>
    <r>
      <rPr>
        <rFont val="Noto Sans CJK SC"/>
        <color rgb="FF1F3B8A"/>
        <sz val="10.0"/>
      </rPr>
      <t>국내</t>
    </r>
    <r>
      <rPr>
        <rFont val="맑은 고딕"/>
        <color rgb="FF1F3B8A"/>
        <sz val="10.0"/>
      </rPr>
      <t>)</t>
    </r>
  </si>
  <si>
    <t>과학관 체험부스 운영</t>
  </si>
  <si>
    <t>2024-05</t>
  </si>
  <si>
    <t>공대 축제 안전요원</t>
  </si>
  <si>
    <t>2025-05</t>
  </si>
  <si>
    <r>
      <rPr>
        <rFont val="Noto Sans CJK SC"/>
        <i/>
        <color rgb="FF7F7F7F"/>
        <sz val="8.0"/>
      </rPr>
      <t>출처</t>
    </r>
    <r>
      <rPr>
        <rFont val="맑은 고딕"/>
        <i/>
        <color rgb="FF7F7F7F"/>
        <sz val="8.0"/>
      </rPr>
      <t xml:space="preserve">: </t>
    </r>
    <r>
      <rPr>
        <rFont val="Noto Sans CJK SC"/>
        <i/>
        <color rgb="FF7F7F7F"/>
        <sz val="8.0"/>
      </rPr>
      <t xml:space="preserve">교수 입력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교수 관심 역량 전반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입력 부담 고려해 선택 항목으로</t>
    </r>
  </si>
  <si>
    <r>
      <rPr>
        <rFont val="Noto Sans CJK SC"/>
        <b/>
        <color rgb="FF000000"/>
        <sz val="9.0"/>
      </rPr>
      <t>작성자</t>
    </r>
    <r>
      <rPr>
        <rFont val="맑은 고딕"/>
        <b/>
        <color rgb="FF000000"/>
        <sz val="9.0"/>
      </rPr>
      <t>(</t>
    </r>
    <r>
      <rPr>
        <rFont val="Noto Sans CJK SC"/>
        <b/>
        <color rgb="FF000000"/>
        <sz val="9.0"/>
      </rPr>
      <t>직위</t>
    </r>
    <r>
      <rPr>
        <rFont val="맑은 고딕"/>
        <b/>
        <color rgb="FF000000"/>
        <sz val="9.0"/>
      </rPr>
      <t>)</t>
    </r>
  </si>
  <si>
    <r>
      <rPr>
        <rFont val="Noto Sans CJK SC"/>
        <b/>
        <color rgb="FF000000"/>
        <sz val="11.0"/>
      </rPr>
      <t>멘토링</t>
    </r>
    <r>
      <rPr>
        <rFont val="맑은 고딕"/>
        <b/>
        <color rgb="FF000000"/>
        <sz val="11.0"/>
      </rPr>
      <t>·</t>
    </r>
    <r>
      <rPr>
        <rFont val="Noto Sans CJK SC"/>
        <b/>
        <color rgb="FF000000"/>
        <sz val="11.0"/>
      </rPr>
      <t>학습공동체</t>
    </r>
  </si>
  <si>
    <r>
      <rPr>
        <rFont val="맑은 고딕"/>
        <i/>
        <color rgb="FF7F7F7F"/>
        <sz val="8.0"/>
      </rPr>
      <t>[</t>
    </r>
    <r>
      <rPr>
        <rFont val="Noto Sans CJK SC"/>
        <i/>
        <color rgb="FF7F7F7F"/>
        <sz val="8.0"/>
      </rPr>
      <t xml:space="preserve">지도교수 </t>
    </r>
    <r>
      <rPr>
        <rFont val="맑은 고딕"/>
        <i/>
        <color rgb="FF7F7F7F"/>
        <sz val="8.0"/>
      </rPr>
      <t xml:space="preserve">/ </t>
    </r>
    <r>
      <rPr>
        <rFont val="Noto Sans CJK SC"/>
        <i/>
        <color rgb="FF7F7F7F"/>
        <sz val="8.0"/>
      </rPr>
      <t>수업 담당교수</t>
    </r>
    <r>
      <rPr>
        <rFont val="맑은 고딕"/>
        <i/>
        <color rgb="FF7F7F7F"/>
        <sz val="8.0"/>
      </rPr>
      <t>]</t>
    </r>
  </si>
  <si>
    <r>
      <rPr>
        <rFont val="Noto Sans CJK SC"/>
        <color rgb="FF1F3B8A"/>
        <sz val="10.0"/>
      </rPr>
      <t>지도교수</t>
    </r>
    <r>
      <rPr>
        <rFont val="맑은 고딕"/>
        <color rgb="FF1F3B8A"/>
        <sz val="10.0"/>
      </rPr>
      <t>(</t>
    </r>
    <r>
      <rPr>
        <rFont val="Noto Sans CJK SC"/>
        <color rgb="FF1F3B8A"/>
        <sz val="10.0"/>
      </rPr>
      <t>교수</t>
    </r>
    <r>
      <rPr>
        <rFont val="맑은 고딕"/>
        <color rgb="FF1F3B8A"/>
        <sz val="10.0"/>
      </rPr>
      <t>)</t>
    </r>
  </si>
  <si>
    <t>지도교수</t>
  </si>
  <si>
    <r>
      <rPr>
        <rFont val="Noto Sans CJK SC"/>
        <color rgb="FF1F3B8A"/>
        <sz val="10.0"/>
      </rPr>
      <t>문제해결</t>
    </r>
    <r>
      <rPr>
        <rFont val="맑은 고딕"/>
        <color rgb="FF1F3B8A"/>
        <sz val="10.0"/>
      </rPr>
      <t>·</t>
    </r>
    <r>
      <rPr>
        <rFont val="Noto Sans CJK SC"/>
        <color rgb="FF1F3B8A"/>
        <sz val="10.0"/>
      </rPr>
      <t>책임감</t>
    </r>
  </si>
  <si>
    <r>
      <rPr>
        <rFont val="Noto Sans CJK SC"/>
        <color rgb="FF1F3B8A"/>
        <sz val="10.0"/>
      </rPr>
      <t>연구실 과제에서 주어진 범위를 넘어 원인 분석까지 스스로 진행함</t>
    </r>
    <r>
      <rPr>
        <rFont val="맑은 고딕"/>
        <color rgb="FF1F3B8A"/>
        <sz val="10.0"/>
      </rPr>
      <t xml:space="preserve">. </t>
    </r>
    <r>
      <rPr>
        <rFont val="Noto Sans CJK SC"/>
        <color rgb="FF1F3B8A"/>
        <sz val="10.0"/>
      </rPr>
      <t>마감 준수가 철저함</t>
    </r>
    <r>
      <rPr>
        <rFont val="맑은 고딕"/>
        <color rgb="FF1F3B8A"/>
        <sz val="10.0"/>
      </rPr>
      <t>.</t>
    </r>
  </si>
  <si>
    <t>2026-06-30</t>
  </si>
  <si>
    <r>
      <rPr>
        <rFont val="Noto Sans CJK SC"/>
        <i/>
        <color rgb="FF7F7F7F"/>
        <sz val="8.0"/>
      </rPr>
      <t>출처</t>
    </r>
    <r>
      <rPr>
        <rFont val="맑은 고딕"/>
        <i/>
        <color rgb="FF7F7F7F"/>
        <sz val="8.0"/>
      </rPr>
      <t xml:space="preserve">: </t>
    </r>
    <r>
      <rPr>
        <rFont val="Noto Sans CJK SC"/>
        <i/>
        <color rgb="FF7F7F7F"/>
        <sz val="8.0"/>
      </rPr>
      <t xml:space="preserve">교수학습센터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소통능력 </t>
    </r>
    <r>
      <rPr>
        <rFont val="맑은 고딕"/>
        <i/>
        <color rgb="FF7F7F7F"/>
        <sz val="8.0"/>
      </rPr>
      <t xml:space="preserve">/ </t>
    </r>
    <r>
      <rPr>
        <rFont val="Noto Sans CJK SC"/>
        <i/>
        <color rgb="FF7F7F7F"/>
        <sz val="8.0"/>
      </rPr>
      <t xml:space="preserve">대인관계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교수 관심 </t>
    </r>
    <r>
      <rPr>
        <rFont val="맑은 고딕"/>
        <i/>
        <color rgb="FF7F7F7F"/>
        <sz val="8.0"/>
      </rPr>
      <t>'</t>
    </r>
    <r>
      <rPr>
        <rFont val="Noto Sans CJK SC"/>
        <i/>
        <color rgb="FF7F7F7F"/>
        <sz val="8.0"/>
      </rPr>
      <t>소통능력</t>
    </r>
    <r>
      <rPr>
        <rFont val="맑은 고딕"/>
        <i/>
        <color rgb="FF7F7F7F"/>
        <sz val="8.0"/>
      </rPr>
      <t>'</t>
    </r>
    <r>
      <rPr>
        <rFont val="Noto Sans CJK SC"/>
        <i/>
        <color rgb="FF7F7F7F"/>
        <sz val="8.0"/>
      </rPr>
      <t xml:space="preserve">의 </t>
    </r>
    <r>
      <rPr>
        <rFont val="맑은 고딕"/>
        <i/>
        <color rgb="FF7F7F7F"/>
        <sz val="8.0"/>
      </rPr>
      <t>'</t>
    </r>
    <r>
      <rPr>
        <rFont val="Noto Sans CJK SC"/>
        <i/>
        <color rgb="FF7F7F7F"/>
        <sz val="8.0"/>
      </rPr>
      <t>스터디 참여</t>
    </r>
    <r>
      <rPr>
        <rFont val="맑은 고딕"/>
        <i/>
        <color rgb="FF7F7F7F"/>
        <sz val="8.0"/>
      </rPr>
      <t xml:space="preserve">' </t>
    </r>
    <r>
      <rPr>
        <rFont val="Noto Sans CJK SC"/>
        <i/>
        <color rgb="FF7F7F7F"/>
        <sz val="8.0"/>
      </rPr>
      <t>근거 확보</t>
    </r>
  </si>
  <si>
    <r>
      <rPr>
        <rFont val="Noto Sans CJK SC"/>
        <b/>
        <color rgb="FF000000"/>
        <sz val="9.0"/>
      </rPr>
      <t>역할</t>
    </r>
    <r>
      <rPr>
        <rFont val="맑은 고딕"/>
        <b/>
        <color rgb="FF000000"/>
        <sz val="9.0"/>
      </rPr>
      <t>·</t>
    </r>
    <r>
      <rPr>
        <rFont val="Noto Sans CJK SC"/>
        <b/>
        <color rgb="FF000000"/>
        <sz val="9.0"/>
      </rPr>
      <t>내용</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</si>
  <si>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</si>
  <si>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맑은 고딕"/>
        <i/>
        <color rgb="FF7F7F7F"/>
        <sz val="8.0"/>
      </rPr>
      <t>[</t>
    </r>
    <r>
      <rPr>
        <rFont val="Noto Sans CJK SC"/>
        <i/>
        <color rgb="FF7F7F7F"/>
        <sz val="8.0"/>
      </rPr>
      <t xml:space="preserve">튜터 </t>
    </r>
    <r>
      <rPr>
        <rFont val="맑은 고딕"/>
        <i/>
        <color rgb="FF7F7F7F"/>
        <sz val="8.0"/>
      </rPr>
      <t xml:space="preserve">/ </t>
    </r>
    <r>
      <rPr>
        <rFont val="Noto Sans CJK SC"/>
        <i/>
        <color rgb="FF7F7F7F"/>
        <sz val="8.0"/>
      </rPr>
      <t xml:space="preserve">튜티 </t>
    </r>
    <r>
      <rPr>
        <rFont val="맑은 고딕"/>
        <i/>
        <color rgb="FF7F7F7F"/>
        <sz val="8.0"/>
      </rPr>
      <t xml:space="preserve">/ </t>
    </r>
    <r>
      <rPr>
        <rFont val="Noto Sans CJK SC"/>
        <i/>
        <color rgb="FF7F7F7F"/>
        <sz val="8.0"/>
      </rPr>
      <t xml:space="preserve">멘토 </t>
    </r>
    <r>
      <rPr>
        <rFont val="맑은 고딕"/>
        <i/>
        <color rgb="FF7F7F7F"/>
        <sz val="8.0"/>
      </rPr>
      <t xml:space="preserve">/ </t>
    </r>
    <r>
      <rPr>
        <rFont val="Noto Sans CJK SC"/>
        <i/>
        <color rgb="FF7F7F7F"/>
        <sz val="8.0"/>
      </rPr>
      <t xml:space="preserve">멘티 </t>
    </r>
    <r>
      <rPr>
        <rFont val="맑은 고딕"/>
        <i/>
        <color rgb="FF7F7F7F"/>
        <sz val="8.0"/>
      </rPr>
      <t xml:space="preserve">/ </t>
    </r>
    <r>
      <rPr>
        <rFont val="Noto Sans CJK SC"/>
        <i/>
        <color rgb="FF7F7F7F"/>
        <sz val="8.0"/>
      </rPr>
      <t xml:space="preserve">스터디 </t>
    </r>
    <r>
      <rPr>
        <rFont val="맑은 고딕"/>
        <i/>
        <color rgb="FF7F7F7F"/>
        <sz val="8.0"/>
      </rPr>
      <t xml:space="preserve">/ </t>
    </r>
    <r>
      <rPr>
        <rFont val="Noto Sans CJK SC"/>
        <i/>
        <color rgb="FF7F7F7F"/>
        <sz val="8.0"/>
      </rPr>
      <t>학습공동체</t>
    </r>
    <r>
      <rPr>
        <rFont val="맑은 고딕"/>
        <i/>
        <color rgb="FF7F7F7F"/>
        <sz val="8.0"/>
      </rPr>
      <t>]</t>
    </r>
  </si>
  <si>
    <t>공학수학 스터디</t>
  </si>
  <si>
    <t>참여</t>
  </si>
  <si>
    <r>
      <rPr>
        <rFont val="맑은 고딕"/>
        <b/>
        <color rgb="FF2F4A8A"/>
        <sz val="14.0"/>
      </rPr>
      <t>[</t>
    </r>
    <r>
      <rPr>
        <rFont val="Noto Sans CJK SC"/>
        <b/>
        <color rgb="FF2F4A8A"/>
        <sz val="14.0"/>
      </rPr>
      <t xml:space="preserve">샘플 </t>
    </r>
    <r>
      <rPr>
        <rFont val="맑은 고딕"/>
        <b/>
        <color rgb="FF2F4A8A"/>
        <sz val="14.0"/>
      </rPr>
      <t xml:space="preserve">S02] </t>
    </r>
    <r>
      <rPr>
        <rFont val="Noto Sans CJK SC"/>
        <b/>
        <color rgb="FF2F4A8A"/>
        <sz val="14.0"/>
      </rPr>
      <t xml:space="preserve">이서연 — 일부 누락형 </t>
    </r>
    <r>
      <rPr>
        <rFont val="맑은 고딕"/>
        <b/>
        <color rgb="FF2F4A8A"/>
        <sz val="14.0"/>
      </rPr>
      <t>(</t>
    </r>
    <r>
      <rPr>
        <rFont val="Noto Sans CJK SC"/>
        <b/>
        <color rgb="FF2F4A8A"/>
        <sz val="14.0"/>
      </rPr>
      <t>가상 데이터</t>
    </r>
    <r>
      <rPr>
        <rFont val="맑은 고딕"/>
        <b/>
        <color rgb="FF2F4A8A"/>
        <sz val="14.0"/>
      </rPr>
      <t>)</t>
    </r>
  </si>
  <si>
    <r>
      <rPr>
        <rFont val="Noto Sans CJK SC"/>
        <color rgb="FF595959"/>
        <sz val="9.0"/>
      </rPr>
      <t>평가 테스트 포인트</t>
    </r>
    <r>
      <rPr>
        <rFont val="맑은 고딕"/>
        <color rgb="FF595959"/>
        <sz val="9.0"/>
      </rPr>
      <t>: LMS·</t>
    </r>
    <r>
      <rPr>
        <rFont val="Noto Sans CJK SC"/>
        <color rgb="FF595959"/>
        <sz val="9.0"/>
      </rPr>
      <t>진단</t>
    </r>
    <r>
      <rPr>
        <rFont val="맑은 고딕"/>
        <color rgb="FF595959"/>
        <sz val="9.0"/>
      </rPr>
      <t>·</t>
    </r>
    <r>
      <rPr>
        <rFont val="Noto Sans CJK SC"/>
        <color rgb="FF595959"/>
        <sz val="9.0"/>
      </rPr>
      <t xml:space="preserve">동료평가 등 시스템 항목이 </t>
    </r>
    <r>
      <rPr>
        <rFont val="맑은 고딕"/>
        <color rgb="FF595959"/>
        <sz val="9.0"/>
      </rPr>
      <t>'</t>
    </r>
    <r>
      <rPr>
        <rFont val="Noto Sans CJK SC"/>
        <color rgb="FF595959"/>
        <sz val="9.0"/>
      </rPr>
      <t>미수집</t>
    </r>
    <r>
      <rPr>
        <rFont val="맑은 고딕"/>
        <color rgb="FF595959"/>
        <sz val="9.0"/>
      </rPr>
      <t xml:space="preserve">' + </t>
    </r>
    <r>
      <rPr>
        <rFont val="Noto Sans CJK SC"/>
        <color rgb="FF595959"/>
        <sz val="9.0"/>
      </rPr>
      <t xml:space="preserve">공학인증 </t>
    </r>
    <r>
      <rPr>
        <rFont val="맑은 고딕"/>
        <color rgb="FF595959"/>
        <sz val="9.0"/>
      </rPr>
      <t>'</t>
    </r>
    <r>
      <rPr>
        <rFont val="Noto Sans CJK SC"/>
        <color rgb="FF595959"/>
        <sz val="9.0"/>
      </rPr>
      <t>해당 없음</t>
    </r>
    <r>
      <rPr>
        <rFont val="맑은 고딕"/>
        <color rgb="FF595959"/>
        <sz val="9.0"/>
      </rPr>
      <t xml:space="preserve">' → </t>
    </r>
    <r>
      <rPr>
        <rFont val="Noto Sans CJK SC"/>
        <color rgb="FF595959"/>
        <sz val="9.0"/>
      </rPr>
      <t xml:space="preserve">미수집이 </t>
    </r>
    <r>
      <rPr>
        <rFont val="맑은 고딕"/>
        <color rgb="FF595959"/>
        <sz val="9.0"/>
      </rPr>
      <t>0</t>
    </r>
    <r>
      <rPr>
        <rFont val="Noto Sans CJK SC"/>
        <color rgb="FF595959"/>
        <sz val="9.0"/>
      </rPr>
      <t>점 처리되지 않는지</t>
    </r>
    <r>
      <rPr>
        <rFont val="맑은 고딕"/>
        <color rgb="FF595959"/>
        <sz val="9.0"/>
      </rPr>
      <t xml:space="preserve">, </t>
    </r>
    <r>
      <rPr>
        <rFont val="Noto Sans CJK SC"/>
        <color rgb="FF595959"/>
        <sz val="9.0"/>
      </rPr>
      <t>해당 역량 충족도가 낮아지는지 확인</t>
    </r>
  </si>
  <si>
    <r>
      <rPr>
        <rFont val="맑은 고딕"/>
        <color rgb="FF000000"/>
        <sz val="9.0"/>
      </rPr>
      <t xml:space="preserve">SKKU </t>
    </r>
    <r>
      <rPr>
        <rFont val="Noto Sans CJK SC"/>
        <color rgb="FF000000"/>
        <sz val="9.0"/>
      </rPr>
      <t>확보가능</t>
    </r>
  </si>
  <si>
    <r>
      <rPr>
        <rFont val="Noto Sans CJK SC"/>
        <color rgb="FF595959"/>
        <sz val="9.0"/>
      </rPr>
      <t>데이터 상태</t>
    </r>
    <r>
      <rPr>
        <rFont val="맑은 고딕"/>
        <color rgb="FF595959"/>
        <sz val="9.0"/>
      </rPr>
      <t xml:space="preserve">: </t>
    </r>
    <r>
      <rPr>
        <rFont val="Noto Sans CJK SC"/>
        <color rgb="FF595959"/>
        <sz val="9.0"/>
      </rPr>
      <t xml:space="preserve">값 있음 </t>
    </r>
    <r>
      <rPr>
        <rFont val="맑은 고딕"/>
        <color rgb="FF595959"/>
        <sz val="9.0"/>
      </rPr>
      <t xml:space="preserve">/ </t>
    </r>
    <r>
      <rPr>
        <rFont val="Noto Sans CJK SC"/>
        <color rgb="FF595959"/>
        <sz val="9.0"/>
      </rPr>
      <t>활동 없음</t>
    </r>
    <r>
      <rPr>
        <rFont val="맑은 고딕"/>
        <color rgb="FF595959"/>
        <sz val="9.0"/>
      </rPr>
      <t>(0</t>
    </r>
    <r>
      <rPr>
        <rFont val="Noto Sans CJK SC"/>
        <color rgb="FF595959"/>
        <sz val="9.0"/>
      </rPr>
      <t>점</t>
    </r>
    <r>
      <rPr>
        <rFont val="맑은 고딕"/>
        <color rgb="FF595959"/>
        <sz val="9.0"/>
      </rPr>
      <t xml:space="preserve">) / </t>
    </r>
    <r>
      <rPr>
        <rFont val="Noto Sans CJK SC"/>
        <color rgb="FF595959"/>
        <sz val="9.0"/>
      </rPr>
      <t>미수집</t>
    </r>
    <r>
      <rPr>
        <rFont val="맑은 고딕"/>
        <color rgb="FF595959"/>
        <sz val="9.0"/>
      </rPr>
      <t>(</t>
    </r>
    <r>
      <rPr>
        <rFont val="Noto Sans CJK SC"/>
        <color rgb="FF595959"/>
        <sz val="9.0"/>
      </rPr>
      <t>계산 제외</t>
    </r>
    <r>
      <rPr>
        <rFont val="맑은 고딕"/>
        <color rgb="FF595959"/>
        <sz val="9.0"/>
      </rPr>
      <t xml:space="preserve">) / </t>
    </r>
    <r>
      <rPr>
        <rFont val="Noto Sans CJK SC"/>
        <color rgb="FF595959"/>
        <sz val="9.0"/>
      </rPr>
      <t>해당 없음</t>
    </r>
    <r>
      <rPr>
        <rFont val="맑은 고딕"/>
        <color rgb="FF595959"/>
        <sz val="9.0"/>
      </rPr>
      <t>(</t>
    </r>
    <r>
      <rPr>
        <rFont val="Noto Sans CJK SC"/>
        <color rgb="FF595959"/>
        <sz val="9.0"/>
      </rPr>
      <t>불이익 없음</t>
    </r>
    <r>
      <rPr>
        <rFont val="맑은 고딕"/>
        <color rgb="FF595959"/>
        <sz val="9.0"/>
      </rPr>
      <t xml:space="preserve">) · </t>
    </r>
    <r>
      <rPr>
        <rFont val="Noto Sans CJK SC"/>
        <color rgb="FF595959"/>
        <sz val="9.0"/>
      </rPr>
      <t xml:space="preserve">상태 미선택 </t>
    </r>
    <r>
      <rPr>
        <rFont val="맑은 고딕"/>
        <color rgb="FF595959"/>
        <sz val="9.0"/>
      </rPr>
      <t xml:space="preserve">= </t>
    </r>
    <r>
      <rPr>
        <rFont val="Noto Sans CJK SC"/>
        <color rgb="FF595959"/>
        <sz val="9.0"/>
      </rPr>
      <t>미수집 간주</t>
    </r>
  </si>
  <si>
    <r>
      <rPr>
        <rFont val="Noto Sans CJK SC"/>
        <b/>
        <color rgb="FFFFFFFF"/>
        <sz val="11.0"/>
      </rPr>
      <t xml:space="preserve">■ 학생 기본정보  </t>
    </r>
    <r>
      <rPr>
        <rFont val="맑은 고딕"/>
        <b/>
        <color rgb="FFFFFFFF"/>
        <sz val="11.0"/>
      </rPr>
      <t>(</t>
    </r>
    <r>
      <rPr>
        <rFont val="Noto Sans CJK SC"/>
        <b/>
        <color rgb="FFFFFFFF"/>
        <sz val="11.0"/>
      </rPr>
      <t>학년 보정</t>
    </r>
    <r>
      <rPr>
        <rFont val="맑은 고딕"/>
        <b/>
        <color rgb="FFFFFFFF"/>
        <sz val="11.0"/>
      </rPr>
      <t>·</t>
    </r>
    <r>
      <rPr>
        <rFont val="Noto Sans CJK SC"/>
        <b/>
        <color rgb="FFFFFFFF"/>
        <sz val="11.0"/>
      </rPr>
      <t>학적 구분</t>
    </r>
    <r>
      <rPr>
        <rFont val="맑은 고딕"/>
        <b/>
        <color rgb="FFFFFFFF"/>
        <sz val="11.0"/>
      </rPr>
      <t>·</t>
    </r>
    <r>
      <rPr>
        <rFont val="Noto Sans CJK SC"/>
        <b/>
        <color rgb="FFFFFFFF"/>
        <sz val="11.0"/>
      </rPr>
      <t>전공 특수성 판단에 사용</t>
    </r>
    <r>
      <rPr>
        <rFont val="맑은 고딕"/>
        <b/>
        <color rgb="FFFFFFFF"/>
        <sz val="11.0"/>
      </rPr>
      <t>)</t>
    </r>
  </si>
  <si>
    <r>
      <rPr>
        <rFont val="Noto Sans CJK SC"/>
        <i/>
        <color rgb="FF7F7F7F"/>
        <sz val="8.0"/>
      </rPr>
      <t>출처</t>
    </r>
    <r>
      <rPr>
        <rFont val="맑은 고딕"/>
        <i/>
        <color rgb="FF7F7F7F"/>
        <sz val="8.0"/>
      </rPr>
      <t xml:space="preserve">: LMS(i-Campus)   |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커뮤니케이션</t>
    </r>
    <r>
      <rPr>
        <rFont val="맑은 고딕"/>
        <i/>
        <color rgb="FF7F7F7F"/>
        <sz val="8.0"/>
      </rPr>
      <t>(</t>
    </r>
    <r>
      <rPr>
        <rFont val="Noto Sans CJK SC"/>
        <i/>
        <color rgb="FF7F7F7F"/>
        <sz val="8.0"/>
      </rPr>
      <t>협업</t>
    </r>
    <r>
      <rPr>
        <rFont val="맑은 고딕"/>
        <i/>
        <color rgb="FF7F7F7F"/>
        <sz val="8.0"/>
      </rPr>
      <t xml:space="preserve">) / </t>
    </r>
    <r>
      <rPr>
        <rFont val="Noto Sans CJK SC"/>
        <i/>
        <color rgb="FF7F7F7F"/>
        <sz val="8.0"/>
      </rPr>
      <t xml:space="preserve">대인관계 </t>
    </r>
    <r>
      <rPr>
        <rFont val="맑은 고딕"/>
        <i/>
        <color rgb="FF7F7F7F"/>
        <sz val="8.0"/>
      </rPr>
      <t xml:space="preserve">/ </t>
    </r>
    <r>
      <rPr>
        <rFont val="Noto Sans CJK SC"/>
        <i/>
        <color rgb="FF7F7F7F"/>
        <sz val="8.0"/>
      </rPr>
      <t xml:space="preserve">리더십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대인관계 역량을 </t>
    </r>
    <r>
      <rPr>
        <rFont val="맑은 고딕"/>
        <i/>
        <color rgb="FF7F7F7F"/>
        <sz val="8.0"/>
      </rPr>
      <t>'</t>
    </r>
    <r>
      <rPr>
        <rFont val="Noto Sans CJK SC"/>
        <i/>
        <color rgb="FF7F7F7F"/>
        <sz val="8.0"/>
      </rPr>
      <t>활동 여부</t>
    </r>
    <r>
      <rPr>
        <rFont val="맑은 고딕"/>
        <i/>
        <color rgb="FF7F7F7F"/>
        <sz val="8.0"/>
      </rPr>
      <t>'</t>
    </r>
    <r>
      <rPr>
        <rFont val="Noto Sans CJK SC"/>
        <i/>
        <color rgb="FF7F7F7F"/>
        <sz val="8.0"/>
      </rPr>
      <t xml:space="preserve">가 아닌 </t>
    </r>
    <r>
      <rPr>
        <rFont val="맑은 고딕"/>
        <i/>
        <color rgb="FF7F7F7F"/>
        <sz val="8.0"/>
      </rPr>
      <t>'</t>
    </r>
    <r>
      <rPr>
        <rFont val="Noto Sans CJK SC"/>
        <i/>
        <color rgb="FF7F7F7F"/>
        <sz val="8.0"/>
      </rPr>
      <t>평판</t>
    </r>
    <r>
      <rPr>
        <rFont val="맑은 고딕"/>
        <i/>
        <color rgb="FF7F7F7F"/>
        <sz val="8.0"/>
      </rPr>
      <t>'</t>
    </r>
    <r>
      <rPr>
        <rFont val="Noto Sans CJK SC"/>
        <i/>
        <color rgb="FF7F7F7F"/>
        <sz val="8.0"/>
      </rPr>
      <t>으로 측정할 수 있는 유일한 근거</t>
    </r>
  </si>
  <si>
    <r>
      <rPr>
        <rFont val="Noto Sans CJK SC"/>
        <b/>
        <color rgb="FF000000"/>
        <sz val="9.0"/>
      </rPr>
      <t>평가 인원</t>
    </r>
    <r>
      <rPr>
        <rFont val="맑은 고딕"/>
        <b/>
        <color rgb="FF000000"/>
        <sz val="9.0"/>
      </rPr>
      <t>(</t>
    </r>
    <r>
      <rPr>
        <rFont val="Noto Sans CJK SC"/>
        <b/>
        <color rgb="FF000000"/>
        <sz val="9.0"/>
      </rPr>
      <t>명</t>
    </r>
    <r>
      <rPr>
        <rFont val="맑은 고딕"/>
        <b/>
        <color rgb="FF000000"/>
        <sz val="9.0"/>
      </rPr>
      <t>)</t>
    </r>
  </si>
  <si>
    <r>
      <rPr>
        <rFont val="맑은 고딕"/>
        <i/>
        <color rgb="FF7F7F7F"/>
        <sz val="8.0"/>
      </rPr>
      <t>YYYY-1 / YYYY-2 / YYYY-</t>
    </r>
    <r>
      <rPr>
        <rFont val="Noto Sans CJK SC"/>
        <i/>
        <color rgb="FF7F7F7F"/>
        <sz val="8.0"/>
      </rPr>
      <t xml:space="preserve">여름 </t>
    </r>
    <r>
      <rPr>
        <rFont val="맑은 고딕"/>
        <i/>
        <color rgb="FF7F7F7F"/>
        <sz val="8.0"/>
      </rPr>
      <t>/ YYYY-</t>
    </r>
    <r>
      <rPr>
        <rFont val="Noto Sans CJK SC"/>
        <i/>
        <color rgb="FF7F7F7F"/>
        <sz val="8.0"/>
      </rPr>
      <t>겨울</t>
    </r>
  </si>
  <si>
    <r>
      <rPr>
        <rFont val="Noto Sans CJK SC"/>
        <color rgb="FF1F3B8A"/>
        <sz val="10.0"/>
      </rPr>
      <t>기술 문제 해결 기여 큼</t>
    </r>
    <r>
      <rPr>
        <rFont val="맑은 고딕"/>
        <color rgb="FF1F3B8A"/>
        <sz val="10.0"/>
      </rPr>
      <t xml:space="preserve">, </t>
    </r>
    <r>
      <rPr>
        <rFont val="Noto Sans CJK SC"/>
        <color rgb="FF1F3B8A"/>
        <sz val="10.0"/>
      </rPr>
      <t>일정 공유는 보완 필요</t>
    </r>
  </si>
  <si>
    <r>
      <rPr>
        <rFont val="Noto Sans CJK SC"/>
        <color rgb="FF7F7F7F"/>
        <sz val="9.0"/>
      </rPr>
      <t xml:space="preserve">숫자 </t>
    </r>
    <r>
      <rPr>
        <rFont val="맑은 고딕"/>
        <color rgb="FF7F7F7F"/>
        <sz val="9.0"/>
      </rPr>
      <t>10</t>
    </r>
    <r>
      <rPr>
        <rFont val="Noto Sans CJK SC"/>
        <color rgb="FF7F7F7F"/>
        <sz val="9.0"/>
      </rPr>
      <t>자리</t>
    </r>
    <r>
      <rPr>
        <rFont val="맑은 고딕"/>
        <color rgb="FF7F7F7F"/>
        <sz val="9.0"/>
      </rPr>
      <t>(</t>
    </r>
    <r>
      <rPr>
        <rFont val="Noto Sans CJK SC"/>
        <color rgb="FF7F7F7F"/>
        <sz val="9.0"/>
      </rPr>
      <t>텍스트</t>
    </r>
    <r>
      <rPr>
        <rFont val="맑은 고딕"/>
        <color rgb="FF7F7F7F"/>
        <sz val="9.0"/>
      </rPr>
      <t>)</t>
    </r>
  </si>
  <si>
    <r>
      <rPr>
        <rFont val="Noto Sans CJK SC"/>
        <b/>
        <color rgb="FFFFFFFF"/>
        <sz val="11.0"/>
      </rPr>
      <t>■ 자격</t>
    </r>
    <r>
      <rPr>
        <rFont val="맑은 고딕"/>
        <b/>
        <color rgb="FFFFFFFF"/>
        <sz val="11.0"/>
      </rPr>
      <t>·</t>
    </r>
    <r>
      <rPr>
        <rFont val="Noto Sans CJK SC"/>
        <b/>
        <color rgb="FFFFFFFF"/>
        <sz val="11.0"/>
      </rPr>
      <t>인증</t>
    </r>
  </si>
  <si>
    <r>
      <rPr>
        <rFont val="Noto Sans CJK SC"/>
        <color rgb="FF7F7F7F"/>
        <sz val="9.0"/>
      </rPr>
      <t>예</t>
    </r>
    <r>
      <rPr>
        <rFont val="맑은 고딕"/>
        <color rgb="FF7F7F7F"/>
        <sz val="9.0"/>
      </rPr>
      <t xml:space="preserve">: </t>
    </r>
    <r>
      <rPr>
        <rFont val="Noto Sans CJK SC"/>
        <color rgb="FF7F7F7F"/>
        <sz val="9.0"/>
      </rPr>
      <t>공과대학</t>
    </r>
  </si>
  <si>
    <r>
      <rPr>
        <rFont val="Noto Sans CJK SC"/>
        <b/>
        <color rgb="FF000000"/>
        <sz val="11.0"/>
      </rPr>
      <t>자격증</t>
    </r>
    <r>
      <rPr>
        <rFont val="맑은 고딕"/>
        <b/>
        <color rgb="FF000000"/>
        <sz val="11.0"/>
      </rPr>
      <t>(</t>
    </r>
    <r>
      <rPr>
        <rFont val="Noto Sans CJK SC"/>
        <b/>
        <color rgb="FF000000"/>
        <sz val="11.0"/>
      </rPr>
      <t>어학</t>
    </r>
    <r>
      <rPr>
        <rFont val="맑은 고딕"/>
        <b/>
        <color rgb="FF000000"/>
        <sz val="11.0"/>
      </rPr>
      <t>)</t>
    </r>
  </si>
  <si>
    <r>
      <rPr>
        <rFont val="Noto Sans CJK SC"/>
        <b/>
        <color rgb="FF000000"/>
        <sz val="10.0"/>
      </rPr>
      <t>주전공</t>
    </r>
    <r>
      <rPr>
        <rFont val="맑은 고딕"/>
        <b/>
        <color rgb="FF000000"/>
        <sz val="10.0"/>
      </rPr>
      <t>(</t>
    </r>
    <r>
      <rPr>
        <rFont val="Noto Sans CJK SC"/>
        <b/>
        <color rgb="FF000000"/>
        <sz val="10.0"/>
      </rPr>
      <t>학과</t>
    </r>
    <r>
      <rPr>
        <rFont val="맑은 고딕"/>
        <b/>
        <color rgb="FF000000"/>
        <sz val="10.0"/>
      </rPr>
      <t>)</t>
    </r>
  </si>
  <si>
    <r>
      <rPr>
        <rFont val="Noto Sans CJK SC"/>
        <color rgb="FF7F7F7F"/>
        <sz val="9.0"/>
      </rPr>
      <t>예</t>
    </r>
    <r>
      <rPr>
        <rFont val="맑은 고딕"/>
        <color rgb="FF7F7F7F"/>
        <sz val="9.0"/>
      </rPr>
      <t xml:space="preserve">: </t>
    </r>
    <r>
      <rPr>
        <rFont val="Noto Sans CJK SC"/>
        <color rgb="FF7F7F7F"/>
        <sz val="9.0"/>
      </rPr>
      <t>기계공학부</t>
    </r>
  </si>
  <si>
    <r>
      <rPr>
        <rFont val="Noto Sans CJK SC"/>
        <color rgb="FF7F7F7F"/>
        <sz val="9.0"/>
      </rPr>
      <t xml:space="preserve">숫자 </t>
    </r>
    <r>
      <rPr>
        <rFont val="맑은 고딕"/>
        <color rgb="FF7F7F7F"/>
        <sz val="9.0"/>
      </rPr>
      <t>1~6</t>
    </r>
  </si>
  <si>
    <r>
      <rPr>
        <rFont val="Noto Sans CJK SC"/>
        <color rgb="FF7F7F7F"/>
        <sz val="9.0"/>
      </rPr>
      <t>학사시스템 기준 현재 학년</t>
    </r>
    <r>
      <rPr>
        <rFont val="맑은 고딕"/>
        <color rgb="FF7F7F7F"/>
        <sz val="9.0"/>
      </rPr>
      <t>(</t>
    </r>
    <r>
      <rPr>
        <rFont val="Noto Sans CJK SC"/>
        <color rgb="FF7F7F7F"/>
        <sz val="9.0"/>
      </rPr>
      <t>숫자만</t>
    </r>
    <r>
      <rPr>
        <rFont val="맑은 고딕"/>
        <color rgb="FF7F7F7F"/>
        <sz val="9.0"/>
      </rPr>
      <t>)</t>
    </r>
  </si>
  <si>
    <r>
      <rPr>
        <rFont val="Noto Sans CJK SC"/>
        <color rgb="FF7F7F7F"/>
        <sz val="9.0"/>
      </rPr>
      <t>휴학 학기 제외</t>
    </r>
    <r>
      <rPr>
        <rFont val="맑은 고딕"/>
        <color rgb="FF7F7F7F"/>
        <sz val="9.0"/>
      </rPr>
      <t xml:space="preserve">, </t>
    </r>
    <r>
      <rPr>
        <rFont val="Noto Sans CJK SC"/>
        <color rgb="FF7F7F7F"/>
        <sz val="9.0"/>
      </rPr>
      <t>본교 기준</t>
    </r>
    <r>
      <rPr>
        <rFont val="맑은 고딕"/>
        <color rgb="FF7F7F7F"/>
        <sz val="9.0"/>
      </rPr>
      <t xml:space="preserve">. </t>
    </r>
    <r>
      <rPr>
        <rFont val="Noto Sans CJK SC"/>
        <color rgb="FF7F7F7F"/>
        <sz val="9.0"/>
      </rPr>
      <t>학년 보정에 사용</t>
    </r>
  </si>
  <si>
    <r>
      <rPr>
        <rFont val="Noto Sans CJK SC"/>
        <color rgb="FF7F7F7F"/>
        <sz val="9.0"/>
      </rPr>
      <t>예</t>
    </r>
    <r>
      <rPr>
        <rFont val="맑은 고딕"/>
        <color rgb="FF7F7F7F"/>
        <sz val="9.0"/>
      </rPr>
      <t>: 2023-03</t>
    </r>
  </si>
  <si>
    <r>
      <rPr>
        <rFont val="Noto Sans CJK SC"/>
        <i/>
        <color rgb="FF7F7F7F"/>
        <sz val="8.0"/>
      </rPr>
      <t>출처</t>
    </r>
    <r>
      <rPr>
        <rFont val="맑은 고딕"/>
        <i/>
        <color rgb="FF7F7F7F"/>
        <sz val="8.0"/>
      </rPr>
      <t xml:space="preserve">: </t>
    </r>
    <r>
      <rPr>
        <rFont val="Noto Sans CJK SC"/>
        <i/>
        <color rgb="FF7F7F7F"/>
        <sz val="8.0"/>
      </rPr>
      <t>학생 등록</t>
    </r>
    <r>
      <rPr>
        <rFont val="맑은 고딕"/>
        <i/>
        <color rgb="FF7F7F7F"/>
        <sz val="8.0"/>
      </rPr>
      <t>(</t>
    </r>
    <r>
      <rPr>
        <rFont val="Noto Sans CJK SC"/>
        <i/>
        <color rgb="FF7F7F7F"/>
        <sz val="8.0"/>
      </rPr>
      <t>성적표</t>
    </r>
    <r>
      <rPr>
        <rFont val="맑은 고딕"/>
        <i/>
        <color rgb="FF7F7F7F"/>
        <sz val="8.0"/>
      </rPr>
      <t>) · 3</t>
    </r>
    <r>
      <rPr>
        <rFont val="Noto Sans CJK SC"/>
        <i/>
        <color rgb="FF7F7F7F"/>
        <sz val="8.0"/>
      </rPr>
      <t>품</t>
    </r>
    <r>
      <rPr>
        <rFont val="맑은 고딕"/>
        <i/>
        <color rgb="FF7F7F7F"/>
        <sz val="8.0"/>
      </rPr>
      <t>(</t>
    </r>
    <r>
      <rPr>
        <rFont val="Noto Sans CJK SC"/>
        <i/>
        <color rgb="FF7F7F7F"/>
        <sz val="8.0"/>
      </rPr>
      <t>글로벌</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글로벌</t>
    </r>
    <r>
      <rPr>
        <rFont val="맑은 고딕"/>
        <i/>
        <color rgb="FF7F7F7F"/>
        <sz val="8.0"/>
      </rPr>
      <t>(</t>
    </r>
    <r>
      <rPr>
        <rFont val="Noto Sans CJK SC"/>
        <i/>
        <color rgb="FF7F7F7F"/>
        <sz val="8.0"/>
      </rPr>
      <t>언어 사용능력</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시험별 공통 척도 환산표 필요</t>
    </r>
  </si>
  <si>
    <t>N</t>
  </si>
  <si>
    <r>
      <rPr>
        <rFont val="Noto Sans CJK SC"/>
        <b/>
        <color rgb="FF000000"/>
        <sz val="9.0"/>
      </rPr>
      <t>등급</t>
    </r>
    <r>
      <rPr>
        <rFont val="맑은 고딕"/>
        <b/>
        <color rgb="FF000000"/>
        <sz val="9.0"/>
      </rPr>
      <t>·</t>
    </r>
    <r>
      <rPr>
        <rFont val="Noto Sans CJK SC"/>
        <b/>
        <color rgb="FF000000"/>
        <sz val="9.0"/>
      </rPr>
      <t>레벨</t>
    </r>
  </si>
  <si>
    <r>
      <rPr>
        <rFont val="맑은 고딕"/>
        <color rgb="FF7F7F7F"/>
        <sz val="9.0"/>
      </rPr>
      <t>N</t>
    </r>
    <r>
      <rPr>
        <rFont val="Noto Sans CJK SC"/>
        <color rgb="FF7F7F7F"/>
        <sz val="9.0"/>
      </rPr>
      <t xml:space="preserve">이면 </t>
    </r>
    <r>
      <rPr>
        <rFont val="맑은 고딕"/>
        <color rgb="FF7F7F7F"/>
        <sz val="9.0"/>
      </rPr>
      <t>4</t>
    </r>
    <r>
      <rPr>
        <rFont val="Noto Sans CJK SC"/>
        <color rgb="FF7F7F7F"/>
        <sz val="9.0"/>
      </rPr>
      <t xml:space="preserve">번 카테고리는 </t>
    </r>
    <r>
      <rPr>
        <rFont val="맑은 고딕"/>
        <color rgb="FF7F7F7F"/>
        <sz val="9.0"/>
      </rPr>
      <t>'</t>
    </r>
    <r>
      <rPr>
        <rFont val="Noto Sans CJK SC"/>
        <color rgb="FF7F7F7F"/>
        <sz val="9.0"/>
      </rPr>
      <t>해당 없음</t>
    </r>
    <r>
      <rPr>
        <rFont val="맑은 고딕"/>
        <color rgb="FF7F7F7F"/>
        <sz val="9.0"/>
      </rPr>
      <t>'</t>
    </r>
  </si>
  <si>
    <r>
      <rPr>
        <rFont val="맑은 고딕"/>
        <i/>
        <color rgb="FF7F7F7F"/>
        <sz val="8.0"/>
      </rPr>
      <t xml:space="preserve">[TOEIC / TOEFL iBT / TOEIC Speaking / OPIc / HSK / JPT / JLPT / DELF/DALF / DELE / </t>
    </r>
    <r>
      <rPr>
        <rFont val="Noto Sans CJK SC"/>
        <i/>
        <color rgb="FF7F7F7F"/>
        <sz val="8.0"/>
      </rPr>
      <t>기타</t>
    </r>
    <r>
      <rPr>
        <rFont val="맑은 고딕"/>
        <i/>
        <color rgb="FF7F7F7F"/>
        <sz val="8.0"/>
      </rPr>
      <t>]</t>
    </r>
  </si>
  <si>
    <r>
      <rPr>
        <rFont val="Noto Sans CJK SC"/>
        <color rgb="FF7F7F7F"/>
        <sz val="9.0"/>
      </rPr>
      <t>데이터 추출</t>
    </r>
    <r>
      <rPr>
        <rFont val="맑은 고딕"/>
        <color rgb="FF7F7F7F"/>
        <sz val="9.0"/>
      </rPr>
      <t>(</t>
    </r>
    <r>
      <rPr>
        <rFont val="Noto Sans CJK SC"/>
        <color rgb="FF7F7F7F"/>
        <sz val="9.0"/>
      </rPr>
      <t>또는 제출</t>
    </r>
    <r>
      <rPr>
        <rFont val="맑은 고딕"/>
        <color rgb="FF7F7F7F"/>
        <sz val="9.0"/>
      </rPr>
      <t xml:space="preserve">) </t>
    </r>
    <r>
      <rPr>
        <rFont val="Noto Sans CJK SC"/>
        <color rgb="FF7F7F7F"/>
        <sz val="9.0"/>
      </rPr>
      <t>기준일</t>
    </r>
  </si>
  <si>
    <r>
      <rPr>
        <rFont val="Noto Sans CJK SC"/>
        <i/>
        <color rgb="FF7F7F7F"/>
        <sz val="8.0"/>
      </rPr>
      <t>예</t>
    </r>
    <r>
      <rPr>
        <rFont val="맑은 고딕"/>
        <i/>
        <color rgb="FF7F7F7F"/>
        <sz val="8.0"/>
      </rPr>
      <t>: IH, N1, 5</t>
    </r>
    <r>
      <rPr>
        <rFont val="Noto Sans CJK SC"/>
        <i/>
        <color rgb="FF7F7F7F"/>
        <sz val="8.0"/>
      </rPr>
      <t>급</t>
    </r>
  </si>
  <si>
    <r>
      <rPr>
        <rFont val="Noto Sans CJK SC"/>
        <b/>
        <color rgb="FF000000"/>
        <sz val="10.0"/>
      </rPr>
      <t>개인정보 수집</t>
    </r>
    <r>
      <rPr>
        <rFont val="맑은 고딕"/>
        <b/>
        <color rgb="FF000000"/>
        <sz val="10.0"/>
      </rPr>
      <t>·</t>
    </r>
    <r>
      <rPr>
        <rFont val="Noto Sans CJK SC"/>
        <b/>
        <color rgb="FF000000"/>
        <sz val="10.0"/>
      </rPr>
      <t>이용 동의</t>
    </r>
  </si>
  <si>
    <t>2025-07-27</t>
  </si>
  <si>
    <t>2027-07-27</t>
  </si>
  <si>
    <r>
      <rPr>
        <rFont val="맑은 고딕"/>
        <color rgb="FF7F7F7F"/>
        <sz val="9.0"/>
      </rPr>
      <t>N</t>
    </r>
    <r>
      <rPr>
        <rFont val="Noto Sans CJK SC"/>
        <color rgb="FF7F7F7F"/>
        <sz val="9.0"/>
      </rPr>
      <t>이면 평가 대상에서 제외</t>
    </r>
  </si>
  <si>
    <r>
      <rPr>
        <rFont val="Noto Sans CJK SC"/>
        <b/>
        <color rgb="FFFFFFFF"/>
        <sz val="11.0"/>
      </rPr>
      <t>■ 학업</t>
    </r>
    <r>
      <rPr>
        <rFont val="맑은 고딕"/>
        <b/>
        <color rgb="FFFFFFFF"/>
        <sz val="11.0"/>
      </rPr>
      <t>·</t>
    </r>
    <r>
      <rPr>
        <rFont val="Noto Sans CJK SC"/>
        <b/>
        <color rgb="FFFFFFFF"/>
        <sz val="11.0"/>
      </rPr>
      <t>교과</t>
    </r>
  </si>
  <si>
    <r>
      <rPr>
        <rFont val="Noto Sans CJK SC"/>
        <b/>
        <color rgb="FF000000"/>
        <sz val="11.0"/>
      </rPr>
      <t>성적데이터</t>
    </r>
    <r>
      <rPr>
        <rFont val="맑은 고딕"/>
        <b/>
        <color rgb="FF000000"/>
        <sz val="11.0"/>
      </rPr>
      <t>(</t>
    </r>
    <r>
      <rPr>
        <rFont val="Noto Sans CJK SC"/>
        <b/>
        <color rgb="FF000000"/>
        <sz val="11.0"/>
      </rPr>
      <t>전공</t>
    </r>
    <r>
      <rPr>
        <rFont val="맑은 고딕"/>
        <b/>
        <color rgb="FF000000"/>
        <sz val="11.0"/>
      </rPr>
      <t>·</t>
    </r>
    <r>
      <rPr>
        <rFont val="Noto Sans CJK SC"/>
        <b/>
        <color rgb="FF000000"/>
        <sz val="11.0"/>
      </rPr>
      <t>학기별</t>
    </r>
    <r>
      <rPr>
        <rFont val="맑은 고딕"/>
        <b/>
        <color rgb="FF000000"/>
        <sz val="11.0"/>
      </rPr>
      <t>)</t>
    </r>
  </si>
  <si>
    <r>
      <rPr>
        <rFont val="Noto Sans CJK SC"/>
        <b/>
        <color rgb="FF000000"/>
        <sz val="11.0"/>
      </rPr>
      <t>자격증</t>
    </r>
    <r>
      <rPr>
        <rFont val="맑은 고딕"/>
        <b/>
        <color rgb="FF000000"/>
        <sz val="11.0"/>
      </rPr>
      <t>(</t>
    </r>
    <r>
      <rPr>
        <rFont val="Noto Sans CJK SC"/>
        <b/>
        <color rgb="FF000000"/>
        <sz val="11.0"/>
      </rPr>
      <t>기타</t>
    </r>
    <r>
      <rPr>
        <rFont val="맑은 고딕"/>
        <b/>
        <color rgb="FF000000"/>
        <sz val="11.0"/>
      </rPr>
      <t>/</t>
    </r>
    <r>
      <rPr>
        <rFont val="Noto Sans CJK SC"/>
        <b/>
        <color rgb="FF000000"/>
        <sz val="11.0"/>
      </rPr>
      <t>전공</t>
    </r>
    <r>
      <rPr>
        <rFont val="맑은 고딕"/>
        <b/>
        <color rgb="FF000000"/>
        <sz val="11.0"/>
      </rPr>
      <t>)</t>
    </r>
  </si>
  <si>
    <r>
      <rPr>
        <rFont val="Noto Sans CJK SC"/>
        <i/>
        <color rgb="FF7F7F7F"/>
        <sz val="8.0"/>
      </rPr>
      <t>출처</t>
    </r>
    <r>
      <rPr>
        <rFont val="맑은 고딕"/>
        <i/>
        <color rgb="FF7F7F7F"/>
        <sz val="8.0"/>
      </rPr>
      <t xml:space="preserve">: </t>
    </r>
    <r>
      <rPr>
        <rFont val="Noto Sans CJK SC"/>
        <i/>
        <color rgb="FF7F7F7F"/>
        <sz val="8.0"/>
      </rPr>
      <t xml:space="preserve">학생 등록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 xml:space="preserve">-IT </t>
    </r>
    <r>
      <rPr>
        <rFont val="Noto Sans CJK SC"/>
        <i/>
        <color rgb="FF7F7F7F"/>
        <sz val="8.0"/>
      </rPr>
      <t>활용</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자원</t>
    </r>
    <r>
      <rPr>
        <rFont val="맑은 고딕"/>
        <i/>
        <color rgb="FF7F7F7F"/>
        <sz val="8.0"/>
      </rPr>
      <t>·</t>
    </r>
    <r>
      <rPr>
        <rFont val="Noto Sans CJK SC"/>
        <i/>
        <color rgb="FF7F7F7F"/>
        <sz val="8.0"/>
      </rPr>
      <t xml:space="preserve">정보기술활용 </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 xml:space="preserve">디지털리터러시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자격증별 </t>
    </r>
    <r>
      <rPr>
        <rFont val="맑은 고딕"/>
        <i/>
        <color rgb="FF7F7F7F"/>
        <sz val="8.0"/>
      </rPr>
      <t>'</t>
    </r>
    <r>
      <rPr>
        <rFont val="Noto Sans CJK SC"/>
        <i/>
        <color rgb="FF7F7F7F"/>
        <sz val="8.0"/>
      </rPr>
      <t>등급</t>
    </r>
    <r>
      <rPr>
        <rFont val="맑은 고딕"/>
        <i/>
        <color rgb="FF7F7F7F"/>
        <sz val="8.0"/>
      </rPr>
      <t>·</t>
    </r>
    <r>
      <rPr>
        <rFont val="Noto Sans CJK SC"/>
        <i/>
        <color rgb="FF7F7F7F"/>
        <sz val="8.0"/>
      </rPr>
      <t>난이도</t>
    </r>
    <r>
      <rPr>
        <rFont val="맑은 고딕"/>
        <i/>
        <color rgb="FF7F7F7F"/>
        <sz val="8.0"/>
      </rPr>
      <t xml:space="preserve">' </t>
    </r>
    <r>
      <rPr>
        <rFont val="Noto Sans CJK SC"/>
        <i/>
        <color rgb="FF7F7F7F"/>
        <sz val="8.0"/>
      </rPr>
      <t>매핑표 필요</t>
    </r>
  </si>
  <si>
    <r>
      <rPr>
        <rFont val="Noto Sans CJK SC"/>
        <i/>
        <color rgb="FF7F7F7F"/>
        <sz val="8.0"/>
      </rPr>
      <t>출처</t>
    </r>
    <r>
      <rPr>
        <rFont val="맑은 고딕"/>
        <i/>
        <color rgb="FF7F7F7F"/>
        <sz val="8.0"/>
      </rPr>
      <t xml:space="preserve">: </t>
    </r>
    <r>
      <rPr>
        <rFont val="Noto Sans CJK SC"/>
        <i/>
        <color rgb="FF7F7F7F"/>
        <sz val="8.0"/>
      </rPr>
      <t>학사시스템</t>
    </r>
    <r>
      <rPr>
        <rFont val="맑은 고딕"/>
        <i/>
        <color rgb="FF7F7F7F"/>
        <sz val="8.0"/>
      </rPr>
      <t>(</t>
    </r>
    <r>
      <rPr>
        <rFont val="Noto Sans CJK SC"/>
        <i/>
        <color rgb="FF7F7F7F"/>
        <sz val="8.0"/>
      </rPr>
      <t>성적</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학업성취 </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xml:space="preserve">: [C] </t>
    </r>
    <r>
      <rPr>
        <rFont val="Noto Sans CJK SC"/>
        <i/>
        <color rgb="FF7F7F7F"/>
        <sz val="8.0"/>
      </rPr>
      <t>전공별</t>
    </r>
    <r>
      <rPr>
        <rFont val="맑은 고딕"/>
        <i/>
        <color rgb="FF7F7F7F"/>
        <sz val="8.0"/>
      </rPr>
      <t>·</t>
    </r>
    <r>
      <rPr>
        <rFont val="Noto Sans CJK SC"/>
        <i/>
        <color rgb="FF7F7F7F"/>
        <sz val="8.0"/>
      </rPr>
      <t>학기별 성적 통합</t>
    </r>
    <r>
      <rPr>
        <rFont val="맑은 고딕"/>
        <i/>
        <color rgb="FF7F7F7F"/>
        <sz val="8.0"/>
      </rPr>
      <t xml:space="preserve">. </t>
    </r>
    <r>
      <rPr>
        <rFont val="Noto Sans CJK SC"/>
        <i/>
        <color rgb="FF7F7F7F"/>
        <sz val="8.0"/>
      </rPr>
      <t xml:space="preserve">학기별 추이로 </t>
    </r>
    <r>
      <rPr>
        <rFont val="맑은 고딕"/>
        <i/>
        <color rgb="FF7F7F7F"/>
        <sz val="8.0"/>
      </rPr>
      <t>'</t>
    </r>
    <r>
      <rPr>
        <rFont val="Noto Sans CJK SC"/>
        <i/>
        <color rgb="FF7F7F7F"/>
        <sz val="8.0"/>
      </rPr>
      <t>성장</t>
    </r>
    <r>
      <rPr>
        <rFont val="맑은 고딕"/>
        <i/>
        <color rgb="FF7F7F7F"/>
        <sz val="8.0"/>
      </rPr>
      <t xml:space="preserve">' </t>
    </r>
    <r>
      <rPr>
        <rFont val="Noto Sans CJK SC"/>
        <i/>
        <color rgb="FF7F7F7F"/>
        <sz val="8.0"/>
      </rPr>
      <t>지표 추가 가능</t>
    </r>
  </si>
  <si>
    <r>
      <rPr>
        <rFont val="Noto Sans CJK SC"/>
        <b/>
        <color rgb="FF000000"/>
        <sz val="10.0"/>
      </rPr>
      <t>전체 평점</t>
    </r>
    <r>
      <rPr>
        <rFont val="맑은 고딕"/>
        <b/>
        <color rgb="FF000000"/>
        <sz val="10.0"/>
      </rPr>
      <t>(</t>
    </r>
    <r>
      <rPr>
        <rFont val="Noto Sans CJK SC"/>
        <b/>
        <color rgb="FF000000"/>
        <sz val="10.0"/>
      </rPr>
      <t>누적</t>
    </r>
    <r>
      <rPr>
        <rFont val="맑은 고딕"/>
        <b/>
        <color rgb="FF000000"/>
        <sz val="10.0"/>
      </rPr>
      <t>)</t>
    </r>
  </si>
  <si>
    <r>
      <rPr>
        <rFont val="Noto Sans CJK SC"/>
        <b/>
        <color rgb="FF000000"/>
        <sz val="9.0"/>
      </rPr>
      <t>등급</t>
    </r>
    <r>
      <rPr>
        <rFont val="맑은 고딕"/>
        <b/>
        <color rgb="FF000000"/>
        <sz val="9.0"/>
      </rPr>
      <t>·</t>
    </r>
    <r>
      <rPr>
        <rFont val="Noto Sans CJK SC"/>
        <b/>
        <color rgb="FF000000"/>
        <sz val="9.0"/>
      </rPr>
      <t>급수</t>
    </r>
  </si>
  <si>
    <r>
      <rPr>
        <rFont val="Noto Sans CJK SC"/>
        <color rgb="FF7F7F7F"/>
        <sz val="9.0"/>
      </rPr>
      <t>숫자</t>
    </r>
    <r>
      <rPr>
        <rFont val="맑은 고딕"/>
        <color rgb="FF7F7F7F"/>
        <sz val="9.0"/>
      </rPr>
      <t>(</t>
    </r>
    <r>
      <rPr>
        <rFont val="Noto Sans CJK SC"/>
        <color rgb="FF7F7F7F"/>
        <sz val="9.0"/>
      </rPr>
      <t xml:space="preserve">소수 </t>
    </r>
    <r>
      <rPr>
        <rFont val="맑은 고딕"/>
        <color rgb="FF7F7F7F"/>
        <sz val="9.0"/>
      </rPr>
      <t>2</t>
    </r>
    <r>
      <rPr>
        <rFont val="Noto Sans CJK SC"/>
        <color rgb="FF7F7F7F"/>
        <sz val="9.0"/>
      </rPr>
      <t>자리</t>
    </r>
    <r>
      <rPr>
        <rFont val="맑은 고딕"/>
        <color rgb="FF7F7F7F"/>
        <sz val="9.0"/>
      </rPr>
      <t>)</t>
    </r>
  </si>
  <si>
    <t>일반기계기사</t>
  </si>
  <si>
    <r>
      <rPr>
        <rFont val="Noto Sans CJK SC"/>
        <color rgb="FF7F7F7F"/>
        <sz val="9.0"/>
      </rPr>
      <t>예</t>
    </r>
    <r>
      <rPr>
        <rFont val="맑은 고딕"/>
        <color rgb="FF7F7F7F"/>
        <sz val="9.0"/>
      </rPr>
      <t>: 3.85</t>
    </r>
  </si>
  <si>
    <t>필기 합격</t>
  </si>
  <si>
    <t>한국산업인력공단</t>
  </si>
  <si>
    <t>2026-05-20</t>
  </si>
  <si>
    <r>
      <rPr>
        <rFont val="Noto Sans CJK SC"/>
        <b/>
        <color rgb="FF000000"/>
        <sz val="10.0"/>
      </rPr>
      <t>전공 평점</t>
    </r>
    <r>
      <rPr>
        <rFont val="맑은 고딕"/>
        <b/>
        <color rgb="FF000000"/>
        <sz val="10.0"/>
      </rPr>
      <t>(</t>
    </r>
    <r>
      <rPr>
        <rFont val="Noto Sans CJK SC"/>
        <b/>
        <color rgb="FF000000"/>
        <sz val="10.0"/>
      </rPr>
      <t>누적</t>
    </r>
    <r>
      <rPr>
        <rFont val="맑은 고딕"/>
        <b/>
        <color rgb="FF000000"/>
        <sz val="10.0"/>
      </rPr>
      <t>)</t>
    </r>
  </si>
  <si>
    <r>
      <rPr>
        <rFont val="맑은 고딕"/>
        <color rgb="FF1F3B8A"/>
        <sz val="10.0"/>
      </rPr>
      <t>2</t>
    </r>
    <r>
      <rPr>
        <rFont val="Noto Sans CJK SC"/>
        <color rgb="FF1F3B8A"/>
        <sz val="10.0"/>
      </rPr>
      <t>급</t>
    </r>
  </si>
  <si>
    <r>
      <rPr>
        <rFont val="Noto Sans CJK SC"/>
        <color rgb="FF7F7F7F"/>
        <sz val="9.0"/>
      </rPr>
      <t>숫자</t>
    </r>
    <r>
      <rPr>
        <rFont val="맑은 고딕"/>
        <color rgb="FF7F7F7F"/>
        <sz val="9.0"/>
      </rPr>
      <t>(</t>
    </r>
    <r>
      <rPr>
        <rFont val="Noto Sans CJK SC"/>
        <color rgb="FF7F7F7F"/>
        <sz val="9.0"/>
      </rPr>
      <t xml:space="preserve">소수 </t>
    </r>
    <r>
      <rPr>
        <rFont val="맑은 고딕"/>
        <color rgb="FF7F7F7F"/>
        <sz val="9.0"/>
      </rPr>
      <t>2</t>
    </r>
    <r>
      <rPr>
        <rFont val="Noto Sans CJK SC"/>
        <color rgb="FF7F7F7F"/>
        <sz val="9.0"/>
      </rPr>
      <t>자리</t>
    </r>
    <r>
      <rPr>
        <rFont val="맑은 고딕"/>
        <color rgb="FF7F7F7F"/>
        <sz val="9.0"/>
      </rPr>
      <t>)</t>
    </r>
  </si>
  <si>
    <t>2023-11-10</t>
  </si>
  <si>
    <r>
      <rPr>
        <rFont val="Noto Sans CJK SC"/>
        <color rgb="FF7F7F7F"/>
        <sz val="9.0"/>
      </rPr>
      <t>예</t>
    </r>
    <r>
      <rPr>
        <rFont val="맑은 고딕"/>
        <color rgb="FF7F7F7F"/>
        <sz val="9.0"/>
      </rPr>
      <t>: 3.92</t>
    </r>
  </si>
  <si>
    <r>
      <rPr>
        <rFont val="Noto Sans CJK SC"/>
        <color rgb="FF7F7F7F"/>
        <sz val="9.0"/>
      </rPr>
      <t xml:space="preserve">성균관대 </t>
    </r>
    <r>
      <rPr>
        <rFont val="맑은 고딕"/>
        <color rgb="FF7F7F7F"/>
        <sz val="9.0"/>
      </rPr>
      <t>4.5</t>
    </r>
  </si>
  <si>
    <r>
      <rPr>
        <rFont val="Noto Sans CJK SC"/>
        <b/>
        <color rgb="FF000000"/>
        <sz val="11.0"/>
      </rPr>
      <t>전문직</t>
    </r>
    <r>
      <rPr>
        <rFont val="맑은 고딕"/>
        <b/>
        <color rgb="FF000000"/>
        <sz val="11.0"/>
      </rPr>
      <t>·</t>
    </r>
    <r>
      <rPr>
        <rFont val="Noto Sans CJK SC"/>
        <b/>
        <color rgb="FF000000"/>
        <sz val="11.0"/>
      </rPr>
      <t>공직 시험</t>
    </r>
  </si>
  <si>
    <r>
      <rPr>
        <rFont val="맑은 고딕"/>
        <i/>
        <color rgb="FF7F7F7F"/>
        <sz val="8.0"/>
      </rPr>
      <t>YYYY-1 / YYYY-2 / YYYY-</t>
    </r>
    <r>
      <rPr>
        <rFont val="Noto Sans CJK SC"/>
        <i/>
        <color rgb="FF7F7F7F"/>
        <sz val="8.0"/>
      </rPr>
      <t xml:space="preserve">여름 </t>
    </r>
    <r>
      <rPr>
        <rFont val="맑은 고딕"/>
        <i/>
        <color rgb="FF7F7F7F"/>
        <sz val="8.0"/>
      </rPr>
      <t>/ YYYY-</t>
    </r>
    <r>
      <rPr>
        <rFont val="Noto Sans CJK SC"/>
        <i/>
        <color rgb="FF7F7F7F"/>
        <sz val="8.0"/>
      </rPr>
      <t>겨울</t>
    </r>
  </si>
  <si>
    <r>
      <rPr>
        <rFont val="Noto Sans CJK SC"/>
        <i/>
        <color rgb="FF7F7F7F"/>
        <sz val="8.0"/>
      </rPr>
      <t>휴학</t>
    </r>
    <r>
      <rPr>
        <rFont val="맑은 고딕"/>
        <i/>
        <color rgb="FF7F7F7F"/>
        <sz val="8.0"/>
      </rPr>
      <t>·</t>
    </r>
    <r>
      <rPr>
        <rFont val="Noto Sans CJK SC"/>
        <i/>
        <color rgb="FF7F7F7F"/>
        <sz val="8.0"/>
      </rPr>
      <t>계절 등</t>
    </r>
  </si>
  <si>
    <r>
      <rPr>
        <rFont val="Noto Sans CJK SC"/>
        <i/>
        <color rgb="FF7F7F7F"/>
        <sz val="8.0"/>
      </rPr>
      <t>출처</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t>
    </r>
    <r>
      <rPr>
        <rFont val="Noto Sans CJK SC"/>
        <i/>
        <color rgb="FF7F7F7F"/>
        <sz val="8.0"/>
      </rPr>
      <t>진로개발</t>
    </r>
    <r>
      <rPr>
        <rFont val="맑은 고딕"/>
        <i/>
        <color rgb="FF7F7F7F"/>
        <sz val="8.0"/>
      </rPr>
      <t xml:space="preserve">) </t>
    </r>
    <r>
      <rPr>
        <rFont val="Noto Sans CJK SC"/>
        <i/>
        <color rgb="FF7F7F7F"/>
        <sz val="8.0"/>
      </rPr>
      <t xml:space="preserve">인증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 xml:space="preserve">도전정신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단계</t>
    </r>
    <r>
      <rPr>
        <rFont val="맑은 고딕"/>
        <i/>
        <color rgb="FF7F7F7F"/>
        <sz val="8.0"/>
      </rPr>
      <t>(1</t>
    </r>
    <r>
      <rPr>
        <rFont val="Noto Sans CJK SC"/>
        <i/>
        <color rgb="FF7F7F7F"/>
        <sz val="8.0"/>
      </rPr>
      <t>차</t>
    </r>
    <r>
      <rPr>
        <rFont val="맑은 고딕"/>
        <i/>
        <color rgb="FF7F7F7F"/>
        <sz val="8.0"/>
      </rPr>
      <t>·</t>
    </r>
    <r>
      <rPr>
        <rFont val="Noto Sans CJK SC"/>
        <i/>
        <color rgb="FF7F7F7F"/>
        <sz val="8.0"/>
      </rPr>
      <t>최종</t>
    </r>
    <r>
      <rPr>
        <rFont val="맑은 고딕"/>
        <i/>
        <color rgb="FF7F7F7F"/>
        <sz val="8.0"/>
      </rPr>
      <t xml:space="preserve">) </t>
    </r>
    <r>
      <rPr>
        <rFont val="Noto Sans CJK SC"/>
        <i/>
        <color rgb="FF7F7F7F"/>
        <sz val="8.0"/>
      </rPr>
      <t>구분</t>
    </r>
  </si>
  <si>
    <r>
      <rPr>
        <rFont val="맑은 고딕"/>
        <i/>
        <color rgb="FF7F7F7F"/>
        <sz val="8.0"/>
      </rPr>
      <t>[</t>
    </r>
    <r>
      <rPr>
        <rFont val="Noto Sans CJK SC"/>
        <i/>
        <color rgb="FF7F7F7F"/>
        <sz val="8.0"/>
      </rPr>
      <t xml:space="preserve">응시 </t>
    </r>
    <r>
      <rPr>
        <rFont val="맑은 고딕"/>
        <i/>
        <color rgb="FF7F7F7F"/>
        <sz val="8.0"/>
      </rPr>
      <t>/ 1</t>
    </r>
    <r>
      <rPr>
        <rFont val="Noto Sans CJK SC"/>
        <i/>
        <color rgb="FF7F7F7F"/>
        <sz val="8.0"/>
      </rPr>
      <t xml:space="preserve">차 합격 </t>
    </r>
    <r>
      <rPr>
        <rFont val="맑은 고딕"/>
        <i/>
        <color rgb="FF7F7F7F"/>
        <sz val="8.0"/>
      </rPr>
      <t>/ 2</t>
    </r>
    <r>
      <rPr>
        <rFont val="Noto Sans CJK SC"/>
        <i/>
        <color rgb="FF7F7F7F"/>
        <sz val="8.0"/>
      </rPr>
      <t xml:space="preserve">차 합격 </t>
    </r>
    <r>
      <rPr>
        <rFont val="맑은 고딕"/>
        <i/>
        <color rgb="FF7F7F7F"/>
        <sz val="8.0"/>
      </rPr>
      <t xml:space="preserve">/ </t>
    </r>
    <r>
      <rPr>
        <rFont val="Noto Sans CJK SC"/>
        <i/>
        <color rgb="FF7F7F7F"/>
        <sz val="8.0"/>
      </rPr>
      <t>최종 합격</t>
    </r>
    <r>
      <rPr>
        <rFont val="맑은 고딕"/>
        <i/>
        <color rgb="FF7F7F7F"/>
        <sz val="8.0"/>
      </rPr>
      <t>]</t>
    </r>
  </si>
  <si>
    <r>
      <rPr>
        <rFont val="맑은 고딕"/>
        <b/>
        <color rgb="FF000000"/>
        <sz val="11.0"/>
      </rPr>
      <t>3</t>
    </r>
    <r>
      <rPr>
        <rFont val="Noto Sans CJK SC"/>
        <b/>
        <color rgb="FF000000"/>
        <sz val="11.0"/>
      </rPr>
      <t>품인증 취득현황</t>
    </r>
  </si>
  <si>
    <r>
      <rPr>
        <rFont val="맑은 고딕"/>
        <b/>
        <color rgb="FF2F4A8A"/>
        <sz val="14.0"/>
      </rPr>
      <t>[</t>
    </r>
    <r>
      <rPr>
        <rFont val="Noto Sans CJK SC"/>
        <b/>
        <color rgb="FF2F4A8A"/>
        <sz val="14.0"/>
      </rPr>
      <t xml:space="preserve">샘플 </t>
    </r>
    <r>
      <rPr>
        <rFont val="맑은 고딕"/>
        <b/>
        <color rgb="FF2F4A8A"/>
        <sz val="14.0"/>
      </rPr>
      <t xml:space="preserve">S03] </t>
    </r>
    <r>
      <rPr>
        <rFont val="Noto Sans CJK SC"/>
        <b/>
        <color rgb="FF2F4A8A"/>
        <sz val="14.0"/>
      </rPr>
      <t xml:space="preserve">박지호 — 정보 적은 신입생형 </t>
    </r>
    <r>
      <rPr>
        <rFont val="맑은 고딕"/>
        <b/>
        <color rgb="FF2F4A8A"/>
        <sz val="14.0"/>
      </rPr>
      <t>(</t>
    </r>
    <r>
      <rPr>
        <rFont val="Noto Sans CJK SC"/>
        <b/>
        <color rgb="FF2F4A8A"/>
        <sz val="14.0"/>
      </rPr>
      <t>가상 데이터</t>
    </r>
    <r>
      <rPr>
        <rFont val="맑은 고딕"/>
        <b/>
        <color rgb="FF2F4A8A"/>
        <sz val="14.0"/>
      </rPr>
      <t>)</t>
    </r>
  </si>
  <si>
    <r>
      <rPr>
        <rFont val="Noto Sans CJK SC"/>
        <color rgb="FF595959"/>
        <sz val="9.0"/>
      </rPr>
      <t>평가 테스트 포인트</t>
    </r>
    <r>
      <rPr>
        <rFont val="맑은 고딕"/>
        <color rgb="FF595959"/>
        <sz val="9.0"/>
      </rPr>
      <t>: 1</t>
    </r>
    <r>
      <rPr>
        <rFont val="Noto Sans CJK SC"/>
        <color rgb="FF595959"/>
        <sz val="9.0"/>
      </rPr>
      <t>학기만 이수</t>
    </r>
    <r>
      <rPr>
        <rFont val="맑은 고딕"/>
        <color rgb="FF595959"/>
        <sz val="9.0"/>
      </rPr>
      <t xml:space="preserve">, </t>
    </r>
    <r>
      <rPr>
        <rFont val="Noto Sans CJK SC"/>
        <color rgb="FF595959"/>
        <sz val="9.0"/>
      </rPr>
      <t xml:space="preserve">대부분 </t>
    </r>
    <r>
      <rPr>
        <rFont val="맑은 고딕"/>
        <color rgb="FF595959"/>
        <sz val="9.0"/>
      </rPr>
      <t>'</t>
    </r>
    <r>
      <rPr>
        <rFont val="Noto Sans CJK SC"/>
        <color rgb="FF595959"/>
        <sz val="9.0"/>
      </rPr>
      <t>활동 없음</t>
    </r>
    <r>
      <rPr>
        <rFont val="맑은 고딕"/>
        <color rgb="FF595959"/>
        <sz val="9.0"/>
      </rPr>
      <t xml:space="preserve">' → </t>
    </r>
    <r>
      <rPr>
        <rFont val="Noto Sans CJK SC"/>
        <color rgb="FF595959"/>
        <sz val="9.0"/>
      </rPr>
      <t>학년 보정</t>
    </r>
    <r>
      <rPr>
        <rFont val="맑은 고딕"/>
        <color rgb="FF595959"/>
        <sz val="9.0"/>
      </rPr>
      <t>(</t>
    </r>
    <r>
      <rPr>
        <rFont val="Noto Sans CJK SC"/>
        <color rgb="FF595959"/>
        <sz val="9.0"/>
      </rPr>
      <t xml:space="preserve">이수 </t>
    </r>
    <r>
      <rPr>
        <rFont val="맑은 고딕"/>
        <color rgb="FF595959"/>
        <sz val="9.0"/>
      </rPr>
      <t>1</t>
    </r>
    <r>
      <rPr>
        <rFont val="Noto Sans CJK SC"/>
        <color rgb="FF595959"/>
        <sz val="9.0"/>
      </rPr>
      <t>학기</t>
    </r>
    <r>
      <rPr>
        <rFont val="맑은 고딕"/>
        <color rgb="FF595959"/>
        <sz val="9.0"/>
      </rPr>
      <t>)</t>
    </r>
    <r>
      <rPr>
        <rFont val="Noto Sans CJK SC"/>
        <color rgb="FF595959"/>
        <sz val="9.0"/>
      </rPr>
      <t>이 적용되는지</t>
    </r>
    <r>
      <rPr>
        <rFont val="맑은 고딕"/>
        <color rgb="FF595959"/>
        <sz val="9.0"/>
      </rPr>
      <t xml:space="preserve">, </t>
    </r>
    <r>
      <rPr>
        <rFont val="Noto Sans CJK SC"/>
        <color rgb="FF595959"/>
        <sz val="9.0"/>
      </rPr>
      <t xml:space="preserve">어학 </t>
    </r>
    <r>
      <rPr>
        <rFont val="맑은 고딕"/>
        <color rgb="FF595959"/>
        <sz val="9.0"/>
      </rPr>
      <t>'</t>
    </r>
    <r>
      <rPr>
        <rFont val="Noto Sans CJK SC"/>
        <color rgb="FF595959"/>
        <sz val="9.0"/>
      </rPr>
      <t>미수집</t>
    </r>
    <r>
      <rPr>
        <rFont val="맑은 고딕"/>
        <color rgb="FF595959"/>
        <sz val="9.0"/>
      </rPr>
      <t>'</t>
    </r>
    <r>
      <rPr>
        <rFont val="Noto Sans CJK SC"/>
        <color rgb="FF595959"/>
        <sz val="9.0"/>
      </rPr>
      <t xml:space="preserve">과 자격증 </t>
    </r>
    <r>
      <rPr>
        <rFont val="맑은 고딕"/>
        <color rgb="FF595959"/>
        <sz val="9.0"/>
      </rPr>
      <t>'</t>
    </r>
    <r>
      <rPr>
        <rFont val="Noto Sans CJK SC"/>
        <color rgb="FF595959"/>
        <sz val="9.0"/>
      </rPr>
      <t>활동 없음</t>
    </r>
    <r>
      <rPr>
        <rFont val="맑은 고딕"/>
        <color rgb="FF595959"/>
        <sz val="9.0"/>
      </rPr>
      <t>'</t>
    </r>
    <r>
      <rPr>
        <rFont val="Noto Sans CJK SC"/>
        <color rgb="FF595959"/>
        <sz val="9.0"/>
      </rPr>
      <t>이 다르게 처리되는지 확인</t>
    </r>
  </si>
  <si>
    <r>
      <rPr>
        <rFont val="Noto Sans CJK SC"/>
        <i/>
        <color rgb="FF7F7F7F"/>
        <sz val="8.0"/>
      </rPr>
      <t>출처</t>
    </r>
    <r>
      <rPr>
        <rFont val="맑은 고딕"/>
        <i/>
        <color rgb="FF7F7F7F"/>
        <sz val="8.0"/>
      </rPr>
      <t>: 3</t>
    </r>
    <r>
      <rPr>
        <rFont val="Noto Sans CJK SC"/>
        <i/>
        <color rgb="FF7F7F7F"/>
        <sz val="8.0"/>
      </rPr>
      <t xml:space="preserve">품인증 시스템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t>
    </r>
    <r>
      <rPr>
        <rFont val="Noto Sans CJK SC"/>
        <i/>
        <color rgb="FF7F7F7F"/>
        <sz val="8.0"/>
      </rPr>
      <t>복수 역량 종합</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 xml:space="preserve">하위 활동과 중복 가산 위험 → 가산점이 아닌 </t>
    </r>
    <r>
      <rPr>
        <rFont val="맑은 고딕"/>
        <i/>
        <color rgb="FF7F7F7F"/>
        <sz val="8.0"/>
      </rPr>
      <t>'</t>
    </r>
    <r>
      <rPr>
        <rFont val="Noto Sans CJK SC"/>
        <i/>
        <color rgb="FF7F7F7F"/>
        <sz val="8.0"/>
      </rPr>
      <t>참고 지표</t>
    </r>
    <r>
      <rPr>
        <rFont val="맑은 고딕"/>
        <i/>
        <color rgb="FF7F7F7F"/>
        <sz val="8.0"/>
      </rPr>
      <t>'</t>
    </r>
    <r>
      <rPr>
        <rFont val="Noto Sans CJK SC"/>
        <i/>
        <color rgb="FF7F7F7F"/>
        <sz val="8.0"/>
      </rPr>
      <t>로 권장</t>
    </r>
  </si>
  <si>
    <r>
      <rPr>
        <rFont val="맑은 고딕"/>
        <color rgb="FF000000"/>
        <sz val="9.0"/>
      </rPr>
      <t xml:space="preserve">SKKU </t>
    </r>
    <r>
      <rPr>
        <rFont val="Noto Sans CJK SC"/>
        <color rgb="FF000000"/>
        <sz val="9.0"/>
      </rPr>
      <t>확보가능</t>
    </r>
  </si>
  <si>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</si>
  <si>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r>
      <rPr>
        <rFont val="Noto Sans CJK SC"/>
        <color rgb="FF595959"/>
        <sz val="9.0"/>
      </rPr>
      <t>데이터 상태</t>
    </r>
    <r>
      <rPr>
        <rFont val="맑은 고딕"/>
        <color rgb="FF595959"/>
        <sz val="9.0"/>
      </rPr>
      <t xml:space="preserve">: </t>
    </r>
    <r>
      <rPr>
        <rFont val="Noto Sans CJK SC"/>
        <color rgb="FF595959"/>
        <sz val="9.0"/>
      </rPr>
      <t xml:space="preserve">값 있음 </t>
    </r>
    <r>
      <rPr>
        <rFont val="맑은 고딕"/>
        <color rgb="FF595959"/>
        <sz val="9.0"/>
      </rPr>
      <t xml:space="preserve">/ </t>
    </r>
    <r>
      <rPr>
        <rFont val="Noto Sans CJK SC"/>
        <color rgb="FF595959"/>
        <sz val="9.0"/>
      </rPr>
      <t>활동 없음</t>
    </r>
    <r>
      <rPr>
        <rFont val="맑은 고딕"/>
        <color rgb="FF595959"/>
        <sz val="9.0"/>
      </rPr>
      <t>(0</t>
    </r>
    <r>
      <rPr>
        <rFont val="Noto Sans CJK SC"/>
        <color rgb="FF595959"/>
        <sz val="9.0"/>
      </rPr>
      <t>점</t>
    </r>
    <r>
      <rPr>
        <rFont val="맑은 고딕"/>
        <color rgb="FF595959"/>
        <sz val="9.0"/>
      </rPr>
      <t xml:space="preserve">) / </t>
    </r>
    <r>
      <rPr>
        <rFont val="Noto Sans CJK SC"/>
        <color rgb="FF595959"/>
        <sz val="9.0"/>
      </rPr>
      <t>미수집</t>
    </r>
    <r>
      <rPr>
        <rFont val="맑은 고딕"/>
        <color rgb="FF595959"/>
        <sz val="9.0"/>
      </rPr>
      <t>(</t>
    </r>
    <r>
      <rPr>
        <rFont val="Noto Sans CJK SC"/>
        <color rgb="FF595959"/>
        <sz val="9.0"/>
      </rPr>
      <t>계산 제외</t>
    </r>
    <r>
      <rPr>
        <rFont val="맑은 고딕"/>
        <color rgb="FF595959"/>
        <sz val="9.0"/>
      </rPr>
      <t xml:space="preserve">) / </t>
    </r>
    <r>
      <rPr>
        <rFont val="Noto Sans CJK SC"/>
        <color rgb="FF595959"/>
        <sz val="9.0"/>
      </rPr>
      <t>해당 없음</t>
    </r>
    <r>
      <rPr>
        <rFont val="맑은 고딕"/>
        <color rgb="FF595959"/>
        <sz val="9.0"/>
      </rPr>
      <t>(</t>
    </r>
    <r>
      <rPr>
        <rFont val="Noto Sans CJK SC"/>
        <color rgb="FF595959"/>
        <sz val="9.0"/>
      </rPr>
      <t>불이익 없음</t>
    </r>
    <r>
      <rPr>
        <rFont val="맑은 고딕"/>
        <color rgb="FF595959"/>
        <sz val="9.0"/>
      </rPr>
      <t xml:space="preserve">) · </t>
    </r>
    <r>
      <rPr>
        <rFont val="Noto Sans CJK SC"/>
        <color rgb="FF595959"/>
        <sz val="9.0"/>
      </rPr>
      <t xml:space="preserve">상태 미선택 </t>
    </r>
    <r>
      <rPr>
        <rFont val="맑은 고딕"/>
        <color rgb="FF595959"/>
        <sz val="9.0"/>
      </rPr>
      <t xml:space="preserve">= </t>
    </r>
    <r>
      <rPr>
        <rFont val="Noto Sans CJK SC"/>
        <color rgb="FF595959"/>
        <sz val="9.0"/>
      </rPr>
      <t>미수집 간주</t>
    </r>
  </si>
  <si>
    <r>
      <rPr>
        <rFont val="Noto Sans CJK SC"/>
        <i/>
        <color rgb="FF7F7F7F"/>
        <sz val="8.0"/>
      </rPr>
      <t>출처</t>
    </r>
    <r>
      <rPr>
        <rFont val="맑은 고딕"/>
        <i/>
        <color rgb="FF7F7F7F"/>
        <sz val="8.0"/>
      </rPr>
      <t xml:space="preserve">: </t>
    </r>
    <r>
      <rPr>
        <rFont val="Noto Sans CJK SC"/>
        <i/>
        <color rgb="FF7F7F7F"/>
        <sz val="8.0"/>
      </rPr>
      <t>학사시스템</t>
    </r>
    <r>
      <rPr>
        <rFont val="맑은 고딕"/>
        <i/>
        <color rgb="FF7F7F7F"/>
        <sz val="8.0"/>
      </rPr>
      <t>(</t>
    </r>
    <r>
      <rPr>
        <rFont val="Noto Sans CJK SC"/>
        <i/>
        <color rgb="FF7F7F7F"/>
        <sz val="8.0"/>
      </rPr>
      <t>과목별 성적</t>
    </r>
    <r>
      <rPr>
        <rFont val="맑은 고딕"/>
        <i/>
        <color rgb="FF7F7F7F"/>
        <sz val="8.0"/>
      </rPr>
      <t>) + LMS(</t>
    </r>
    <r>
      <rPr>
        <rFont val="Noto Sans CJK SC"/>
        <i/>
        <color rgb="FF7F7F7F"/>
        <sz val="8.0"/>
      </rPr>
      <t>과제점수</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발표력 </t>
    </r>
    <r>
      <rPr>
        <rFont val="맑은 고딕"/>
        <i/>
        <color rgb="FF7F7F7F"/>
        <sz val="8.0"/>
      </rPr>
      <t xml:space="preserve">/ </t>
    </r>
    <r>
      <rPr>
        <rFont val="Noto Sans CJK SC"/>
        <i/>
        <color rgb="FF7F7F7F"/>
        <sz val="8.0"/>
      </rPr>
      <t xml:space="preserve">논리적사고 </t>
    </r>
    <r>
      <rPr>
        <rFont val="맑은 고딕"/>
        <i/>
        <color rgb="FF7F7F7F"/>
        <sz val="8.0"/>
      </rPr>
      <t xml:space="preserve">/ </t>
    </r>
    <r>
      <rPr>
        <rFont val="Noto Sans CJK SC"/>
        <i/>
        <color rgb="FF7F7F7F"/>
        <sz val="8.0"/>
      </rPr>
      <t xml:space="preserve">학업성취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과목에 </t>
    </r>
    <r>
      <rPr>
        <rFont val="맑은 고딕"/>
        <i/>
        <color rgb="FF7F7F7F"/>
        <sz val="8.0"/>
      </rPr>
      <t>'</t>
    </r>
    <r>
      <rPr>
        <rFont val="Noto Sans CJK SC"/>
        <i/>
        <color rgb="FF7F7F7F"/>
        <sz val="8.0"/>
      </rPr>
      <t>발표형</t>
    </r>
    <r>
      <rPr>
        <rFont val="맑은 고딕"/>
        <i/>
        <color rgb="FF7F7F7F"/>
        <sz val="8.0"/>
      </rPr>
      <t>·</t>
    </r>
    <r>
      <rPr>
        <rFont val="Noto Sans CJK SC"/>
        <i/>
        <color rgb="FF7F7F7F"/>
        <sz val="8.0"/>
      </rPr>
      <t>토론형</t>
    </r>
    <r>
      <rPr>
        <rFont val="맑은 고딕"/>
        <i/>
        <color rgb="FF7F7F7F"/>
        <sz val="8.0"/>
      </rPr>
      <t xml:space="preserve">' </t>
    </r>
    <r>
      <rPr>
        <rFont val="Noto Sans CJK SC"/>
        <i/>
        <color rgb="FF7F7F7F"/>
        <sz val="8.0"/>
      </rPr>
      <t>태그가 있어야 자동 분류 가능</t>
    </r>
  </si>
  <si>
    <t>미취득</t>
  </si>
  <si>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</si>
  <si>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r>
      <rPr>
        <rFont val="Noto Sans CJK SC"/>
        <b/>
        <color rgb="FFFFFFFF"/>
        <sz val="11.0"/>
      </rPr>
      <t xml:space="preserve">■ 학생 기본정보  </t>
    </r>
    <r>
      <rPr>
        <rFont val="맑은 고딕"/>
        <b/>
        <color rgb="FFFFFFFF"/>
        <sz val="11.0"/>
      </rPr>
      <t>(</t>
    </r>
    <r>
      <rPr>
        <rFont val="Noto Sans CJK SC"/>
        <b/>
        <color rgb="FFFFFFFF"/>
        <sz val="11.0"/>
      </rPr>
      <t>학년 보정</t>
    </r>
    <r>
      <rPr>
        <rFont val="맑은 고딕"/>
        <b/>
        <color rgb="FFFFFFFF"/>
        <sz val="11.0"/>
      </rPr>
      <t>·</t>
    </r>
    <r>
      <rPr>
        <rFont val="Noto Sans CJK SC"/>
        <b/>
        <color rgb="FFFFFFFF"/>
        <sz val="11.0"/>
      </rPr>
      <t>학적 구분</t>
    </r>
    <r>
      <rPr>
        <rFont val="맑은 고딕"/>
        <b/>
        <color rgb="FFFFFFFF"/>
        <sz val="11.0"/>
      </rPr>
      <t>·</t>
    </r>
    <r>
      <rPr>
        <rFont val="Noto Sans CJK SC"/>
        <b/>
        <color rgb="FFFFFFFF"/>
        <sz val="11.0"/>
      </rPr>
      <t>전공 특수성 판단에 사용</t>
    </r>
    <r>
      <rPr>
        <rFont val="맑은 고딕"/>
        <b/>
        <color rgb="FFFFFFFF"/>
        <sz val="11.0"/>
      </rPr>
      <t>)</t>
    </r>
  </si>
  <si>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</si>
  <si>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r>
      <rPr>
        <rFont val="Noto Sans CJK SC"/>
        <b/>
        <color rgb="FF000000"/>
        <sz val="9.0"/>
      </rPr>
      <t>과제</t>
    </r>
    <r>
      <rPr>
        <rFont val="맑은 고딕"/>
        <b/>
        <color rgb="FF000000"/>
        <sz val="9.0"/>
      </rPr>
      <t>·</t>
    </r>
    <r>
      <rPr>
        <rFont val="Noto Sans CJK SC"/>
        <b/>
        <color rgb="FF000000"/>
        <sz val="9.0"/>
      </rPr>
      <t>보고서 점수</t>
    </r>
  </si>
  <si>
    <r>
      <rPr>
        <rFont val="맑은 고딕"/>
        <i/>
        <color rgb="FF7F7F7F"/>
        <sz val="8.0"/>
      </rPr>
      <t>YYYY-1 / YYYY-2 / YYYY-</t>
    </r>
    <r>
      <rPr>
        <rFont val="Noto Sans CJK SC"/>
        <i/>
        <color rgb="FF7F7F7F"/>
        <sz val="8.0"/>
      </rPr>
      <t xml:space="preserve">여름 </t>
    </r>
    <r>
      <rPr>
        <rFont val="맑은 고딕"/>
        <i/>
        <color rgb="FF7F7F7F"/>
        <sz val="8.0"/>
      </rPr>
      <t>/ YYYY-</t>
    </r>
    <r>
      <rPr>
        <rFont val="Noto Sans CJK SC"/>
        <i/>
        <color rgb="FF7F7F7F"/>
        <sz val="8.0"/>
      </rPr>
      <t>겨울</t>
    </r>
  </si>
  <si>
    <r>
      <rPr>
        <rFont val="맑은 고딕"/>
        <b/>
        <color rgb="FF000000"/>
        <sz val="10.0"/>
      </rPr>
      <t xml:space="preserve">AI </t>
    </r>
    <r>
      <rPr>
        <rFont val="Noto Sans CJK SC"/>
        <b/>
        <color rgb="FF000000"/>
        <sz val="10.0"/>
      </rPr>
      <t>영역</t>
    </r>
  </si>
  <si>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</si>
  <si>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</si>
  <si>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r>
      <rPr>
        <rFont val="맑은 고딕"/>
        <i/>
        <color rgb="FF7F7F7F"/>
        <sz val="8.0"/>
      </rPr>
      <t>[</t>
    </r>
    <r>
      <rPr>
        <rFont val="Noto Sans CJK SC"/>
        <i/>
        <color rgb="FF7F7F7F"/>
        <sz val="8.0"/>
      </rPr>
      <t xml:space="preserve">발표형 </t>
    </r>
    <r>
      <rPr>
        <rFont val="맑은 고딕"/>
        <i/>
        <color rgb="FF7F7F7F"/>
        <sz val="8.0"/>
      </rPr>
      <t xml:space="preserve">/ </t>
    </r>
    <r>
      <rPr>
        <rFont val="Noto Sans CJK SC"/>
        <i/>
        <color rgb="FF7F7F7F"/>
        <sz val="8.0"/>
      </rPr>
      <t xml:space="preserve">토론형 </t>
    </r>
    <r>
      <rPr>
        <rFont val="맑은 고딕"/>
        <i/>
        <color rgb="FF7F7F7F"/>
        <sz val="8.0"/>
      </rPr>
      <t xml:space="preserve">/ </t>
    </r>
    <r>
      <rPr>
        <rFont val="Noto Sans CJK SC"/>
        <i/>
        <color rgb="FF7F7F7F"/>
        <sz val="8.0"/>
      </rPr>
      <t>과제</t>
    </r>
    <r>
      <rPr>
        <rFont val="맑은 고딕"/>
        <i/>
        <color rgb="FF7F7F7F"/>
        <sz val="8.0"/>
      </rPr>
      <t>·</t>
    </r>
    <r>
      <rPr>
        <rFont val="Noto Sans CJK SC"/>
        <i/>
        <color rgb="FF7F7F7F"/>
        <sz val="8.0"/>
      </rPr>
      <t xml:space="preserve">보고서형 </t>
    </r>
    <r>
      <rPr>
        <rFont val="맑은 고딕"/>
        <i/>
        <color rgb="FF7F7F7F"/>
        <sz val="8.0"/>
      </rPr>
      <t>/ PBL</t>
    </r>
    <r>
      <rPr>
        <rFont val="Noto Sans CJK SC"/>
        <i/>
        <color rgb="FF7F7F7F"/>
        <sz val="8.0"/>
      </rPr>
      <t>형</t>
    </r>
    <r>
      <rPr>
        <rFont val="맑은 고딕"/>
        <i/>
        <color rgb="FF7F7F7F"/>
        <sz val="8.0"/>
      </rPr>
      <t>]</t>
    </r>
  </si>
  <si>
    <r>
      <rPr>
        <rFont val="Noto Sans CJK SC"/>
        <i/>
        <color rgb="FF7F7F7F"/>
        <sz val="8.0"/>
      </rPr>
      <t>숫자</t>
    </r>
    <r>
      <rPr>
        <rFont val="맑은 고딕"/>
        <i/>
        <color rgb="FF7F7F7F"/>
        <sz val="8.0"/>
      </rPr>
      <t>(100</t>
    </r>
    <r>
      <rPr>
        <rFont val="Noto Sans CJK SC"/>
        <i/>
        <color rgb="FF7F7F7F"/>
        <sz val="8.0"/>
      </rPr>
      <t>점</t>
    </r>
    <r>
      <rPr>
        <rFont val="맑은 고딕"/>
        <i/>
        <color rgb="FF7F7F7F"/>
        <sz val="8.0"/>
      </rPr>
      <t>)</t>
    </r>
  </si>
  <si>
    <t>마케팅원론</t>
  </si>
  <si>
    <r>
      <rPr>
        <rFont val="Noto Sans CJK SC"/>
        <color rgb="FF7F7F7F"/>
        <sz val="9.0"/>
      </rPr>
      <t xml:space="preserve">숫자 </t>
    </r>
    <r>
      <rPr>
        <rFont val="맑은 고딕"/>
        <color rgb="FF7F7F7F"/>
        <sz val="9.0"/>
      </rPr>
      <t>10</t>
    </r>
    <r>
      <rPr>
        <rFont val="Noto Sans CJK SC"/>
        <color rgb="FF7F7F7F"/>
        <sz val="9.0"/>
      </rPr>
      <t>자리</t>
    </r>
    <r>
      <rPr>
        <rFont val="맑은 고딕"/>
        <color rgb="FF7F7F7F"/>
        <sz val="9.0"/>
      </rPr>
      <t>(</t>
    </r>
    <r>
      <rPr>
        <rFont val="Noto Sans CJK SC"/>
        <color rgb="FF7F7F7F"/>
        <sz val="9.0"/>
      </rPr>
      <t>텍스트</t>
    </r>
    <r>
      <rPr>
        <rFont val="맑은 고딕"/>
        <color rgb="FF7F7F7F"/>
        <sz val="9.0"/>
      </rPr>
      <t>)</t>
    </r>
  </si>
  <si>
    <t>조직행동론</t>
  </si>
  <si>
    <r>
      <rPr>
        <rFont val="Noto Sans CJK SC"/>
        <color rgb="FF7F7F7F"/>
        <sz val="9.0"/>
      </rPr>
      <t>예</t>
    </r>
    <r>
      <rPr>
        <rFont val="맑은 고딕"/>
        <color rgb="FF7F7F7F"/>
        <sz val="9.0"/>
      </rPr>
      <t xml:space="preserve">: </t>
    </r>
    <r>
      <rPr>
        <rFont val="Noto Sans CJK SC"/>
        <color rgb="FF7F7F7F"/>
        <sz val="9.0"/>
      </rPr>
      <t>공과대학</t>
    </r>
  </si>
  <si>
    <r>
      <rPr>
        <rFont val="Noto Sans CJK SC"/>
        <b/>
        <color rgb="FF000000"/>
        <sz val="10.0"/>
      </rPr>
      <t>주전공</t>
    </r>
    <r>
      <rPr>
        <rFont val="맑은 고딕"/>
        <b/>
        <color rgb="FF000000"/>
        <sz val="10.0"/>
      </rPr>
      <t>(</t>
    </r>
    <r>
      <rPr>
        <rFont val="Noto Sans CJK SC"/>
        <b/>
        <color rgb="FF000000"/>
        <sz val="10.0"/>
      </rPr>
      <t>학과</t>
    </r>
    <r>
      <rPr>
        <rFont val="맑은 고딕"/>
        <b/>
        <color rgb="FF000000"/>
        <sz val="10.0"/>
      </rPr>
      <t>)</t>
    </r>
  </si>
  <si>
    <r>
      <rPr>
        <rFont val="Noto Sans CJK SC"/>
        <color rgb="FF7F7F7F"/>
        <sz val="9.0"/>
      </rPr>
      <t>예</t>
    </r>
    <r>
      <rPr>
        <rFont val="맑은 고딕"/>
        <color rgb="FF7F7F7F"/>
        <sz val="9.0"/>
      </rPr>
      <t xml:space="preserve">: </t>
    </r>
    <r>
      <rPr>
        <rFont val="Noto Sans CJK SC"/>
        <color rgb="FF7F7F7F"/>
        <sz val="9.0"/>
      </rPr>
      <t>기계공학부</t>
    </r>
  </si>
  <si>
    <r>
      <rPr>
        <rFont val="Noto Sans CJK SC"/>
        <i/>
        <color rgb="FF7F7F7F"/>
        <sz val="8.0"/>
      </rPr>
      <t>출처</t>
    </r>
    <r>
      <rPr>
        <rFont val="맑은 고딕"/>
        <i/>
        <color rgb="FF7F7F7F"/>
        <sz val="8.0"/>
      </rPr>
      <t xml:space="preserve">: </t>
    </r>
    <r>
      <rPr>
        <rFont val="Noto Sans CJK SC"/>
        <i/>
        <color rgb="FF7F7F7F"/>
        <sz val="8.0"/>
      </rPr>
      <t xml:space="preserve">비교과 시스템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자기관리 </t>
    </r>
    <r>
      <rPr>
        <rFont val="맑은 고딕"/>
        <i/>
        <color rgb="FF7F7F7F"/>
        <sz val="8.0"/>
      </rPr>
      <t xml:space="preserve">/ </t>
    </r>
    <r>
      <rPr>
        <rFont val="Noto Sans CJK SC"/>
        <i/>
        <color rgb="FF7F7F7F"/>
        <sz val="8.0"/>
      </rPr>
      <t>종합적사고력</t>
    </r>
    <r>
      <rPr>
        <rFont val="맑은 고딕"/>
        <i/>
        <color rgb="FF7F7F7F"/>
        <sz val="8.0"/>
      </rPr>
      <t>(</t>
    </r>
    <r>
      <rPr>
        <rFont val="Noto Sans CJK SC"/>
        <i/>
        <color rgb="FF7F7F7F"/>
        <sz val="8.0"/>
      </rPr>
      <t>융합적 사고</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학년 보정 필요</t>
    </r>
  </si>
  <si>
    <r>
      <rPr>
        <rFont val="Noto Sans CJK SC"/>
        <b/>
        <color rgb="FF000000"/>
        <sz val="10.0"/>
      </rPr>
      <t>누적 이수시간</t>
    </r>
    <r>
      <rPr>
        <rFont val="맑은 고딕"/>
        <b/>
        <color rgb="FF000000"/>
        <sz val="10.0"/>
      </rPr>
      <t>(h)</t>
    </r>
  </si>
  <si>
    <r>
      <rPr>
        <rFont val="Noto Sans CJK SC"/>
        <b/>
        <color rgb="FF000000"/>
        <sz val="11.0"/>
      </rPr>
      <t>수강과목</t>
    </r>
    <r>
      <rPr>
        <rFont val="맑은 고딕"/>
        <b/>
        <color rgb="FF000000"/>
        <sz val="11.0"/>
      </rPr>
      <t>·</t>
    </r>
    <r>
      <rPr>
        <rFont val="Noto Sans CJK SC"/>
        <b/>
        <color rgb="FF000000"/>
        <sz val="11.0"/>
      </rPr>
      <t>심화</t>
    </r>
    <r>
      <rPr>
        <rFont val="맑은 고딕"/>
        <b/>
        <color rgb="FF000000"/>
        <sz val="11.0"/>
      </rPr>
      <t>·</t>
    </r>
    <r>
      <rPr>
        <rFont val="Noto Sans CJK SC"/>
        <b/>
        <color rgb="FF000000"/>
        <sz val="11.0"/>
      </rPr>
      <t>융합 이수</t>
    </r>
  </si>
  <si>
    <r>
      <rPr>
        <rFont val="Noto Sans CJK SC"/>
        <color rgb="FF7F7F7F"/>
        <sz val="9.0"/>
      </rPr>
      <t xml:space="preserve">숫자 </t>
    </r>
    <r>
      <rPr>
        <rFont val="맑은 고딕"/>
        <color rgb="FF7F7F7F"/>
        <sz val="9.0"/>
      </rPr>
      <t>1~6</t>
    </r>
  </si>
  <si>
    <r>
      <rPr>
        <rFont val="Noto Sans CJK SC"/>
        <b/>
        <color rgb="FF000000"/>
        <sz val="10.0"/>
      </rPr>
      <t>기준 시간</t>
    </r>
    <r>
      <rPr>
        <rFont val="맑은 고딕"/>
        <b/>
        <color rgb="FF000000"/>
        <sz val="10.0"/>
      </rPr>
      <t>(h)</t>
    </r>
  </si>
  <si>
    <r>
      <rPr>
        <rFont val="Noto Sans CJK SC"/>
        <color rgb="FF7F7F7F"/>
        <sz val="9.0"/>
      </rPr>
      <t>학사시스템 기준 현재 학년</t>
    </r>
    <r>
      <rPr>
        <rFont val="맑은 고딕"/>
        <color rgb="FF7F7F7F"/>
        <sz val="9.0"/>
      </rPr>
      <t>(</t>
    </r>
    <r>
      <rPr>
        <rFont val="Noto Sans CJK SC"/>
        <color rgb="FF7F7F7F"/>
        <sz val="9.0"/>
      </rPr>
      <t>숫자만</t>
    </r>
    <r>
      <rPr>
        <rFont val="맑은 고딕"/>
        <color rgb="FF7F7F7F"/>
        <sz val="9.0"/>
      </rPr>
      <t>)</t>
    </r>
  </si>
  <si>
    <r>
      <rPr>
        <rFont val="Noto Sans CJK SC"/>
        <color rgb="FF7F7F7F"/>
        <sz val="9.0"/>
      </rPr>
      <t>예</t>
    </r>
    <r>
      <rPr>
        <rFont val="맑은 고딕"/>
        <color rgb="FF7F7F7F"/>
        <sz val="9.0"/>
      </rPr>
      <t>: 90</t>
    </r>
  </si>
  <si>
    <r>
      <rPr>
        <rFont val="Noto Sans CJK SC"/>
        <b/>
        <color rgb="FFFFFFFF"/>
        <sz val="11.0"/>
      </rPr>
      <t>■ 진단</t>
    </r>
    <r>
      <rPr>
        <rFont val="맑은 고딕"/>
        <b/>
        <color rgb="FFFFFFFF"/>
        <sz val="11.0"/>
      </rPr>
      <t>·</t>
    </r>
    <r>
      <rPr>
        <rFont val="Noto Sans CJK SC"/>
        <b/>
        <color rgb="FFFFFFFF"/>
        <sz val="11.0"/>
      </rPr>
      <t>자기평가</t>
    </r>
  </si>
  <si>
    <r>
      <rPr>
        <rFont val="Noto Sans CJK SC"/>
        <color rgb="FF7F7F7F"/>
        <sz val="9.0"/>
      </rPr>
      <t>휴학 학기 제외</t>
    </r>
    <r>
      <rPr>
        <rFont val="맑은 고딕"/>
        <color rgb="FF7F7F7F"/>
        <sz val="9.0"/>
      </rPr>
      <t xml:space="preserve">, </t>
    </r>
    <r>
      <rPr>
        <rFont val="Noto Sans CJK SC"/>
        <color rgb="FF7F7F7F"/>
        <sz val="9.0"/>
      </rPr>
      <t>본교 기준</t>
    </r>
    <r>
      <rPr>
        <rFont val="맑은 고딕"/>
        <color rgb="FF7F7F7F"/>
        <sz val="9.0"/>
      </rPr>
      <t xml:space="preserve">. </t>
    </r>
    <r>
      <rPr>
        <rFont val="Noto Sans CJK SC"/>
        <color rgb="FF7F7F7F"/>
        <sz val="9.0"/>
      </rPr>
      <t>학년 보정에 사용</t>
    </r>
  </si>
  <si>
    <r>
      <rPr>
        <rFont val="맑은 고딕"/>
        <b/>
        <color rgb="FF2F4A8A"/>
        <sz val="14.0"/>
      </rPr>
      <t>[</t>
    </r>
    <r>
      <rPr>
        <rFont val="Noto Sans CJK SC"/>
        <b/>
        <color rgb="FF2F4A8A"/>
        <sz val="14.0"/>
      </rPr>
      <t xml:space="preserve">샘플 </t>
    </r>
    <r>
      <rPr>
        <rFont val="맑은 고딕"/>
        <b/>
        <color rgb="FF2F4A8A"/>
        <sz val="14.0"/>
      </rPr>
      <t xml:space="preserve">S04] </t>
    </r>
    <r>
      <rPr>
        <rFont val="Noto Sans CJK SC"/>
        <b/>
        <color rgb="FF2F4A8A"/>
        <sz val="14.0"/>
      </rPr>
      <t xml:space="preserve">최유진 — 다수 누락형 </t>
    </r>
    <r>
      <rPr>
        <rFont val="맑은 고딕"/>
        <b/>
        <color rgb="FF2F4A8A"/>
        <sz val="14.0"/>
      </rPr>
      <t>(</t>
    </r>
    <r>
      <rPr>
        <rFont val="Noto Sans CJK SC"/>
        <b/>
        <color rgb="FF2F4A8A"/>
        <sz val="14.0"/>
      </rPr>
      <t>가상 데이터</t>
    </r>
    <r>
      <rPr>
        <rFont val="맑은 고딕"/>
        <b/>
        <color rgb="FF2F4A8A"/>
        <sz val="14.0"/>
      </rPr>
      <t>)</t>
    </r>
  </si>
  <si>
    <r>
      <rPr>
        <rFont val="맑은 고딕"/>
        <b/>
        <color rgb="FF000000"/>
        <sz val="11.0"/>
      </rPr>
      <t xml:space="preserve">SSCA </t>
    </r>
    <r>
      <rPr>
        <rFont val="Noto Sans CJK SC"/>
        <b/>
        <color rgb="FF000000"/>
        <sz val="11.0"/>
      </rPr>
      <t>학생성공역량진단</t>
    </r>
  </si>
  <si>
    <r>
      <rPr>
        <rFont val="Noto Sans CJK SC"/>
        <color rgb="FF595959"/>
        <sz val="9.0"/>
      </rPr>
      <t>평가 테스트 포인트</t>
    </r>
    <r>
      <rPr>
        <rFont val="맑은 고딕"/>
        <color rgb="FF595959"/>
        <sz val="9.0"/>
      </rPr>
      <t xml:space="preserve">: </t>
    </r>
    <r>
      <rPr>
        <rFont val="Noto Sans CJK SC"/>
        <color rgb="FF595959"/>
        <sz val="9.0"/>
      </rPr>
      <t>성적</t>
    </r>
    <r>
      <rPr>
        <rFont val="맑은 고딕"/>
        <color rgb="FF595959"/>
        <sz val="9.0"/>
      </rPr>
      <t>·</t>
    </r>
    <r>
      <rPr>
        <rFont val="Noto Sans CJK SC"/>
        <color rgb="FF595959"/>
        <sz val="9.0"/>
      </rPr>
      <t>수강</t>
    </r>
    <r>
      <rPr>
        <rFont val="맑은 고딕"/>
        <color rgb="FF595959"/>
        <sz val="9.0"/>
      </rPr>
      <t>·3</t>
    </r>
    <r>
      <rPr>
        <rFont val="Noto Sans CJK SC"/>
        <color rgb="FF595959"/>
        <sz val="9.0"/>
      </rPr>
      <t>품</t>
    </r>
    <r>
      <rPr>
        <rFont val="맑은 고딕"/>
        <color rgb="FF595959"/>
        <sz val="9.0"/>
      </rPr>
      <t>·</t>
    </r>
    <r>
      <rPr>
        <rFont val="Noto Sans CJK SC"/>
        <color rgb="FF595959"/>
        <sz val="9.0"/>
      </rPr>
      <t>비교과만 있고 나머지 대부분 미수집</t>
    </r>
    <r>
      <rPr>
        <rFont val="맑은 고딕"/>
        <color rgb="FF595959"/>
        <sz val="9.0"/>
      </rPr>
      <t>(</t>
    </r>
    <r>
      <rPr>
        <rFont val="Noto Sans CJK SC"/>
        <color rgb="FF595959"/>
        <sz val="9.0"/>
      </rPr>
      <t>일부는 상태조차 미선택</t>
    </r>
    <r>
      <rPr>
        <rFont val="맑은 고딕"/>
        <color rgb="FF595959"/>
        <sz val="9.0"/>
      </rPr>
      <t xml:space="preserve">) → </t>
    </r>
    <r>
      <rPr>
        <rFont val="Noto Sans CJK SC"/>
        <color rgb="FF595959"/>
        <sz val="9.0"/>
      </rPr>
      <t xml:space="preserve">대부분 역량 </t>
    </r>
    <r>
      <rPr>
        <rFont val="맑은 고딕"/>
        <color rgb="FF595959"/>
        <sz val="9.0"/>
      </rPr>
      <t>'</t>
    </r>
    <r>
      <rPr>
        <rFont val="Noto Sans CJK SC"/>
        <color rgb="FF595959"/>
        <sz val="9.0"/>
      </rPr>
      <t>판정 보류</t>
    </r>
    <r>
      <rPr>
        <rFont val="맑은 고딕"/>
        <color rgb="FF595959"/>
        <sz val="9.0"/>
      </rPr>
      <t>'</t>
    </r>
    <r>
      <rPr>
        <rFont val="Noto Sans CJK SC"/>
        <color rgb="FF595959"/>
        <sz val="9.0"/>
      </rPr>
      <t>가 나와야 정상</t>
    </r>
  </si>
  <si>
    <t>2026-03</t>
  </si>
  <si>
    <r>
      <rPr>
        <rFont val="Noto Sans CJK SC"/>
        <i/>
        <color rgb="FF7F7F7F"/>
        <sz val="8.0"/>
      </rPr>
      <t>출처</t>
    </r>
    <r>
      <rPr>
        <rFont val="맑은 고딕"/>
        <i/>
        <color rgb="FF7F7F7F"/>
        <sz val="8.0"/>
      </rPr>
      <t xml:space="preserve">: </t>
    </r>
    <r>
      <rPr>
        <rFont val="Noto Sans CJK SC"/>
        <i/>
        <color rgb="FF7F7F7F"/>
        <sz val="8.0"/>
      </rPr>
      <t>학사시스템</t>
    </r>
    <r>
      <rPr>
        <rFont val="맑은 고딕"/>
        <i/>
        <color rgb="FF7F7F7F"/>
        <sz val="8.0"/>
      </rPr>
      <t>(</t>
    </r>
    <r>
      <rPr>
        <rFont val="Noto Sans CJK SC"/>
        <i/>
        <color rgb="FF7F7F7F"/>
        <sz val="8.0"/>
      </rPr>
      <t>수강내역</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탐구력 </t>
    </r>
    <r>
      <rPr>
        <rFont val="맑은 고딕"/>
        <i/>
        <color rgb="FF7F7F7F"/>
        <sz val="8.0"/>
      </rPr>
      <t xml:space="preserve">/ </t>
    </r>
    <r>
      <rPr>
        <rFont val="Noto Sans CJK SC"/>
        <i/>
        <color rgb="FF7F7F7F"/>
        <sz val="8.0"/>
      </rPr>
      <t>종합적사고력</t>
    </r>
    <r>
      <rPr>
        <rFont val="맑은 고딕"/>
        <i/>
        <color rgb="FF7F7F7F"/>
        <sz val="8.0"/>
      </rPr>
      <t>(</t>
    </r>
    <r>
      <rPr>
        <rFont val="Noto Sans CJK SC"/>
        <i/>
        <color rgb="FF7F7F7F"/>
        <sz val="8.0"/>
      </rPr>
      <t>융합적 사고</t>
    </r>
    <r>
      <rPr>
        <rFont val="맑은 고딕"/>
        <i/>
        <color rgb="FF7F7F7F"/>
        <sz val="8.0"/>
      </rPr>
      <t xml:space="preserve">) /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마인드맵의 </t>
    </r>
    <r>
      <rPr>
        <rFont val="맑은 고딕"/>
        <i/>
        <color rgb="FF7F7F7F"/>
        <sz val="8.0"/>
      </rPr>
      <t>'</t>
    </r>
    <r>
      <rPr>
        <rFont val="Noto Sans CJK SC"/>
        <i/>
        <color rgb="FF7F7F7F"/>
        <sz val="8.0"/>
      </rPr>
      <t>융합 전공</t>
    </r>
    <r>
      <rPr>
        <rFont val="맑은 고딕"/>
        <i/>
        <color rgb="FF7F7F7F"/>
        <sz val="8.0"/>
      </rPr>
      <t>'</t>
    </r>
    <r>
      <rPr>
        <rFont val="Noto Sans CJK SC"/>
        <i/>
        <color rgb="FF7F7F7F"/>
        <sz val="8.0"/>
      </rPr>
      <t>은 기존 데이터셋에 없음 → 수강내역에서 도출</t>
    </r>
  </si>
  <si>
    <r>
      <rPr>
        <rFont val="Noto Sans CJK SC"/>
        <color rgb="FF7F7F7F"/>
        <sz val="9.0"/>
      </rPr>
      <t>예</t>
    </r>
    <r>
      <rPr>
        <rFont val="맑은 고딕"/>
        <color rgb="FF7F7F7F"/>
        <sz val="9.0"/>
      </rPr>
      <t>: 2023-03</t>
    </r>
  </si>
  <si>
    <r>
      <rPr>
        <rFont val="맑은 고딕"/>
        <color rgb="FF000000"/>
        <sz val="9.0"/>
      </rPr>
      <t xml:space="preserve">SKKU </t>
    </r>
    <r>
      <rPr>
        <rFont val="Noto Sans CJK SC"/>
        <color rgb="FF000000"/>
        <sz val="9.0"/>
      </rPr>
      <t>확보가능</t>
    </r>
  </si>
  <si>
    <r>
      <rPr>
        <rFont val="Noto Sans CJK SC"/>
        <color rgb="FF7F7F7F"/>
        <sz val="9.0"/>
      </rPr>
      <t>예</t>
    </r>
    <r>
      <rPr>
        <rFont val="맑은 고딕"/>
        <color rgb="FF7F7F7F"/>
        <sz val="9.0"/>
      </rPr>
      <t>: 124</t>
    </r>
  </si>
  <si>
    <r>
      <rPr>
        <rFont val="Noto Sans CJK SC"/>
        <color rgb="FF7F7F7F"/>
        <sz val="9.0"/>
      </rPr>
      <t xml:space="preserve">없으면 </t>
    </r>
    <r>
      <rPr>
        <rFont val="맑은 고딕"/>
        <color rgb="FF7F7F7F"/>
        <sz val="9.0"/>
      </rPr>
      <t>0</t>
    </r>
  </si>
  <si>
    <r>
      <rPr>
        <rFont val="Noto Sans CJK SC"/>
        <color rgb="FF595959"/>
        <sz val="9.0"/>
      </rPr>
      <t>데이터 상태</t>
    </r>
    <r>
      <rPr>
        <rFont val="맑은 고딕"/>
        <color rgb="FF595959"/>
        <sz val="9.0"/>
      </rPr>
      <t xml:space="preserve">: </t>
    </r>
    <r>
      <rPr>
        <rFont val="Noto Sans CJK SC"/>
        <color rgb="FF595959"/>
        <sz val="9.0"/>
      </rPr>
      <t xml:space="preserve">값 있음 </t>
    </r>
    <r>
      <rPr>
        <rFont val="맑은 고딕"/>
        <color rgb="FF595959"/>
        <sz val="9.0"/>
      </rPr>
      <t xml:space="preserve">/ </t>
    </r>
    <r>
      <rPr>
        <rFont val="Noto Sans CJK SC"/>
        <color rgb="FF595959"/>
        <sz val="9.0"/>
      </rPr>
      <t>활동 없음</t>
    </r>
    <r>
      <rPr>
        <rFont val="맑은 고딕"/>
        <color rgb="FF595959"/>
        <sz val="9.0"/>
      </rPr>
      <t>(0</t>
    </r>
    <r>
      <rPr>
        <rFont val="Noto Sans CJK SC"/>
        <color rgb="FF595959"/>
        <sz val="9.0"/>
      </rPr>
      <t>점</t>
    </r>
    <r>
      <rPr>
        <rFont val="맑은 고딕"/>
        <color rgb="FF595959"/>
        <sz val="9.0"/>
      </rPr>
      <t xml:space="preserve">) / </t>
    </r>
    <r>
      <rPr>
        <rFont val="Noto Sans CJK SC"/>
        <color rgb="FF595959"/>
        <sz val="9.0"/>
      </rPr>
      <t>미수집</t>
    </r>
    <r>
      <rPr>
        <rFont val="맑은 고딕"/>
        <color rgb="FF595959"/>
        <sz val="9.0"/>
      </rPr>
      <t>(</t>
    </r>
    <r>
      <rPr>
        <rFont val="Noto Sans CJK SC"/>
        <color rgb="FF595959"/>
        <sz val="9.0"/>
      </rPr>
      <t>계산 제외</t>
    </r>
    <r>
      <rPr>
        <rFont val="맑은 고딕"/>
        <color rgb="FF595959"/>
        <sz val="9.0"/>
      </rPr>
      <t xml:space="preserve">) / </t>
    </r>
    <r>
      <rPr>
        <rFont val="Noto Sans CJK SC"/>
        <color rgb="FF595959"/>
        <sz val="9.0"/>
      </rPr>
      <t>해당 없음</t>
    </r>
    <r>
      <rPr>
        <rFont val="맑은 고딕"/>
        <color rgb="FF595959"/>
        <sz val="9.0"/>
      </rPr>
      <t>(</t>
    </r>
    <r>
      <rPr>
        <rFont val="Noto Sans CJK SC"/>
        <color rgb="FF595959"/>
        <sz val="9.0"/>
      </rPr>
      <t>불이익 없음</t>
    </r>
    <r>
      <rPr>
        <rFont val="맑은 고딕"/>
        <color rgb="FF595959"/>
        <sz val="9.0"/>
      </rPr>
      <t xml:space="preserve">) · </t>
    </r>
    <r>
      <rPr>
        <rFont val="Noto Sans CJK SC"/>
        <color rgb="FF595959"/>
        <sz val="9.0"/>
      </rPr>
      <t xml:space="preserve">상태 미선택 </t>
    </r>
    <r>
      <rPr>
        <rFont val="맑은 고딕"/>
        <color rgb="FF595959"/>
        <sz val="9.0"/>
      </rPr>
      <t xml:space="preserve">= </t>
    </r>
    <r>
      <rPr>
        <rFont val="Noto Sans CJK SC"/>
        <color rgb="FF595959"/>
        <sz val="9.0"/>
      </rPr>
      <t>미수집 간주</t>
    </r>
  </si>
  <si>
    <r>
      <rPr>
        <rFont val="Noto Sans CJK SC"/>
        <b/>
        <color rgb="FFFFFFFF"/>
        <sz val="11.0"/>
      </rPr>
      <t xml:space="preserve">■ 학생 기본정보  </t>
    </r>
    <r>
      <rPr>
        <rFont val="맑은 고딕"/>
        <b/>
        <color rgb="FFFFFFFF"/>
        <sz val="11.0"/>
      </rPr>
      <t>(</t>
    </r>
    <r>
      <rPr>
        <rFont val="Noto Sans CJK SC"/>
        <b/>
        <color rgb="FFFFFFFF"/>
        <sz val="11.0"/>
      </rPr>
      <t>학년 보정</t>
    </r>
    <r>
      <rPr>
        <rFont val="맑은 고딕"/>
        <b/>
        <color rgb="FFFFFFFF"/>
        <sz val="11.0"/>
      </rPr>
      <t>·</t>
    </r>
    <r>
      <rPr>
        <rFont val="Noto Sans CJK SC"/>
        <b/>
        <color rgb="FFFFFFFF"/>
        <sz val="11.0"/>
      </rPr>
      <t>학적 구분</t>
    </r>
    <r>
      <rPr>
        <rFont val="맑은 고딕"/>
        <b/>
        <color rgb="FFFFFFFF"/>
        <sz val="11.0"/>
      </rPr>
      <t>·</t>
    </r>
    <r>
      <rPr>
        <rFont val="Noto Sans CJK SC"/>
        <b/>
        <color rgb="FFFFFFFF"/>
        <sz val="11.0"/>
      </rPr>
      <t>전공 특수성 판단에 사용</t>
    </r>
    <r>
      <rPr>
        <rFont val="맑은 고딕"/>
        <b/>
        <color rgb="FFFFFFFF"/>
        <sz val="11.0"/>
      </rPr>
      <t>)</t>
    </r>
  </si>
  <si>
    <r>
      <rPr>
        <rFont val="맑은 고딕"/>
        <i/>
        <color rgb="FF7F7F7F"/>
        <sz val="8.0"/>
      </rPr>
      <t>[</t>
    </r>
    <r>
      <rPr>
        <rFont val="Noto Sans CJK SC"/>
        <i/>
        <color rgb="FF7F7F7F"/>
        <sz val="8.0"/>
      </rPr>
      <t xml:space="preserve">주전공 </t>
    </r>
    <r>
      <rPr>
        <rFont val="맑은 고딕"/>
        <i/>
        <color rgb="FF7F7F7F"/>
        <sz val="8.0"/>
      </rPr>
      <t xml:space="preserve">/ </t>
    </r>
    <r>
      <rPr>
        <rFont val="Noto Sans CJK SC"/>
        <i/>
        <color rgb="FF7F7F7F"/>
        <sz val="8.0"/>
      </rPr>
      <t xml:space="preserve">복수전공 </t>
    </r>
    <r>
      <rPr>
        <rFont val="맑은 고딕"/>
        <i/>
        <color rgb="FF7F7F7F"/>
        <sz val="8.0"/>
      </rPr>
      <t xml:space="preserve">/ </t>
    </r>
    <r>
      <rPr>
        <rFont val="Noto Sans CJK SC"/>
        <i/>
        <color rgb="FF7F7F7F"/>
        <sz val="8.0"/>
      </rPr>
      <t xml:space="preserve">부전공 </t>
    </r>
    <r>
      <rPr>
        <rFont val="맑은 고딕"/>
        <i/>
        <color rgb="FF7F7F7F"/>
        <sz val="8.0"/>
      </rPr>
      <t xml:space="preserve">/ </t>
    </r>
    <r>
      <rPr>
        <rFont val="Noto Sans CJK SC"/>
        <i/>
        <color rgb="FF7F7F7F"/>
        <sz val="8.0"/>
      </rPr>
      <t xml:space="preserve">연계전공 </t>
    </r>
    <r>
      <rPr>
        <rFont val="맑은 고딕"/>
        <i/>
        <color rgb="FF7F7F7F"/>
        <sz val="8.0"/>
      </rPr>
      <t xml:space="preserve">/ </t>
    </r>
    <r>
      <rPr>
        <rFont val="Noto Sans CJK SC"/>
        <i/>
        <color rgb="FF7F7F7F"/>
        <sz val="8.0"/>
      </rPr>
      <t xml:space="preserve">융합전공 </t>
    </r>
    <r>
      <rPr>
        <rFont val="맑은 고딕"/>
        <i/>
        <color rgb="FF7F7F7F"/>
        <sz val="8.0"/>
      </rPr>
      <t xml:space="preserve">/ </t>
    </r>
    <r>
      <rPr>
        <rFont val="Noto Sans CJK SC"/>
        <i/>
        <color rgb="FF7F7F7F"/>
        <sz val="8.0"/>
      </rPr>
      <t>심화전공</t>
    </r>
    <r>
      <rPr>
        <rFont val="맑은 고딕"/>
        <i/>
        <color rgb="FF7F7F7F"/>
        <sz val="8.0"/>
      </rPr>
      <t>]</t>
    </r>
  </si>
  <si>
    <r>
      <rPr>
        <rFont val="맑은 고딕"/>
        <color rgb="FF7F7F7F"/>
        <sz val="9.0"/>
      </rPr>
      <t>N</t>
    </r>
    <r>
      <rPr>
        <rFont val="Noto Sans CJK SC"/>
        <color rgb="FF7F7F7F"/>
        <sz val="9.0"/>
      </rPr>
      <t xml:space="preserve">이면 </t>
    </r>
    <r>
      <rPr>
        <rFont val="맑은 고딕"/>
        <color rgb="FF7F7F7F"/>
        <sz val="9.0"/>
      </rPr>
      <t>4</t>
    </r>
    <r>
      <rPr>
        <rFont val="Noto Sans CJK SC"/>
        <color rgb="FF7F7F7F"/>
        <sz val="9.0"/>
      </rPr>
      <t xml:space="preserve">번 카테고리는 </t>
    </r>
    <r>
      <rPr>
        <rFont val="맑은 고딕"/>
        <color rgb="FF7F7F7F"/>
        <sz val="9.0"/>
      </rPr>
      <t>'</t>
    </r>
    <r>
      <rPr>
        <rFont val="Noto Sans CJK SC"/>
        <color rgb="FF7F7F7F"/>
        <sz val="9.0"/>
      </rPr>
      <t>해당 없음</t>
    </r>
    <r>
      <rPr>
        <rFont val="맑은 고딕"/>
        <color rgb="FF7F7F7F"/>
        <sz val="9.0"/>
      </rPr>
      <t>'</t>
    </r>
  </si>
  <si>
    <r>
      <rPr>
        <rFont val="맑은 고딕"/>
        <i/>
        <color rgb="FF7F7F7F"/>
        <sz val="8.0"/>
      </rPr>
      <t>[</t>
    </r>
    <r>
      <rPr>
        <rFont val="Noto Sans CJK SC"/>
        <i/>
        <color rgb="FF7F7F7F"/>
        <sz val="8.0"/>
      </rPr>
      <t xml:space="preserve">신청 </t>
    </r>
    <r>
      <rPr>
        <rFont val="맑은 고딕"/>
        <i/>
        <color rgb="FF7F7F7F"/>
        <sz val="8.0"/>
      </rPr>
      <t xml:space="preserve">/ </t>
    </r>
    <r>
      <rPr>
        <rFont val="Noto Sans CJK SC"/>
        <i/>
        <color rgb="FF7F7F7F"/>
        <sz val="8.0"/>
      </rPr>
      <t xml:space="preserve">이수중 </t>
    </r>
    <r>
      <rPr>
        <rFont val="맑은 고딕"/>
        <i/>
        <color rgb="FF7F7F7F"/>
        <sz val="8.0"/>
      </rPr>
      <t xml:space="preserve">/ </t>
    </r>
    <r>
      <rPr>
        <rFont val="Noto Sans CJK SC"/>
        <i/>
        <color rgb="FF7F7F7F"/>
        <sz val="8.0"/>
      </rPr>
      <t>이수완료</t>
    </r>
    <r>
      <rPr>
        <rFont val="맑은 고딕"/>
        <i/>
        <color rgb="FF7F7F7F"/>
        <sz val="8.0"/>
      </rPr>
      <t>]</t>
    </r>
  </si>
  <si>
    <r>
      <rPr>
        <rFont val="Noto Sans CJK SC"/>
        <i/>
        <color rgb="FF7F7F7F"/>
        <sz val="8.0"/>
      </rPr>
      <t>출처</t>
    </r>
    <r>
      <rPr>
        <rFont val="맑은 고딕"/>
        <i/>
        <color rgb="FF7F7F7F"/>
        <sz val="8.0"/>
      </rPr>
      <t xml:space="preserve">: </t>
    </r>
    <r>
      <rPr>
        <rFont val="Noto Sans CJK SC"/>
        <i/>
        <color rgb="FF7F7F7F"/>
        <sz val="8.0"/>
      </rPr>
      <t xml:space="preserve">학생성공 게이트웨이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전 역량</t>
    </r>
    <r>
      <rPr>
        <rFont val="맑은 고딕"/>
        <i/>
        <color rgb="FF7F7F7F"/>
        <sz val="8.0"/>
      </rPr>
      <t>(</t>
    </r>
    <r>
      <rPr>
        <rFont val="Noto Sans CJK SC"/>
        <i/>
        <color rgb="FF7F7F7F"/>
        <sz val="8.0"/>
      </rPr>
      <t>자기인식</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 xml:space="preserve">객관 점수에 합산하지 말고 </t>
    </r>
    <r>
      <rPr>
        <rFont val="맑은 고딕"/>
        <i/>
        <color rgb="FF7F7F7F"/>
        <sz val="8.0"/>
      </rPr>
      <t>'</t>
    </r>
    <r>
      <rPr>
        <rFont val="Noto Sans CJK SC"/>
        <i/>
        <color rgb="FF7F7F7F"/>
        <sz val="8.0"/>
      </rPr>
      <t xml:space="preserve">자기평가 </t>
    </r>
    <r>
      <rPr>
        <rFont val="맑은 고딕"/>
        <i/>
        <color rgb="FF7F7F7F"/>
        <sz val="8.0"/>
      </rPr>
      <t xml:space="preserve">vs </t>
    </r>
    <r>
      <rPr>
        <rFont val="Noto Sans CJK SC"/>
        <i/>
        <color rgb="FF7F7F7F"/>
        <sz val="8.0"/>
      </rPr>
      <t>데이터 평가</t>
    </r>
    <r>
      <rPr>
        <rFont val="맑은 고딕"/>
        <i/>
        <color rgb="FF7F7F7F"/>
        <sz val="8.0"/>
      </rPr>
      <t xml:space="preserve">' </t>
    </r>
    <r>
      <rPr>
        <rFont val="Noto Sans CJK SC"/>
        <i/>
        <color rgb="FF7F7F7F"/>
        <sz val="8.0"/>
      </rPr>
      <t>비교용으로 별도 표시</t>
    </r>
  </si>
  <si>
    <t>경영학</t>
  </si>
  <si>
    <r>
      <rPr>
        <rFont val="Noto Sans CJK SC"/>
        <color rgb="FF7F7F7F"/>
        <sz val="9.0"/>
      </rPr>
      <t>데이터 추출</t>
    </r>
    <r>
      <rPr>
        <rFont val="맑은 고딕"/>
        <color rgb="FF7F7F7F"/>
        <sz val="9.0"/>
      </rPr>
      <t>(</t>
    </r>
    <r>
      <rPr>
        <rFont val="Noto Sans CJK SC"/>
        <color rgb="FF7F7F7F"/>
        <sz val="9.0"/>
      </rPr>
      <t>또는 제출</t>
    </r>
    <r>
      <rPr>
        <rFont val="맑은 고딕"/>
        <color rgb="FF7F7F7F"/>
        <sz val="9.0"/>
      </rPr>
      <t xml:space="preserve">) </t>
    </r>
    <r>
      <rPr>
        <rFont val="Noto Sans CJK SC"/>
        <color rgb="FF7F7F7F"/>
        <sz val="9.0"/>
      </rPr>
      <t>기준일</t>
    </r>
  </si>
  <si>
    <t>2026-03-10</t>
  </si>
  <si>
    <r>
      <rPr>
        <rFont val="Noto Sans CJK SC"/>
        <b/>
        <color rgb="FF000000"/>
        <sz val="10.0"/>
      </rPr>
      <t>개인정보 수집</t>
    </r>
    <r>
      <rPr>
        <rFont val="맑은 고딕"/>
        <b/>
        <color rgb="FF000000"/>
        <sz val="10.0"/>
      </rPr>
      <t>·</t>
    </r>
    <r>
      <rPr>
        <rFont val="Noto Sans CJK SC"/>
        <b/>
        <color rgb="FF000000"/>
        <sz val="10.0"/>
      </rPr>
      <t>이용 동의</t>
    </r>
  </si>
  <si>
    <r>
      <rPr>
        <rFont val="Noto Sans CJK SC"/>
        <color rgb="FF7F7F7F"/>
        <sz val="9.0"/>
      </rPr>
      <t xml:space="preserve">숫자 </t>
    </r>
    <r>
      <rPr>
        <rFont val="맑은 고딕"/>
        <color rgb="FF7F7F7F"/>
        <sz val="9.0"/>
      </rPr>
      <t>10</t>
    </r>
    <r>
      <rPr>
        <rFont val="Noto Sans CJK SC"/>
        <color rgb="FF7F7F7F"/>
        <sz val="9.0"/>
      </rPr>
      <t>자리</t>
    </r>
    <r>
      <rPr>
        <rFont val="맑은 고딕"/>
        <color rgb="FF7F7F7F"/>
        <sz val="9.0"/>
      </rPr>
      <t>(</t>
    </r>
    <r>
      <rPr>
        <rFont val="Noto Sans CJK SC"/>
        <color rgb="FF7F7F7F"/>
        <sz val="9.0"/>
      </rPr>
      <t>텍스트</t>
    </r>
    <r>
      <rPr>
        <rFont val="맑은 고딕"/>
        <color rgb="FF7F7F7F"/>
        <sz val="9.0"/>
      </rPr>
      <t>)</t>
    </r>
  </si>
  <si>
    <r>
      <rPr>
        <rFont val="맑은 고딕"/>
        <color rgb="FF7F7F7F"/>
        <sz val="9.0"/>
      </rPr>
      <t>N</t>
    </r>
    <r>
      <rPr>
        <rFont val="Noto Sans CJK SC"/>
        <color rgb="FF7F7F7F"/>
        <sz val="9.0"/>
      </rPr>
      <t>이면 평가 대상에서 제외</t>
    </r>
  </si>
  <si>
    <r>
      <rPr>
        <rFont val="Noto Sans CJK SC"/>
        <b/>
        <color rgb="FFFFFFFF"/>
        <sz val="11.0"/>
      </rPr>
      <t>■ 학업</t>
    </r>
    <r>
      <rPr>
        <rFont val="맑은 고딕"/>
        <b/>
        <color rgb="FFFFFFFF"/>
        <sz val="11.0"/>
      </rPr>
      <t>·</t>
    </r>
    <r>
      <rPr>
        <rFont val="Noto Sans CJK SC"/>
        <b/>
        <color rgb="FFFFFFFF"/>
        <sz val="11.0"/>
      </rPr>
      <t>교과</t>
    </r>
  </si>
  <si>
    <r>
      <rPr>
        <rFont val="Noto Sans CJK SC"/>
        <color rgb="FF7F7F7F"/>
        <sz val="9.0"/>
      </rPr>
      <t>예</t>
    </r>
    <r>
      <rPr>
        <rFont val="맑은 고딕"/>
        <color rgb="FF7F7F7F"/>
        <sz val="9.0"/>
      </rPr>
      <t xml:space="preserve">: </t>
    </r>
    <r>
      <rPr>
        <rFont val="Noto Sans CJK SC"/>
        <color rgb="FF7F7F7F"/>
        <sz val="9.0"/>
      </rPr>
      <t>공과대학</t>
    </r>
  </si>
  <si>
    <r>
      <rPr>
        <rFont val="Noto Sans CJK SC"/>
        <b/>
        <color rgb="FF000000"/>
        <sz val="10.0"/>
      </rPr>
      <t>주전공</t>
    </r>
    <r>
      <rPr>
        <rFont val="맑은 고딕"/>
        <b/>
        <color rgb="FF000000"/>
        <sz val="10.0"/>
      </rPr>
      <t>(</t>
    </r>
    <r>
      <rPr>
        <rFont val="Noto Sans CJK SC"/>
        <b/>
        <color rgb="FF000000"/>
        <sz val="10.0"/>
      </rPr>
      <t>학과</t>
    </r>
    <r>
      <rPr>
        <rFont val="맑은 고딕"/>
        <b/>
        <color rgb="FF000000"/>
        <sz val="10.0"/>
      </rPr>
      <t>)</t>
    </r>
  </si>
  <si>
    <r>
      <rPr>
        <rFont val="Noto Sans CJK SC"/>
        <color rgb="FF7F7F7F"/>
        <sz val="9.0"/>
      </rPr>
      <t>예</t>
    </r>
    <r>
      <rPr>
        <rFont val="맑은 고딕"/>
        <color rgb="FF7F7F7F"/>
        <sz val="9.0"/>
      </rPr>
      <t xml:space="preserve">: </t>
    </r>
    <r>
      <rPr>
        <rFont val="Noto Sans CJK SC"/>
        <color rgb="FF7F7F7F"/>
        <sz val="9.0"/>
      </rPr>
      <t>기계공학부</t>
    </r>
  </si>
  <si>
    <r>
      <rPr>
        <rFont val="Noto Sans CJK SC"/>
        <color rgb="FF7F7F7F"/>
        <sz val="9.0"/>
      </rPr>
      <t xml:space="preserve">숫자 </t>
    </r>
    <r>
      <rPr>
        <rFont val="맑은 고딕"/>
        <color rgb="FF7F7F7F"/>
        <sz val="9.0"/>
      </rPr>
      <t>1~6</t>
    </r>
  </si>
  <si>
    <r>
      <rPr>
        <rFont val="Noto Sans CJK SC"/>
        <color rgb="FF7F7F7F"/>
        <sz val="9.0"/>
      </rPr>
      <t>학사시스템 기준 현재 학년</t>
    </r>
    <r>
      <rPr>
        <rFont val="맑은 고딕"/>
        <color rgb="FF7F7F7F"/>
        <sz val="9.0"/>
      </rPr>
      <t>(</t>
    </r>
    <r>
      <rPr>
        <rFont val="Noto Sans CJK SC"/>
        <color rgb="FF7F7F7F"/>
        <sz val="9.0"/>
      </rPr>
      <t>숫자만</t>
    </r>
    <r>
      <rPr>
        <rFont val="맑은 고딕"/>
        <color rgb="FF7F7F7F"/>
        <sz val="9.0"/>
      </rPr>
      <t>)</t>
    </r>
  </si>
  <si>
    <r>
      <rPr>
        <rFont val="Noto Sans CJK SC"/>
        <b/>
        <color rgb="FF000000"/>
        <sz val="11.0"/>
      </rPr>
      <t>성적데이터</t>
    </r>
    <r>
      <rPr>
        <rFont val="맑은 고딕"/>
        <b/>
        <color rgb="FF000000"/>
        <sz val="11.0"/>
      </rPr>
      <t>(</t>
    </r>
    <r>
      <rPr>
        <rFont val="Noto Sans CJK SC"/>
        <b/>
        <color rgb="FF000000"/>
        <sz val="11.0"/>
      </rPr>
      <t>전공</t>
    </r>
    <r>
      <rPr>
        <rFont val="맑은 고딕"/>
        <b/>
        <color rgb="FF000000"/>
        <sz val="11.0"/>
      </rPr>
      <t>·</t>
    </r>
    <r>
      <rPr>
        <rFont val="Noto Sans CJK SC"/>
        <b/>
        <color rgb="FF000000"/>
        <sz val="11.0"/>
      </rPr>
      <t>학기별</t>
    </r>
    <r>
      <rPr>
        <rFont val="맑은 고딕"/>
        <b/>
        <color rgb="FF000000"/>
        <sz val="11.0"/>
      </rPr>
      <t>)</t>
    </r>
  </si>
  <si>
    <r>
      <rPr>
        <rFont val="Noto Sans CJK SC"/>
        <color rgb="FF7F7F7F"/>
        <sz val="9.0"/>
      </rPr>
      <t>휴학 학기 제외</t>
    </r>
    <r>
      <rPr>
        <rFont val="맑은 고딕"/>
        <color rgb="FF7F7F7F"/>
        <sz val="9.0"/>
      </rPr>
      <t xml:space="preserve">, </t>
    </r>
    <r>
      <rPr>
        <rFont val="Noto Sans CJK SC"/>
        <color rgb="FF7F7F7F"/>
        <sz val="9.0"/>
      </rPr>
      <t>본교 기준</t>
    </r>
    <r>
      <rPr>
        <rFont val="맑은 고딕"/>
        <color rgb="FF7F7F7F"/>
        <sz val="9.0"/>
      </rPr>
      <t xml:space="preserve">. </t>
    </r>
    <r>
      <rPr>
        <rFont val="Noto Sans CJK SC"/>
        <color rgb="FF7F7F7F"/>
        <sz val="9.0"/>
      </rPr>
      <t>학년 보정에 사용</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</si>
  <si>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공학계열 한정 → 비대상 전공은 </t>
    </r>
    <r>
      <rPr>
        <rFont val="맑은 고딕"/>
        <i/>
        <color rgb="FF7F7F7F"/>
        <sz val="8.0"/>
      </rPr>
      <t>'</t>
    </r>
    <r>
      <rPr>
        <rFont val="Noto Sans CJK SC"/>
        <i/>
        <color rgb="FF7F7F7F"/>
        <sz val="8.0"/>
      </rPr>
      <t>해당 없음</t>
    </r>
    <r>
      <rPr>
        <rFont val="맑은 고딕"/>
        <i/>
        <color rgb="FF7F7F7F"/>
        <sz val="8.0"/>
      </rPr>
      <t xml:space="preserve">' </t>
    </r>
    <r>
      <rPr>
        <rFont val="Noto Sans CJK SC"/>
        <i/>
        <color rgb="FF7F7F7F"/>
        <sz val="8.0"/>
      </rPr>
      <t>처리</t>
    </r>
    <r>
      <rPr>
        <rFont val="맑은 고딕"/>
        <i/>
        <color rgb="FF7F7F7F"/>
        <sz val="8.0"/>
      </rPr>
      <t>(</t>
    </r>
    <r>
      <rPr>
        <rFont val="Noto Sans CJK SC"/>
        <i/>
        <color rgb="FF7F7F7F"/>
        <sz val="8.0"/>
      </rPr>
      <t>불이익 방지</t>
    </r>
    <r>
      <rPr>
        <rFont val="맑은 고딕"/>
        <i/>
        <color rgb="FF7F7F7F"/>
        <sz val="8.0"/>
      </rPr>
      <t>)</t>
    </r>
  </si>
  <si>
    <r>
      <rPr>
        <rFont val="Noto Sans CJK SC"/>
        <color rgb="FF7F7F7F"/>
        <sz val="9.0"/>
      </rPr>
      <t xml:space="preserve">비대상 전공이면 상태를 </t>
    </r>
    <r>
      <rPr>
        <rFont val="맑은 고딕"/>
        <color rgb="FF7F7F7F"/>
        <sz val="9.0"/>
      </rPr>
      <t>'</t>
    </r>
    <r>
      <rPr>
        <rFont val="Noto Sans CJK SC"/>
        <color rgb="FF7F7F7F"/>
        <sz val="9.0"/>
      </rPr>
      <t>해당 없음</t>
    </r>
    <r>
      <rPr>
        <rFont val="맑은 고딕"/>
        <color rgb="FF7F7F7F"/>
        <sz val="9.0"/>
      </rPr>
      <t>'</t>
    </r>
    <r>
      <rPr>
        <rFont val="Noto Sans CJK SC"/>
        <color rgb="FF7F7F7F"/>
        <sz val="9.0"/>
      </rPr>
      <t xml:space="preserve">으로  </t>
    </r>
    <r>
      <rPr>
        <rFont val="맑은 고딕"/>
        <color rgb="FF7F7F7F"/>
        <sz val="9.0"/>
      </rPr>
      <t>[</t>
    </r>
    <r>
      <rPr>
        <rFont val="Noto Sans CJK SC"/>
        <color rgb="FF7F7F7F"/>
        <sz val="9.0"/>
      </rPr>
      <t xml:space="preserve">대상 </t>
    </r>
    <r>
      <rPr>
        <rFont val="맑은 고딕"/>
        <color rgb="FF7F7F7F"/>
        <sz val="9.0"/>
      </rPr>
      <t xml:space="preserve">/ </t>
    </r>
    <r>
      <rPr>
        <rFont val="Noto Sans CJK SC"/>
        <color rgb="FF7F7F7F"/>
        <sz val="9.0"/>
      </rPr>
      <t>비대상</t>
    </r>
    <r>
      <rPr>
        <rFont val="맑은 고딕"/>
        <color rgb="FF7F7F7F"/>
        <sz val="9.0"/>
      </rPr>
      <t>]</t>
    </r>
  </si>
  <si>
    <t>2022-03</t>
  </si>
  <si>
    <r>
      <rPr>
        <rFont val="Noto Sans CJK SC"/>
        <color rgb="FF7F7F7F"/>
        <sz val="9.0"/>
      </rPr>
      <t>예</t>
    </r>
    <r>
      <rPr>
        <rFont val="맑은 고딕"/>
        <color rgb="FF7F7F7F"/>
        <sz val="9.0"/>
      </rPr>
      <t>: 2023-03</t>
    </r>
  </si>
  <si>
    <r>
      <rPr>
        <rFont val="Noto Sans CJK SC"/>
        <color rgb="FF7F7F7F"/>
        <sz val="9.0"/>
      </rPr>
      <t>예</t>
    </r>
    <r>
      <rPr>
        <rFont val="맑은 고딕"/>
        <color rgb="FF7F7F7F"/>
        <sz val="9.0"/>
      </rPr>
      <t xml:space="preserve">: </t>
    </r>
    <r>
      <rPr>
        <rFont val="Noto Sans CJK SC"/>
        <color rgb="FF7F7F7F"/>
        <sz val="9.0"/>
      </rPr>
      <t>기계공학 공학교육인증</t>
    </r>
  </si>
  <si>
    <r>
      <rPr>
        <rFont val="맑은 고딕"/>
        <color rgb="FF7F7F7F"/>
        <sz val="9.0"/>
      </rPr>
      <t>[</t>
    </r>
    <r>
      <rPr>
        <rFont val="Noto Sans CJK SC"/>
        <color rgb="FF7F7F7F"/>
        <sz val="9.0"/>
      </rPr>
      <t xml:space="preserve">이수중 </t>
    </r>
    <r>
      <rPr>
        <rFont val="맑은 고딕"/>
        <color rgb="FF7F7F7F"/>
        <sz val="9.0"/>
      </rPr>
      <t xml:space="preserve">/ </t>
    </r>
    <r>
      <rPr>
        <rFont val="Noto Sans CJK SC"/>
        <color rgb="FF7F7F7F"/>
        <sz val="9.0"/>
      </rPr>
      <t xml:space="preserve">이수완료 </t>
    </r>
    <r>
      <rPr>
        <rFont val="맑은 고딕"/>
        <color rgb="FF7F7F7F"/>
        <sz val="9.0"/>
      </rPr>
      <t xml:space="preserve">/ </t>
    </r>
    <r>
      <rPr>
        <rFont val="Noto Sans CJK SC"/>
        <color rgb="FF7F7F7F"/>
        <sz val="9.0"/>
      </rPr>
      <t xml:space="preserve">미이수 </t>
    </r>
    <r>
      <rPr>
        <rFont val="맑은 고딕"/>
        <color rgb="FF7F7F7F"/>
        <sz val="9.0"/>
      </rPr>
      <t xml:space="preserve">/ </t>
    </r>
    <r>
      <rPr>
        <rFont val="Noto Sans CJK SC"/>
        <color rgb="FF7F7F7F"/>
        <sz val="9.0"/>
      </rPr>
      <t>포기</t>
    </r>
    <r>
      <rPr>
        <rFont val="맑은 고딕"/>
        <color rgb="FF7F7F7F"/>
        <sz val="9.0"/>
      </rPr>
      <t>]</t>
    </r>
  </si>
  <si>
    <r>
      <rPr>
        <rFont val="Noto Sans CJK SC"/>
        <b/>
        <color rgb="FFFFFFFF"/>
        <sz val="11.0"/>
      </rPr>
      <t>■ 학습행동</t>
    </r>
    <r>
      <rPr>
        <rFont val="맑은 고딕"/>
        <b/>
        <color rgb="FFFFFFFF"/>
        <sz val="11.0"/>
      </rPr>
      <t>(LMS)</t>
    </r>
  </si>
  <si>
    <r>
      <rPr>
        <rFont val="맑은 고딕"/>
        <b/>
        <color rgb="FF000000"/>
        <sz val="11.0"/>
      </rPr>
      <t xml:space="preserve">LMS </t>
    </r>
    <r>
      <rPr>
        <rFont val="Noto Sans CJK SC"/>
        <b/>
        <color rgb="FF000000"/>
        <sz val="11.0"/>
      </rPr>
      <t>학습데이터</t>
    </r>
  </si>
  <si>
    <r>
      <rPr>
        <rFont val="Noto Sans CJK SC"/>
        <i/>
        <color rgb="FF7F7F7F"/>
        <sz val="8.0"/>
      </rPr>
      <t>출처</t>
    </r>
    <r>
      <rPr>
        <rFont val="맑은 고딕"/>
        <i/>
        <color rgb="FF7F7F7F"/>
        <sz val="8.0"/>
      </rPr>
      <t xml:space="preserve">: </t>
    </r>
    <r>
      <rPr>
        <rFont val="Noto Sans CJK SC"/>
        <i/>
        <color rgb="FF7F7F7F"/>
        <sz val="8.0"/>
      </rPr>
      <t xml:space="preserve">학생성공 게이트웨이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자기관리 </t>
    </r>
    <r>
      <rPr>
        <rFont val="맑은 고딕"/>
        <i/>
        <color rgb="FF7F7F7F"/>
        <sz val="8.0"/>
      </rPr>
      <t xml:space="preserve">/ </t>
    </r>
    <r>
      <rPr>
        <rFont val="Noto Sans CJK SC"/>
        <i/>
        <color rgb="FF7F7F7F"/>
        <sz val="8.0"/>
      </rPr>
      <t xml:space="preserve">학업성취   </t>
    </r>
    <r>
      <rPr>
        <rFont val="맑은 고딕"/>
        <i/>
        <color rgb="FF7F7F7F"/>
        <sz val="8.0"/>
      </rPr>
      <t xml:space="preserve">|   </t>
    </r>
    <r>
      <rPr>
        <rFont val="Noto Sans CJK SC"/>
        <i/>
        <color rgb="FF7F7F7F"/>
        <sz val="8.0"/>
      </rPr>
      <t>비고</t>
    </r>
    <r>
      <rPr>
        <rFont val="맑은 고딕"/>
        <i/>
        <color rgb="FF7F7F7F"/>
        <sz val="8.0"/>
      </rPr>
      <t>: SSCA</t>
    </r>
    <r>
      <rPr>
        <rFont val="Noto Sans CJK SC"/>
        <i/>
        <color rgb="FF7F7F7F"/>
        <sz val="8.0"/>
      </rPr>
      <t>와 동일하게 비교용 권장</t>
    </r>
  </si>
  <si>
    <r>
      <rPr>
        <rFont val="맑은 고딕"/>
        <color rgb="FF7F7F7F"/>
        <sz val="9.0"/>
      </rPr>
      <t>N</t>
    </r>
    <r>
      <rPr>
        <rFont val="Noto Sans CJK SC"/>
        <color rgb="FF7F7F7F"/>
        <sz val="9.0"/>
      </rPr>
      <t xml:space="preserve">이면 </t>
    </r>
    <r>
      <rPr>
        <rFont val="맑은 고딕"/>
        <color rgb="FF7F7F7F"/>
        <sz val="9.0"/>
      </rPr>
      <t>4</t>
    </r>
    <r>
      <rPr>
        <rFont val="Noto Sans CJK SC"/>
        <color rgb="FF7F7F7F"/>
        <sz val="9.0"/>
      </rPr>
      <t xml:space="preserve">번 카테고리는 </t>
    </r>
    <r>
      <rPr>
        <rFont val="맑은 고딕"/>
        <color rgb="FF7F7F7F"/>
        <sz val="9.0"/>
      </rPr>
      <t>'</t>
    </r>
    <r>
      <rPr>
        <rFont val="Noto Sans CJK SC"/>
        <color rgb="FF7F7F7F"/>
        <sz val="9.0"/>
      </rPr>
      <t>해당 없음</t>
    </r>
    <r>
      <rPr>
        <rFont val="맑은 고딕"/>
        <color rgb="FF7F7F7F"/>
        <sz val="9.0"/>
      </rPr>
      <t>'</t>
    </r>
  </si>
  <si>
    <r>
      <rPr>
        <rFont val="Noto Sans CJK SC"/>
        <color rgb="FF7F7F7F"/>
        <sz val="9.0"/>
      </rPr>
      <t>데이터 추출</t>
    </r>
    <r>
      <rPr>
        <rFont val="맑은 고딕"/>
        <color rgb="FF7F7F7F"/>
        <sz val="9.0"/>
      </rPr>
      <t>(</t>
    </r>
    <r>
      <rPr>
        <rFont val="Noto Sans CJK SC"/>
        <color rgb="FF7F7F7F"/>
        <sz val="9.0"/>
      </rPr>
      <t>또는 제출</t>
    </r>
    <r>
      <rPr>
        <rFont val="맑은 고딕"/>
        <color rgb="FF7F7F7F"/>
        <sz val="9.0"/>
      </rPr>
      <t xml:space="preserve">) </t>
    </r>
    <r>
      <rPr>
        <rFont val="Noto Sans CJK SC"/>
        <color rgb="FF7F7F7F"/>
        <sz val="9.0"/>
      </rPr>
      <t>기준일</t>
    </r>
  </si>
  <si>
    <r>
      <rPr>
        <rFont val="Noto Sans CJK SC"/>
        <b/>
        <color rgb="FF000000"/>
        <sz val="10.0"/>
      </rPr>
      <t>개인정보 수집</t>
    </r>
    <r>
      <rPr>
        <rFont val="맑은 고딕"/>
        <b/>
        <color rgb="FF000000"/>
        <sz val="10.0"/>
      </rPr>
      <t>·</t>
    </r>
    <r>
      <rPr>
        <rFont val="Noto Sans CJK SC"/>
        <b/>
        <color rgb="FF000000"/>
        <sz val="10.0"/>
      </rPr>
      <t>이용 동의</t>
    </r>
  </si>
  <si>
    <r>
      <rPr>
        <rFont val="Noto Sans CJK SC"/>
        <color rgb="FF1F3B8A"/>
        <sz val="10.0"/>
      </rPr>
      <t>학습 동기 높음</t>
    </r>
    <r>
      <rPr>
        <rFont val="맑은 고딕"/>
        <color rgb="FF1F3B8A"/>
        <sz val="10.0"/>
      </rPr>
      <t xml:space="preserve">, </t>
    </r>
    <r>
      <rPr>
        <rFont val="Noto Sans CJK SC"/>
        <color rgb="FF1F3B8A"/>
        <sz val="10.0"/>
      </rPr>
      <t>시간관리 보통</t>
    </r>
  </si>
  <si>
    <r>
      <rPr>
        <rFont val="맑은 고딕"/>
        <color rgb="FF7F7F7F"/>
        <sz val="9.0"/>
      </rPr>
      <t>N</t>
    </r>
    <r>
      <rPr>
        <rFont val="Noto Sans CJK SC"/>
        <color rgb="FF7F7F7F"/>
        <sz val="9.0"/>
      </rPr>
      <t>이면 평가 대상에서 제외</t>
    </r>
  </si>
  <si>
    <r>
      <rPr>
        <rFont val="Noto Sans CJK SC"/>
        <i/>
        <color rgb="FF7F7F7F"/>
        <sz val="8.0"/>
      </rPr>
      <t>출처</t>
    </r>
    <r>
      <rPr>
        <rFont val="맑은 고딕"/>
        <i/>
        <color rgb="FF7F7F7F"/>
        <sz val="8.0"/>
      </rPr>
      <t xml:space="preserve">: </t>
    </r>
    <r>
      <rPr>
        <rFont val="Noto Sans CJK SC"/>
        <i/>
        <color rgb="FF7F7F7F"/>
        <sz val="8.0"/>
      </rPr>
      <t>학사시스템</t>
    </r>
    <r>
      <rPr>
        <rFont val="맑은 고딕"/>
        <i/>
        <color rgb="FF7F7F7F"/>
        <sz val="8.0"/>
      </rPr>
      <t>(</t>
    </r>
    <r>
      <rPr>
        <rFont val="Noto Sans CJK SC"/>
        <i/>
        <color rgb="FF7F7F7F"/>
        <sz val="8.0"/>
      </rPr>
      <t>성적</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학업성취 </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xml:space="preserve">: [C] </t>
    </r>
    <r>
      <rPr>
        <rFont val="Noto Sans CJK SC"/>
        <i/>
        <color rgb="FF7F7F7F"/>
        <sz val="8.0"/>
      </rPr>
      <t>전공별</t>
    </r>
    <r>
      <rPr>
        <rFont val="맑은 고딕"/>
        <i/>
        <color rgb="FF7F7F7F"/>
        <sz val="8.0"/>
      </rPr>
      <t>·</t>
    </r>
    <r>
      <rPr>
        <rFont val="Noto Sans CJK SC"/>
        <i/>
        <color rgb="FF7F7F7F"/>
        <sz val="8.0"/>
      </rPr>
      <t>학기별 성적 통합</t>
    </r>
    <r>
      <rPr>
        <rFont val="맑은 고딕"/>
        <i/>
        <color rgb="FF7F7F7F"/>
        <sz val="8.0"/>
      </rPr>
      <t xml:space="preserve">. </t>
    </r>
    <r>
      <rPr>
        <rFont val="Noto Sans CJK SC"/>
        <i/>
        <color rgb="FF7F7F7F"/>
        <sz val="8.0"/>
      </rPr>
      <t xml:space="preserve">학기별 추이로 </t>
    </r>
    <r>
      <rPr>
        <rFont val="맑은 고딕"/>
        <i/>
        <color rgb="FF7F7F7F"/>
        <sz val="8.0"/>
      </rPr>
      <t>'</t>
    </r>
    <r>
      <rPr>
        <rFont val="Noto Sans CJK SC"/>
        <i/>
        <color rgb="FF7F7F7F"/>
        <sz val="8.0"/>
      </rPr>
      <t>성장</t>
    </r>
    <r>
      <rPr>
        <rFont val="맑은 고딕"/>
        <i/>
        <color rgb="FF7F7F7F"/>
        <sz val="8.0"/>
      </rPr>
      <t xml:space="preserve">' </t>
    </r>
    <r>
      <rPr>
        <rFont val="Noto Sans CJK SC"/>
        <i/>
        <color rgb="FF7F7F7F"/>
        <sz val="8.0"/>
      </rPr>
      <t>지표 추가 가능</t>
    </r>
  </si>
  <si>
    <r>
      <rPr>
        <rFont val="Noto Sans CJK SC"/>
        <b/>
        <color rgb="FFFFFFFF"/>
        <sz val="11.0"/>
      </rPr>
      <t>■ 학업</t>
    </r>
    <r>
      <rPr>
        <rFont val="맑은 고딕"/>
        <b/>
        <color rgb="FFFFFFFF"/>
        <sz val="11.0"/>
      </rPr>
      <t>·</t>
    </r>
    <r>
      <rPr>
        <rFont val="Noto Sans CJK SC"/>
        <b/>
        <color rgb="FFFFFFFF"/>
        <sz val="11.0"/>
      </rPr>
      <t>교과</t>
    </r>
  </si>
  <si>
    <r>
      <rPr>
        <rFont val="Noto Sans CJK SC"/>
        <b/>
        <color rgb="FF000000"/>
        <sz val="11.0"/>
      </rPr>
      <t>활동 성찰 기록</t>
    </r>
    <r>
      <rPr>
        <rFont val="맑은 고딕"/>
        <b/>
        <color rgb="FF000000"/>
        <sz val="11.0"/>
      </rPr>
      <t>(STAR)</t>
    </r>
  </si>
  <si>
    <r>
      <rPr>
        <rFont val="Noto Sans CJK SC"/>
        <b/>
        <color rgb="FF000000"/>
        <sz val="10.0"/>
      </rPr>
      <t>전체 평점</t>
    </r>
    <r>
      <rPr>
        <rFont val="맑은 고딕"/>
        <b/>
        <color rgb="FF000000"/>
        <sz val="10.0"/>
      </rPr>
      <t>(</t>
    </r>
    <r>
      <rPr>
        <rFont val="Noto Sans CJK SC"/>
        <b/>
        <color rgb="FF000000"/>
        <sz val="10.0"/>
      </rPr>
      <t>누적</t>
    </r>
    <r>
      <rPr>
        <rFont val="맑은 고딕"/>
        <b/>
        <color rgb="FF000000"/>
        <sz val="10.0"/>
      </rPr>
      <t>)</t>
    </r>
  </si>
  <si>
    <r>
      <rPr>
        <rFont val="Noto Sans CJK SC"/>
        <color rgb="FF7F7F7F"/>
        <sz val="9.0"/>
      </rPr>
      <t>숫자</t>
    </r>
    <r>
      <rPr>
        <rFont val="맑은 고딕"/>
        <color rgb="FF7F7F7F"/>
        <sz val="9.0"/>
      </rPr>
      <t>(</t>
    </r>
    <r>
      <rPr>
        <rFont val="Noto Sans CJK SC"/>
        <color rgb="FF7F7F7F"/>
        <sz val="9.0"/>
      </rPr>
      <t xml:space="preserve">소수 </t>
    </r>
    <r>
      <rPr>
        <rFont val="맑은 고딕"/>
        <color rgb="FF7F7F7F"/>
        <sz val="9.0"/>
      </rPr>
      <t>2</t>
    </r>
    <r>
      <rPr>
        <rFont val="Noto Sans CJK SC"/>
        <color rgb="FF7F7F7F"/>
        <sz val="9.0"/>
      </rPr>
      <t>자리</t>
    </r>
    <r>
      <rPr>
        <rFont val="맑은 고딕"/>
        <color rgb="FF7F7F7F"/>
        <sz val="9.0"/>
      </rPr>
      <t>)</t>
    </r>
  </si>
  <si>
    <r>
      <rPr>
        <rFont val="Noto Sans CJK SC"/>
        <color rgb="FF7F7F7F"/>
        <sz val="9.0"/>
      </rPr>
      <t>예</t>
    </r>
    <r>
      <rPr>
        <rFont val="맑은 고딕"/>
        <color rgb="FF7F7F7F"/>
        <sz val="9.0"/>
      </rPr>
      <t>: 3.85</t>
    </r>
  </si>
  <si>
    <r>
      <rPr>
        <rFont val="Noto Sans CJK SC"/>
        <i/>
        <color rgb="FF7F7F7F"/>
        <sz val="8.0"/>
      </rPr>
      <t>출처</t>
    </r>
    <r>
      <rPr>
        <rFont val="맑은 고딕"/>
        <i/>
        <color rgb="FF7F7F7F"/>
        <sz val="8.0"/>
      </rPr>
      <t xml:space="preserve">: LMS(i-Campus) · </t>
    </r>
    <r>
      <rPr>
        <rFont val="Noto Sans CJK SC"/>
        <i/>
        <color rgb="FF7F7F7F"/>
        <sz val="8.0"/>
      </rPr>
      <t xml:space="preserve">출석앱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자기관리 </t>
    </r>
    <r>
      <rPr>
        <rFont val="맑은 고딕"/>
        <i/>
        <color rgb="FF7F7F7F"/>
        <sz val="8.0"/>
      </rPr>
      <t xml:space="preserve">/ </t>
    </r>
    <r>
      <rPr>
        <rFont val="Noto Sans CJK SC"/>
        <i/>
        <color rgb="FF7F7F7F"/>
        <sz val="8.0"/>
      </rPr>
      <t xml:space="preserve">성실성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마인드맵 </t>
    </r>
    <r>
      <rPr>
        <rFont val="맑은 고딕"/>
        <i/>
        <color rgb="FF7F7F7F"/>
        <sz val="8.0"/>
      </rPr>
      <t>'</t>
    </r>
    <r>
      <rPr>
        <rFont val="Noto Sans CJK SC"/>
        <i/>
        <color rgb="FF7F7F7F"/>
        <sz val="8.0"/>
      </rPr>
      <t>퀴즈 생성 주기</t>
    </r>
    <r>
      <rPr>
        <rFont val="맑은 고딕"/>
        <i/>
        <color rgb="FF7F7F7F"/>
        <sz val="8.0"/>
      </rPr>
      <t xml:space="preserve">' vs </t>
    </r>
    <r>
      <rPr>
        <rFont val="Noto Sans CJK SC"/>
        <i/>
        <color rgb="FF7F7F7F"/>
        <sz val="8.0"/>
      </rPr>
      <t xml:space="preserve">데이터 </t>
    </r>
    <r>
      <rPr>
        <rFont val="맑은 고딕"/>
        <i/>
        <color rgb="FF7F7F7F"/>
        <sz val="8.0"/>
      </rPr>
      <t>'</t>
    </r>
    <r>
      <rPr>
        <rFont val="Noto Sans CJK SC"/>
        <i/>
        <color rgb="FF7F7F7F"/>
        <sz val="8.0"/>
      </rPr>
      <t>퀴즈풀이횟수</t>
    </r>
    <r>
      <rPr>
        <rFont val="맑은 고딕"/>
        <i/>
        <color rgb="FF7F7F7F"/>
        <sz val="8.0"/>
      </rPr>
      <t xml:space="preserve">' </t>
    </r>
    <r>
      <rPr>
        <rFont val="Noto Sans CJK SC"/>
        <i/>
        <color rgb="FF7F7F7F"/>
        <sz val="8.0"/>
      </rPr>
      <t>용어 통일 필요</t>
    </r>
  </si>
  <si>
    <r>
      <rPr>
        <rFont val="Noto Sans CJK SC"/>
        <b/>
        <color rgb="FF000000"/>
        <sz val="10.0"/>
      </rPr>
      <t>전공 평점</t>
    </r>
    <r>
      <rPr>
        <rFont val="맑은 고딕"/>
        <b/>
        <color rgb="FF000000"/>
        <sz val="10.0"/>
      </rPr>
      <t>(</t>
    </r>
    <r>
      <rPr>
        <rFont val="Noto Sans CJK SC"/>
        <b/>
        <color rgb="FF000000"/>
        <sz val="10.0"/>
      </rPr>
      <t>누적</t>
    </r>
    <r>
      <rPr>
        <rFont val="맑은 고딕"/>
        <b/>
        <color rgb="FF000000"/>
        <sz val="10.0"/>
      </rPr>
      <t>)</t>
    </r>
  </si>
  <si>
    <r>
      <rPr>
        <rFont val="Noto Sans CJK SC"/>
        <color rgb="FF7F7F7F"/>
        <sz val="9.0"/>
      </rPr>
      <t>숫자</t>
    </r>
    <r>
      <rPr>
        <rFont val="맑은 고딕"/>
        <color rgb="FF7F7F7F"/>
        <sz val="9.0"/>
      </rPr>
      <t>(</t>
    </r>
    <r>
      <rPr>
        <rFont val="Noto Sans CJK SC"/>
        <color rgb="FF7F7F7F"/>
        <sz val="9.0"/>
      </rPr>
      <t xml:space="preserve">소수 </t>
    </r>
    <r>
      <rPr>
        <rFont val="맑은 고딕"/>
        <color rgb="FF7F7F7F"/>
        <sz val="9.0"/>
      </rPr>
      <t>2</t>
    </r>
    <r>
      <rPr>
        <rFont val="Noto Sans CJK SC"/>
        <color rgb="FF7F7F7F"/>
        <sz val="9.0"/>
      </rPr>
      <t>자리</t>
    </r>
    <r>
      <rPr>
        <rFont val="맑은 고딕"/>
        <color rgb="FF7F7F7F"/>
        <sz val="9.0"/>
      </rPr>
      <t>)</t>
    </r>
  </si>
  <si>
    <r>
      <rPr>
        <rFont val="Noto Sans CJK SC"/>
        <color rgb="FF7F7F7F"/>
        <sz val="9.0"/>
      </rPr>
      <t>예</t>
    </r>
    <r>
      <rPr>
        <rFont val="맑은 고딕"/>
        <color rgb="FF7F7F7F"/>
        <sz val="9.0"/>
      </rPr>
      <t>: 3.92</t>
    </r>
  </si>
  <si>
    <r>
      <rPr>
        <rFont val="Noto Sans CJK SC"/>
        <color rgb="FF7F7F7F"/>
        <sz val="9.0"/>
      </rPr>
      <t xml:space="preserve">성균관대 </t>
    </r>
    <r>
      <rPr>
        <rFont val="맑은 고딕"/>
        <color rgb="FF7F7F7F"/>
        <sz val="9.0"/>
      </rPr>
      <t>4.5</t>
    </r>
  </si>
  <si>
    <r>
      <rPr>
        <rFont val="Noto Sans CJK SC"/>
        <color rgb="FF7F7F7F"/>
        <sz val="9.0"/>
      </rPr>
      <t>예</t>
    </r>
    <r>
      <rPr>
        <rFont val="맑은 고딕"/>
        <color rgb="FF7F7F7F"/>
        <sz val="9.0"/>
      </rPr>
      <t>: 2026-1</t>
    </r>
    <r>
      <rPr>
        <rFont val="Noto Sans CJK SC"/>
        <color rgb="FF7F7F7F"/>
        <sz val="9.0"/>
      </rPr>
      <t>학기</t>
    </r>
  </si>
  <si>
    <r>
      <rPr>
        <rFont val="Noto Sans CJK SC"/>
        <b/>
        <color rgb="FF000000"/>
        <sz val="11.0"/>
      </rPr>
      <t>성적데이터</t>
    </r>
    <r>
      <rPr>
        <rFont val="맑은 고딕"/>
        <b/>
        <color rgb="FF000000"/>
        <sz val="11.0"/>
      </rPr>
      <t>(</t>
    </r>
    <r>
      <rPr>
        <rFont val="Noto Sans CJK SC"/>
        <b/>
        <color rgb="FF000000"/>
        <sz val="11.0"/>
      </rPr>
      <t>전공</t>
    </r>
    <r>
      <rPr>
        <rFont val="맑은 고딕"/>
        <b/>
        <color rgb="FF000000"/>
        <sz val="11.0"/>
      </rPr>
      <t>·</t>
    </r>
    <r>
      <rPr>
        <rFont val="Noto Sans CJK SC"/>
        <b/>
        <color rgb="FF000000"/>
        <sz val="11.0"/>
      </rPr>
      <t>학기별</t>
    </r>
    <r>
      <rPr>
        <rFont val="맑은 고딕"/>
        <b/>
        <color rgb="FF000000"/>
        <sz val="11.0"/>
      </rPr>
      <t>)</t>
    </r>
  </si>
  <si>
    <r>
      <rPr>
        <rFont val="Noto Sans CJK SC"/>
        <b/>
        <color rgb="FF000000"/>
        <sz val="10.0"/>
      </rPr>
      <t>출석률</t>
    </r>
    <r>
      <rPr>
        <rFont val="맑은 고딕"/>
        <b/>
        <color rgb="FF000000"/>
        <sz val="10.0"/>
      </rPr>
      <t>(%)</t>
    </r>
  </si>
  <si>
    <r>
      <rPr>
        <rFont val="Noto Sans CJK SC"/>
        <color rgb="FF7F7F7F"/>
        <sz val="9.0"/>
      </rPr>
      <t xml:space="preserve">숫자 </t>
    </r>
    <r>
      <rPr>
        <rFont val="맑은 고딕"/>
        <color rgb="FF7F7F7F"/>
        <sz val="9.0"/>
      </rPr>
      <t>0~100</t>
    </r>
  </si>
  <si>
    <r>
      <rPr>
        <rFont val="맑은 고딕"/>
        <color rgb="FF7F7F7F"/>
        <sz val="9.0"/>
      </rPr>
      <t xml:space="preserve">% </t>
    </r>
    <r>
      <rPr>
        <rFont val="Noto Sans CJK SC"/>
        <color rgb="FF7F7F7F"/>
        <sz val="9.0"/>
      </rPr>
      <t>기호 없이 숫자만</t>
    </r>
  </si>
  <si>
    <r>
      <rPr>
        <rFont val="Noto Sans CJK SC"/>
        <b/>
        <color rgb="FF000000"/>
        <sz val="10.0"/>
      </rPr>
      <t>과제 기한 준수율</t>
    </r>
    <r>
      <rPr>
        <rFont val="맑은 고딕"/>
        <b/>
        <color rgb="FF000000"/>
        <sz val="10.0"/>
      </rPr>
      <t>(%)</t>
    </r>
  </si>
  <si>
    <r>
      <rPr>
        <rFont val="Noto Sans CJK SC"/>
        <color rgb="FF7F7F7F"/>
        <sz val="9.0"/>
      </rPr>
      <t xml:space="preserve">숫자 </t>
    </r>
    <r>
      <rPr>
        <rFont val="맑은 고딕"/>
        <color rgb="FF7F7F7F"/>
        <sz val="9.0"/>
      </rPr>
      <t>0~100</t>
    </r>
  </si>
  <si>
    <r>
      <rPr>
        <rFont val="맑은 고딕"/>
        <color rgb="FF7F7F7F"/>
        <sz val="9.0"/>
      </rPr>
      <t xml:space="preserve">% </t>
    </r>
    <r>
      <rPr>
        <rFont val="Noto Sans CJK SC"/>
        <color rgb="FF7F7F7F"/>
        <sz val="9.0"/>
      </rPr>
      <t>기호 없이 숫자만</t>
    </r>
  </si>
  <si>
    <r>
      <rPr>
        <rFont val="맑은 고딕"/>
        <i/>
        <color rgb="FF7F7F7F"/>
        <sz val="8.0"/>
      </rPr>
      <t>YYYY-1 / YYYY-2 / YYYY-</t>
    </r>
    <r>
      <rPr>
        <rFont val="Noto Sans CJK SC"/>
        <i/>
        <color rgb="FF7F7F7F"/>
        <sz val="8.0"/>
      </rPr>
      <t xml:space="preserve">여름 </t>
    </r>
    <r>
      <rPr>
        <rFont val="맑은 고딕"/>
        <i/>
        <color rgb="FF7F7F7F"/>
        <sz val="8.0"/>
      </rPr>
      <t>/ YYYY-</t>
    </r>
    <r>
      <rPr>
        <rFont val="Noto Sans CJK SC"/>
        <i/>
        <color rgb="FF7F7F7F"/>
        <sz val="8.0"/>
      </rPr>
      <t>겨울</t>
    </r>
  </si>
  <si>
    <r>
      <rPr>
        <rFont val="Noto Sans CJK SC"/>
        <color rgb="FF7F7F7F"/>
        <sz val="9.0"/>
      </rPr>
      <t>회</t>
    </r>
    <r>
      <rPr>
        <rFont val="맑은 고딕"/>
        <color rgb="FF7F7F7F"/>
        <sz val="9.0"/>
      </rPr>
      <t>/</t>
    </r>
    <r>
      <rPr>
        <rFont val="Noto Sans CJK SC"/>
        <color rgb="FF7F7F7F"/>
        <sz val="9.0"/>
      </rPr>
      <t>주</t>
    </r>
  </si>
  <si>
    <r>
      <rPr>
        <rFont val="Noto Sans CJK SC"/>
        <i/>
        <color rgb="FF7F7F7F"/>
        <sz val="8.0"/>
      </rPr>
      <t>휴학</t>
    </r>
    <r>
      <rPr>
        <rFont val="맑은 고딕"/>
        <i/>
        <color rgb="FF7F7F7F"/>
        <sz val="8.0"/>
      </rPr>
      <t>·</t>
    </r>
    <r>
      <rPr>
        <rFont val="Noto Sans CJK SC"/>
        <i/>
        <color rgb="FF7F7F7F"/>
        <sz val="8.0"/>
      </rPr>
      <t>계절 등</t>
    </r>
  </si>
  <si>
    <r>
      <rPr>
        <rFont val="Noto Sans CJK SC"/>
        <b/>
        <color rgb="FF000000"/>
        <sz val="10.0"/>
      </rPr>
      <t>퀴즈 풀이 횟수</t>
    </r>
    <r>
      <rPr>
        <rFont val="맑은 고딕"/>
        <b/>
        <color rgb="FF000000"/>
        <sz val="10.0"/>
      </rPr>
      <t>(</t>
    </r>
    <r>
      <rPr>
        <rFont val="Noto Sans CJK SC"/>
        <b/>
        <color rgb="FF000000"/>
        <sz val="10.0"/>
      </rPr>
      <t>누적</t>
    </r>
    <r>
      <rPr>
        <rFont val="맑은 고딕"/>
        <b/>
        <color rgb="FF000000"/>
        <sz val="10.0"/>
      </rPr>
      <t>)</t>
    </r>
  </si>
  <si>
    <r>
      <rPr>
        <rFont val="Noto Sans CJK SC"/>
        <b/>
        <color rgb="FF000000"/>
        <sz val="10.0"/>
      </rPr>
      <t>학습계획 달성률</t>
    </r>
    <r>
      <rPr>
        <rFont val="맑은 고딕"/>
        <b/>
        <color rgb="FF000000"/>
        <sz val="10.0"/>
      </rPr>
      <t>(%)</t>
    </r>
  </si>
  <si>
    <r>
      <rPr>
        <rFont val="Noto Sans CJK SC"/>
        <color rgb="FF7F7F7F"/>
        <sz val="9.0"/>
      </rPr>
      <t xml:space="preserve">숫자 </t>
    </r>
    <r>
      <rPr>
        <rFont val="맑은 고딕"/>
        <color rgb="FF7F7F7F"/>
        <sz val="9.0"/>
      </rPr>
      <t>0~100</t>
    </r>
  </si>
  <si>
    <r>
      <rPr>
        <rFont val="Noto Sans CJK SC"/>
        <b/>
        <color rgb="FF000000"/>
        <sz val="11.0"/>
      </rPr>
      <t>교수면담</t>
    </r>
    <r>
      <rPr>
        <rFont val="맑은 고딕"/>
        <b/>
        <color rgb="FF000000"/>
        <sz val="11.0"/>
      </rPr>
      <t>·</t>
    </r>
    <r>
      <rPr>
        <rFont val="Noto Sans CJK SC"/>
        <b/>
        <color rgb="FF000000"/>
        <sz val="11.0"/>
      </rPr>
      <t>학업상담</t>
    </r>
  </si>
  <si>
    <r>
      <rPr>
        <rFont val="Noto Sans CJK SC"/>
        <i/>
        <color rgb="FF7F7F7F"/>
        <sz val="8.0"/>
      </rPr>
      <t>출처</t>
    </r>
    <r>
      <rPr>
        <rFont val="맑은 고딕"/>
        <i/>
        <color rgb="FF7F7F7F"/>
        <sz val="8.0"/>
      </rPr>
      <t xml:space="preserve">: </t>
    </r>
    <r>
      <rPr>
        <rFont val="Noto Sans CJK SC"/>
        <i/>
        <color rgb="FF7F7F7F"/>
        <sz val="8.0"/>
      </rPr>
      <t>학생 입력</t>
    </r>
    <r>
      <rPr>
        <rFont val="맑은 고딕"/>
        <i/>
        <color rgb="FF7F7F7F"/>
        <sz val="8.0"/>
      </rPr>
      <t>(</t>
    </r>
    <r>
      <rPr>
        <rFont val="Noto Sans CJK SC"/>
        <i/>
        <color rgb="FF7F7F7F"/>
        <sz val="8.0"/>
      </rPr>
      <t>포트폴리오</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리더십 </t>
    </r>
    <r>
      <rPr>
        <rFont val="맑은 고딕"/>
        <i/>
        <color rgb="FF7F7F7F"/>
        <sz val="8.0"/>
      </rPr>
      <t xml:space="preserve">/ </t>
    </r>
    <r>
      <rPr>
        <rFont val="Noto Sans CJK SC"/>
        <i/>
        <color rgb="FF7F7F7F"/>
        <sz val="8.0"/>
      </rPr>
      <t xml:space="preserve">문제해결력 </t>
    </r>
    <r>
      <rPr>
        <rFont val="맑은 고딕"/>
        <i/>
        <color rgb="FF7F7F7F"/>
        <sz val="8.0"/>
      </rPr>
      <t xml:space="preserve">/ </t>
    </r>
    <r>
      <rPr>
        <rFont val="Noto Sans CJK SC"/>
        <i/>
        <color rgb="FF7F7F7F"/>
        <sz val="8.0"/>
      </rPr>
      <t xml:space="preserve">커뮤니케이션 등 정성 역량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정성 루브릭이 판단할 </t>
    </r>
    <r>
      <rPr>
        <rFont val="맑은 고딕"/>
        <i/>
        <color rgb="FF7F7F7F"/>
        <sz val="8.0"/>
      </rPr>
      <t>'</t>
    </r>
    <r>
      <rPr>
        <rFont val="Noto Sans CJK SC"/>
        <i/>
        <color rgb="FF7F7F7F"/>
        <sz val="8.0"/>
      </rPr>
      <t>질적 근거</t>
    </r>
    <r>
      <rPr>
        <rFont val="맑은 고딕"/>
        <i/>
        <color rgb="FF7F7F7F"/>
        <sz val="8.0"/>
      </rPr>
      <t>'</t>
    </r>
    <r>
      <rPr>
        <rFont val="Noto Sans CJK SC"/>
        <i/>
        <color rgb="FF7F7F7F"/>
        <sz val="8.0"/>
      </rPr>
      <t>가 현재 거의 없음 → 가장 우선 확보 권장</t>
    </r>
  </si>
  <si>
    <r>
      <rPr>
        <rFont val="Noto Sans CJK SC"/>
        <b/>
        <color rgb="FF000000"/>
        <sz val="9.0"/>
      </rPr>
      <t xml:space="preserve">관련 카테고리 </t>
    </r>
    <r>
      <rPr>
        <rFont val="맑은 고딕"/>
        <b/>
        <color rgb="FF000000"/>
        <sz val="9.0"/>
      </rPr>
      <t>No</t>
    </r>
  </si>
  <si>
    <r>
      <rPr>
        <rFont val="Noto Sans CJK SC"/>
        <b/>
        <color rgb="FF000000"/>
        <sz val="9.0"/>
      </rPr>
      <t>상황</t>
    </r>
    <r>
      <rPr>
        <rFont val="맑은 고딕"/>
        <b/>
        <color rgb="FF000000"/>
        <sz val="9.0"/>
      </rPr>
      <t>(S)</t>
    </r>
  </si>
  <si>
    <r>
      <rPr>
        <rFont val="Noto Sans CJK SC"/>
        <b/>
        <color rgb="FF000000"/>
        <sz val="9.0"/>
      </rPr>
      <t>과제</t>
    </r>
    <r>
      <rPr>
        <rFont val="맑은 고딕"/>
        <b/>
        <color rgb="FF000000"/>
        <sz val="9.0"/>
      </rPr>
      <t>·</t>
    </r>
    <r>
      <rPr>
        <rFont val="Noto Sans CJK SC"/>
        <b/>
        <color rgb="FF000000"/>
        <sz val="9.0"/>
      </rPr>
      <t>역할</t>
    </r>
    <r>
      <rPr>
        <rFont val="맑은 고딕"/>
        <b/>
        <color rgb="FF000000"/>
        <sz val="9.0"/>
      </rPr>
      <t>(T)</t>
    </r>
  </si>
  <si>
    <r>
      <rPr>
        <rFont val="Noto Sans CJK SC"/>
        <b/>
        <color rgb="FF000000"/>
        <sz val="9.0"/>
      </rPr>
      <t>행동</t>
    </r>
    <r>
      <rPr>
        <rFont val="맑은 고딕"/>
        <b/>
        <color rgb="FF000000"/>
        <sz val="9.0"/>
      </rPr>
      <t>(A)</t>
    </r>
  </si>
  <si>
    <r>
      <rPr>
        <rFont val="Noto Sans CJK SC"/>
        <b/>
        <color rgb="FF000000"/>
        <sz val="9.0"/>
      </rPr>
      <t>결과</t>
    </r>
    <r>
      <rPr>
        <rFont val="맑은 고딕"/>
        <b/>
        <color rgb="FF000000"/>
        <sz val="9.0"/>
      </rPr>
      <t>(R)</t>
    </r>
  </si>
  <si>
    <r>
      <rPr>
        <rFont val="Noto Sans CJK SC"/>
        <i/>
        <color rgb="FF7F7F7F"/>
        <sz val="8.0"/>
      </rPr>
      <t xml:space="preserve">숫자 </t>
    </r>
    <r>
      <rPr>
        <rFont val="맑은 고딕"/>
        <i/>
        <color rgb="FF7F7F7F"/>
        <sz val="8.0"/>
      </rPr>
      <t>1~34</t>
    </r>
  </si>
  <si>
    <r>
      <rPr>
        <rFont val="Noto Sans CJK SC"/>
        <i/>
        <color rgb="FF7F7F7F"/>
        <sz val="8.0"/>
      </rPr>
      <t>서술</t>
    </r>
    <r>
      <rPr>
        <rFont val="맑은 고딕"/>
        <i/>
        <color rgb="FF7F7F7F"/>
        <sz val="8.0"/>
      </rPr>
      <t>(</t>
    </r>
    <r>
      <rPr>
        <rFont val="Noto Sans CJK SC"/>
        <i/>
        <color rgb="FF7F7F7F"/>
        <sz val="8.0"/>
      </rPr>
      <t>수치 포함 권장</t>
    </r>
    <r>
      <rPr>
        <rFont val="맑은 고딕"/>
        <i/>
        <color rgb="FF7F7F7F"/>
        <sz val="8.0"/>
      </rPr>
      <t>)</t>
    </r>
  </si>
  <si>
    <t>로봇 동아리 설계팀 부장</t>
  </si>
  <si>
    <r>
      <rPr>
        <rFont val="Noto Sans CJK SC"/>
        <color rgb="FF1F3B8A"/>
        <sz val="10.0"/>
      </rPr>
      <t xml:space="preserve">대회 </t>
    </r>
    <r>
      <rPr>
        <rFont val="맑은 고딕"/>
        <color rgb="FF1F3B8A"/>
        <sz val="10.0"/>
      </rPr>
      <t>3</t>
    </r>
    <r>
      <rPr>
        <rFont val="Noto Sans CJK SC"/>
        <color rgb="FF1F3B8A"/>
        <sz val="10.0"/>
      </rPr>
      <t>주 전 구동부 모터가 과열되어 주행이 멈추는 문제 발생</t>
    </r>
  </si>
  <si>
    <t>설계팀 부장으로 원인 분석과 재설계 일정 책임</t>
  </si>
  <si>
    <r>
      <rPr>
        <rFont val="Noto Sans CJK SC"/>
        <color rgb="FF1F3B8A"/>
        <sz val="10.0"/>
      </rPr>
      <t>온도 로그 측정 후 감속비 재계산</t>
    </r>
    <r>
      <rPr>
        <rFont val="맑은 고딕"/>
        <color rgb="FF1F3B8A"/>
        <sz val="10.0"/>
      </rPr>
      <t xml:space="preserve">, </t>
    </r>
    <r>
      <rPr>
        <rFont val="Noto Sans CJK SC"/>
        <color rgb="FF1F3B8A"/>
        <sz val="10.0"/>
      </rPr>
      <t xml:space="preserve">팀원 </t>
    </r>
    <r>
      <rPr>
        <rFont val="맑은 고딕"/>
        <color rgb="FF1F3B8A"/>
        <sz val="10.0"/>
      </rPr>
      <t>4</t>
    </r>
    <r>
      <rPr>
        <rFont val="Noto Sans CJK SC"/>
        <color rgb="FF1F3B8A"/>
        <sz val="10.0"/>
      </rPr>
      <t>명 역할 재배분</t>
    </r>
  </si>
  <si>
    <r>
      <rPr>
        <rFont val="Noto Sans CJK SC"/>
        <i/>
        <color rgb="FF7F7F7F"/>
        <sz val="8.0"/>
      </rPr>
      <t>출처</t>
    </r>
    <r>
      <rPr>
        <rFont val="맑은 고딕"/>
        <i/>
        <color rgb="FF7F7F7F"/>
        <sz val="8.0"/>
      </rPr>
      <t xml:space="preserve">: </t>
    </r>
    <r>
      <rPr>
        <rFont val="Noto Sans CJK SC"/>
        <i/>
        <color rgb="FF7F7F7F"/>
        <sz val="8.0"/>
      </rPr>
      <t>학사시스템</t>
    </r>
    <r>
      <rPr>
        <rFont val="맑은 고딕"/>
        <i/>
        <color rgb="FF7F7F7F"/>
        <sz val="8.0"/>
      </rPr>
      <t>(</t>
    </r>
    <r>
      <rPr>
        <rFont val="Noto Sans CJK SC"/>
        <i/>
        <color rgb="FF7F7F7F"/>
        <sz val="8.0"/>
      </rPr>
      <t>성적</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학업성취 </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xml:space="preserve">: [C] </t>
    </r>
    <r>
      <rPr>
        <rFont val="Noto Sans CJK SC"/>
        <i/>
        <color rgb="FF7F7F7F"/>
        <sz val="8.0"/>
      </rPr>
      <t>전공별</t>
    </r>
    <r>
      <rPr>
        <rFont val="맑은 고딕"/>
        <i/>
        <color rgb="FF7F7F7F"/>
        <sz val="8.0"/>
      </rPr>
      <t>·</t>
    </r>
    <r>
      <rPr>
        <rFont val="Noto Sans CJK SC"/>
        <i/>
        <color rgb="FF7F7F7F"/>
        <sz val="8.0"/>
      </rPr>
      <t>학기별 성적 통합</t>
    </r>
    <r>
      <rPr>
        <rFont val="맑은 고딕"/>
        <i/>
        <color rgb="FF7F7F7F"/>
        <sz val="8.0"/>
      </rPr>
      <t xml:space="preserve">. </t>
    </r>
    <r>
      <rPr>
        <rFont val="Noto Sans CJK SC"/>
        <i/>
        <color rgb="FF7F7F7F"/>
        <sz val="8.0"/>
      </rPr>
      <t xml:space="preserve">학기별 추이로 </t>
    </r>
    <r>
      <rPr>
        <rFont val="맑은 고딕"/>
        <i/>
        <color rgb="FF7F7F7F"/>
        <sz val="8.0"/>
      </rPr>
      <t>'</t>
    </r>
    <r>
      <rPr>
        <rFont val="Noto Sans CJK SC"/>
        <i/>
        <color rgb="FF7F7F7F"/>
        <sz val="8.0"/>
      </rPr>
      <t>성장</t>
    </r>
    <r>
      <rPr>
        <rFont val="맑은 고딕"/>
        <i/>
        <color rgb="FF7F7F7F"/>
        <sz val="8.0"/>
      </rPr>
      <t xml:space="preserve">' </t>
    </r>
    <r>
      <rPr>
        <rFont val="Noto Sans CJK SC"/>
        <i/>
        <color rgb="FF7F7F7F"/>
        <sz val="8.0"/>
      </rPr>
      <t>지표 추가 가능</t>
    </r>
  </si>
  <si>
    <r>
      <rPr>
        <rFont val="Noto Sans CJK SC"/>
        <color rgb="FF1F3B8A"/>
        <sz val="10.0"/>
      </rPr>
      <t>대회 완주 성공</t>
    </r>
    <r>
      <rPr>
        <rFont val="맑은 고딕"/>
        <color rgb="FF1F3B8A"/>
        <sz val="10.0"/>
      </rPr>
      <t xml:space="preserve">, </t>
    </r>
    <r>
      <rPr>
        <rFont val="Noto Sans CJK SC"/>
        <color rgb="FF1F3B8A"/>
        <sz val="10.0"/>
      </rPr>
      <t>교내 경진대회 우수상</t>
    </r>
  </si>
  <si>
    <r>
      <rPr>
        <rFont val="Noto Sans CJK SC"/>
        <b/>
        <color rgb="FF000000"/>
        <sz val="10.0"/>
      </rPr>
      <t>전체 평점</t>
    </r>
    <r>
      <rPr>
        <rFont val="맑은 고딕"/>
        <b/>
        <color rgb="FF000000"/>
        <sz val="10.0"/>
      </rPr>
      <t>(</t>
    </r>
    <r>
      <rPr>
        <rFont val="Noto Sans CJK SC"/>
        <b/>
        <color rgb="FF000000"/>
        <sz val="10.0"/>
      </rPr>
      <t>누적</t>
    </r>
    <r>
      <rPr>
        <rFont val="맑은 고딕"/>
        <b/>
        <color rgb="FF000000"/>
        <sz val="10.0"/>
      </rPr>
      <t>)</t>
    </r>
  </si>
  <si>
    <r>
      <rPr>
        <rFont val="Noto Sans CJK SC"/>
        <i/>
        <color rgb="FF7F7F7F"/>
        <sz val="8.0"/>
      </rPr>
      <t>출처</t>
    </r>
    <r>
      <rPr>
        <rFont val="맑은 고딕"/>
        <i/>
        <color rgb="FF7F7F7F"/>
        <sz val="8.0"/>
      </rPr>
      <t xml:space="preserve">: </t>
    </r>
    <r>
      <rPr>
        <rFont val="Noto Sans CJK SC"/>
        <i/>
        <color rgb="FF7F7F7F"/>
        <sz val="8.0"/>
      </rPr>
      <t xml:space="preserve">상담 기록 시스템 </t>
    </r>
    <r>
      <rPr>
        <rFont val="맑은 고딕"/>
        <i/>
        <color rgb="FF7F7F7F"/>
        <sz val="8.0"/>
      </rPr>
      <t xml:space="preserve">· LMS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성실성</t>
    </r>
    <r>
      <rPr>
        <rFont val="맑은 고딕"/>
        <i/>
        <color rgb="FF7F7F7F"/>
        <sz val="8.0"/>
      </rPr>
      <t>(</t>
    </r>
    <r>
      <rPr>
        <rFont val="Noto Sans CJK SC"/>
        <i/>
        <color rgb="FF7F7F7F"/>
        <sz val="8.0"/>
      </rPr>
      <t>수업참여도</t>
    </r>
    <r>
      <rPr>
        <rFont val="맑은 고딕"/>
        <i/>
        <color rgb="FF7F7F7F"/>
        <sz val="8.0"/>
      </rPr>
      <t xml:space="preserve">) / </t>
    </r>
    <r>
      <rPr>
        <rFont val="Noto Sans CJK SC"/>
        <i/>
        <color rgb="FF7F7F7F"/>
        <sz val="8.0"/>
      </rPr>
      <t xml:space="preserve">소통능력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기존 데이터셋에선 </t>
    </r>
    <r>
      <rPr>
        <rFont val="맑은 고딕"/>
        <i/>
        <color rgb="FF7F7F7F"/>
        <sz val="8.0"/>
      </rPr>
      <t xml:space="preserve">LMS </t>
    </r>
    <r>
      <rPr>
        <rFont val="Noto Sans CJK SC"/>
        <i/>
        <color rgb="FF7F7F7F"/>
        <sz val="8.0"/>
      </rPr>
      <t>항목 안에 섞여 있어 분리</t>
    </r>
  </si>
  <si>
    <r>
      <rPr>
        <rFont val="Noto Sans CJK SC"/>
        <color rgb="FF7F7F7F"/>
        <sz val="9.0"/>
      </rPr>
      <t>숫자</t>
    </r>
    <r>
      <rPr>
        <rFont val="맑은 고딕"/>
        <color rgb="FF7F7F7F"/>
        <sz val="9.0"/>
      </rPr>
      <t>(</t>
    </r>
    <r>
      <rPr>
        <rFont val="Noto Sans CJK SC"/>
        <color rgb="FF7F7F7F"/>
        <sz val="9.0"/>
      </rPr>
      <t xml:space="preserve">소수 </t>
    </r>
    <r>
      <rPr>
        <rFont val="맑은 고딕"/>
        <color rgb="FF7F7F7F"/>
        <sz val="9.0"/>
      </rPr>
      <t>2</t>
    </r>
    <r>
      <rPr>
        <rFont val="Noto Sans CJK SC"/>
        <color rgb="FF7F7F7F"/>
        <sz val="9.0"/>
      </rPr>
      <t>자리</t>
    </r>
    <r>
      <rPr>
        <rFont val="맑은 고딕"/>
        <color rgb="FF7F7F7F"/>
        <sz val="9.0"/>
      </rPr>
      <t>)</t>
    </r>
  </si>
  <si>
    <r>
      <rPr>
        <rFont val="Noto Sans CJK SC"/>
        <color rgb="FF7F7F7F"/>
        <sz val="9.0"/>
      </rPr>
      <t>예</t>
    </r>
    <r>
      <rPr>
        <rFont val="맑은 고딕"/>
        <color rgb="FF7F7F7F"/>
        <sz val="9.0"/>
      </rPr>
      <t>: 3.85</t>
    </r>
  </si>
  <si>
    <r>
      <rPr>
        <rFont val="Noto Sans CJK SC"/>
        <color rgb="FF7F7F7F"/>
        <sz val="9.0"/>
      </rPr>
      <t>예</t>
    </r>
    <r>
      <rPr>
        <rFont val="맑은 고딕"/>
        <color rgb="FF7F7F7F"/>
        <sz val="9.0"/>
      </rPr>
      <t xml:space="preserve">: </t>
    </r>
    <r>
      <rPr>
        <rFont val="Noto Sans CJK SC"/>
        <color rgb="FF7F7F7F"/>
        <sz val="9.0"/>
      </rPr>
      <t>입학</t>
    </r>
    <r>
      <rPr>
        <rFont val="맑은 고딕"/>
        <color rgb="FF7F7F7F"/>
        <sz val="9.0"/>
      </rPr>
      <t>~2026-1</t>
    </r>
  </si>
  <si>
    <r>
      <rPr>
        <rFont val="Noto Sans CJK SC"/>
        <b/>
        <color rgb="FF000000"/>
        <sz val="10.0"/>
      </rPr>
      <t>전공 평점</t>
    </r>
    <r>
      <rPr>
        <rFont val="맑은 고딕"/>
        <b/>
        <color rgb="FF000000"/>
        <sz val="10.0"/>
      </rPr>
      <t>(</t>
    </r>
    <r>
      <rPr>
        <rFont val="Noto Sans CJK SC"/>
        <b/>
        <color rgb="FF000000"/>
        <sz val="10.0"/>
      </rPr>
      <t>누적</t>
    </r>
    <r>
      <rPr>
        <rFont val="맑은 고딕"/>
        <b/>
        <color rgb="FF000000"/>
        <sz val="10.0"/>
      </rPr>
      <t>)</t>
    </r>
  </si>
  <si>
    <r>
      <rPr>
        <rFont val="Noto Sans CJK SC"/>
        <b/>
        <color rgb="FF000000"/>
        <sz val="10.0"/>
      </rPr>
      <t>교수 면담 횟수</t>
    </r>
    <r>
      <rPr>
        <rFont val="맑은 고딕"/>
        <b/>
        <color rgb="FF000000"/>
        <sz val="10.0"/>
      </rPr>
      <t>(</t>
    </r>
    <r>
      <rPr>
        <rFont val="Noto Sans CJK SC"/>
        <b/>
        <color rgb="FF000000"/>
        <sz val="10.0"/>
      </rPr>
      <t>누적</t>
    </r>
    <r>
      <rPr>
        <rFont val="맑은 고딕"/>
        <b/>
        <color rgb="FF000000"/>
        <sz val="10.0"/>
      </rPr>
      <t>)</t>
    </r>
  </si>
  <si>
    <r>
      <rPr>
        <rFont val="Noto Sans CJK SC"/>
        <color rgb="FF7F7F7F"/>
        <sz val="9.0"/>
      </rPr>
      <t>숫자</t>
    </r>
    <r>
      <rPr>
        <rFont val="맑은 고딕"/>
        <color rgb="FF7F7F7F"/>
        <sz val="9.0"/>
      </rPr>
      <t>(</t>
    </r>
    <r>
      <rPr>
        <rFont val="Noto Sans CJK SC"/>
        <color rgb="FF7F7F7F"/>
        <sz val="9.0"/>
      </rPr>
      <t xml:space="preserve">소수 </t>
    </r>
    <r>
      <rPr>
        <rFont val="맑은 고딕"/>
        <color rgb="FF7F7F7F"/>
        <sz val="9.0"/>
      </rPr>
      <t>2</t>
    </r>
    <r>
      <rPr>
        <rFont val="Noto Sans CJK SC"/>
        <color rgb="FF7F7F7F"/>
        <sz val="9.0"/>
      </rPr>
      <t>자리</t>
    </r>
    <r>
      <rPr>
        <rFont val="맑은 고딕"/>
        <color rgb="FF7F7F7F"/>
        <sz val="9.0"/>
      </rPr>
      <t>)</t>
    </r>
  </si>
  <si>
    <r>
      <rPr>
        <rFont val="Noto Sans CJK SC"/>
        <color rgb="FF7F7F7F"/>
        <sz val="9.0"/>
      </rPr>
      <t>예</t>
    </r>
    <r>
      <rPr>
        <rFont val="맑은 고딕"/>
        <color rgb="FF7F7F7F"/>
        <sz val="9.0"/>
      </rPr>
      <t>: 3.92</t>
    </r>
  </si>
  <si>
    <r>
      <rPr>
        <rFont val="Noto Sans CJK SC"/>
        <b/>
        <color rgb="FF000000"/>
        <sz val="10.0"/>
      </rPr>
      <t>학업상담 횟수</t>
    </r>
    <r>
      <rPr>
        <rFont val="맑은 고딕"/>
        <b/>
        <color rgb="FF000000"/>
        <sz val="10.0"/>
      </rPr>
      <t>(</t>
    </r>
    <r>
      <rPr>
        <rFont val="Noto Sans CJK SC"/>
        <b/>
        <color rgb="FF000000"/>
        <sz val="10.0"/>
      </rPr>
      <t>누적</t>
    </r>
    <r>
      <rPr>
        <rFont val="맑은 고딕"/>
        <b/>
        <color rgb="FF000000"/>
        <sz val="10.0"/>
      </rPr>
      <t>)</t>
    </r>
  </si>
  <si>
    <r>
      <rPr>
        <rFont val="Noto Sans CJK SC"/>
        <color rgb="FF7F7F7F"/>
        <sz val="9.0"/>
      </rPr>
      <t xml:space="preserve">성균관대 </t>
    </r>
    <r>
      <rPr>
        <rFont val="맑은 고딕"/>
        <color rgb="FF7F7F7F"/>
        <sz val="9.0"/>
      </rPr>
      <t>4.5</t>
    </r>
  </si>
  <si>
    <r>
      <rPr>
        <rFont val="Noto Sans CJK SC"/>
        <b/>
        <color rgb="FF000000"/>
        <sz val="11.0"/>
      </rPr>
      <t>토론</t>
    </r>
    <r>
      <rPr>
        <rFont val="맑은 고딕"/>
        <b/>
        <color rgb="FF000000"/>
        <sz val="11.0"/>
      </rPr>
      <t>·</t>
    </r>
    <r>
      <rPr>
        <rFont val="Noto Sans CJK SC"/>
        <b/>
        <color rgb="FF000000"/>
        <sz val="11.0"/>
      </rPr>
      <t>게시판 참여</t>
    </r>
  </si>
  <si>
    <r>
      <rPr>
        <rFont val="Noto Sans CJK SC"/>
        <i/>
        <color rgb="FF7F7F7F"/>
        <sz val="8.0"/>
      </rPr>
      <t>출처</t>
    </r>
    <r>
      <rPr>
        <rFont val="맑은 고딕"/>
        <i/>
        <color rgb="FF7F7F7F"/>
        <sz val="8.0"/>
      </rPr>
      <t xml:space="preserve">: </t>
    </r>
    <r>
      <rPr>
        <rFont val="Noto Sans CJK SC"/>
        <i/>
        <color rgb="FF7F7F7F"/>
        <sz val="8.0"/>
      </rPr>
      <t>학사시스템</t>
    </r>
    <r>
      <rPr>
        <rFont val="맑은 고딕"/>
        <i/>
        <color rgb="FF7F7F7F"/>
        <sz val="8.0"/>
      </rPr>
      <t>(</t>
    </r>
    <r>
      <rPr>
        <rFont val="Noto Sans CJK SC"/>
        <i/>
        <color rgb="FF7F7F7F"/>
        <sz val="8.0"/>
      </rPr>
      <t>과목별 성적</t>
    </r>
    <r>
      <rPr>
        <rFont val="맑은 고딕"/>
        <i/>
        <color rgb="FF7F7F7F"/>
        <sz val="8.0"/>
      </rPr>
      <t>) + LMS(</t>
    </r>
    <r>
      <rPr>
        <rFont val="Noto Sans CJK SC"/>
        <i/>
        <color rgb="FF7F7F7F"/>
        <sz val="8.0"/>
      </rPr>
      <t>과제점수</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발표력 </t>
    </r>
    <r>
      <rPr>
        <rFont val="맑은 고딕"/>
        <i/>
        <color rgb="FF7F7F7F"/>
        <sz val="8.0"/>
      </rPr>
      <t xml:space="preserve">/ </t>
    </r>
    <r>
      <rPr>
        <rFont val="Noto Sans CJK SC"/>
        <i/>
        <color rgb="FF7F7F7F"/>
        <sz val="8.0"/>
      </rPr>
      <t xml:space="preserve">논리적사고 </t>
    </r>
    <r>
      <rPr>
        <rFont val="맑은 고딕"/>
        <i/>
        <color rgb="FF7F7F7F"/>
        <sz val="8.0"/>
      </rPr>
      <t xml:space="preserve">/ </t>
    </r>
    <r>
      <rPr>
        <rFont val="Noto Sans CJK SC"/>
        <i/>
        <color rgb="FF7F7F7F"/>
        <sz val="8.0"/>
      </rPr>
      <t xml:space="preserve">학업성취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과목에 </t>
    </r>
    <r>
      <rPr>
        <rFont val="맑은 고딕"/>
        <i/>
        <color rgb="FF7F7F7F"/>
        <sz val="8.0"/>
      </rPr>
      <t>'</t>
    </r>
    <r>
      <rPr>
        <rFont val="Noto Sans CJK SC"/>
        <i/>
        <color rgb="FF7F7F7F"/>
        <sz val="8.0"/>
      </rPr>
      <t>발표형</t>
    </r>
    <r>
      <rPr>
        <rFont val="맑은 고딕"/>
        <i/>
        <color rgb="FF7F7F7F"/>
        <sz val="8.0"/>
      </rPr>
      <t>·</t>
    </r>
    <r>
      <rPr>
        <rFont val="Noto Sans CJK SC"/>
        <i/>
        <color rgb="FF7F7F7F"/>
        <sz val="8.0"/>
      </rPr>
      <t>토론형</t>
    </r>
    <r>
      <rPr>
        <rFont val="맑은 고딕"/>
        <i/>
        <color rgb="FF7F7F7F"/>
        <sz val="8.0"/>
      </rPr>
      <t xml:space="preserve">' </t>
    </r>
    <r>
      <rPr>
        <rFont val="Noto Sans CJK SC"/>
        <i/>
        <color rgb="FF7F7F7F"/>
        <sz val="8.0"/>
      </rPr>
      <t>태그가 있어야 자동 분류 가능</t>
    </r>
  </si>
  <si>
    <r>
      <rPr>
        <rFont val="맑은 고딕"/>
        <i/>
        <color rgb="FF7F7F7F"/>
        <sz val="8.0"/>
      </rPr>
      <t>YYYY-1 / YYYY-2 / YYYY-</t>
    </r>
    <r>
      <rPr>
        <rFont val="Noto Sans CJK SC"/>
        <i/>
        <color rgb="FF7F7F7F"/>
        <sz val="8.0"/>
      </rPr>
      <t xml:space="preserve">여름 </t>
    </r>
    <r>
      <rPr>
        <rFont val="맑은 고딕"/>
        <i/>
        <color rgb="FF7F7F7F"/>
        <sz val="8.0"/>
      </rPr>
      <t>/ YYYY-</t>
    </r>
    <r>
      <rPr>
        <rFont val="Noto Sans CJK SC"/>
        <i/>
        <color rgb="FF7F7F7F"/>
        <sz val="8.0"/>
      </rPr>
      <t>겨울</t>
    </r>
  </si>
  <si>
    <r>
      <rPr>
        <rFont val="Noto Sans CJK SC"/>
        <i/>
        <color rgb="FF7F7F7F"/>
        <sz val="8.0"/>
      </rPr>
      <t>휴학</t>
    </r>
    <r>
      <rPr>
        <rFont val="맑은 고딕"/>
        <i/>
        <color rgb="FF7F7F7F"/>
        <sz val="8.0"/>
      </rPr>
      <t>·</t>
    </r>
    <r>
      <rPr>
        <rFont val="Noto Sans CJK SC"/>
        <i/>
        <color rgb="FF7F7F7F"/>
        <sz val="8.0"/>
      </rPr>
      <t>계절 등</t>
    </r>
  </si>
  <si>
    <r>
      <rPr>
        <rFont val="Noto Sans CJK SC"/>
        <b/>
        <color rgb="FF000000"/>
        <sz val="9.0"/>
      </rPr>
      <t>과제</t>
    </r>
    <r>
      <rPr>
        <rFont val="맑은 고딕"/>
        <b/>
        <color rgb="FF000000"/>
        <sz val="9.0"/>
      </rPr>
      <t>·</t>
    </r>
    <r>
      <rPr>
        <rFont val="Noto Sans CJK SC"/>
        <b/>
        <color rgb="FF000000"/>
        <sz val="9.0"/>
      </rPr>
      <t>보고서 점수</t>
    </r>
  </si>
  <si>
    <t>2022-1</t>
  </si>
  <si>
    <r>
      <rPr>
        <rFont val="맑은 고딕"/>
        <i/>
        <color rgb="FF7F7F7F"/>
        <sz val="8.0"/>
      </rPr>
      <t>YYYY-1 / YYYY-2 / YYYY-</t>
    </r>
    <r>
      <rPr>
        <rFont val="Noto Sans CJK SC"/>
        <i/>
        <color rgb="FF7F7F7F"/>
        <sz val="8.0"/>
      </rPr>
      <t xml:space="preserve">여름 </t>
    </r>
    <r>
      <rPr>
        <rFont val="맑은 고딕"/>
        <i/>
        <color rgb="FF7F7F7F"/>
        <sz val="8.0"/>
      </rPr>
      <t>/ YYYY-</t>
    </r>
    <r>
      <rPr>
        <rFont val="Noto Sans CJK SC"/>
        <i/>
        <color rgb="FF7F7F7F"/>
        <sz val="8.0"/>
      </rPr>
      <t>겨울</t>
    </r>
  </si>
  <si>
    <t>2022-2</t>
  </si>
  <si>
    <r>
      <rPr>
        <rFont val="맑은 고딕"/>
        <i/>
        <color rgb="FF7F7F7F"/>
        <sz val="8.0"/>
      </rPr>
      <t>[</t>
    </r>
    <r>
      <rPr>
        <rFont val="Noto Sans CJK SC"/>
        <i/>
        <color rgb="FF7F7F7F"/>
        <sz val="8.0"/>
      </rPr>
      <t xml:space="preserve">발표형 </t>
    </r>
    <r>
      <rPr>
        <rFont val="맑은 고딕"/>
        <i/>
        <color rgb="FF7F7F7F"/>
        <sz val="8.0"/>
      </rPr>
      <t xml:space="preserve">/ </t>
    </r>
    <r>
      <rPr>
        <rFont val="Noto Sans CJK SC"/>
        <i/>
        <color rgb="FF7F7F7F"/>
        <sz val="8.0"/>
      </rPr>
      <t xml:space="preserve">토론형 </t>
    </r>
    <r>
      <rPr>
        <rFont val="맑은 고딕"/>
        <i/>
        <color rgb="FF7F7F7F"/>
        <sz val="8.0"/>
      </rPr>
      <t xml:space="preserve">/ </t>
    </r>
    <r>
      <rPr>
        <rFont val="Noto Sans CJK SC"/>
        <i/>
        <color rgb="FF7F7F7F"/>
        <sz val="8.0"/>
      </rPr>
      <t>과제</t>
    </r>
    <r>
      <rPr>
        <rFont val="맑은 고딕"/>
        <i/>
        <color rgb="FF7F7F7F"/>
        <sz val="8.0"/>
      </rPr>
      <t>·</t>
    </r>
    <r>
      <rPr>
        <rFont val="Noto Sans CJK SC"/>
        <i/>
        <color rgb="FF7F7F7F"/>
        <sz val="8.0"/>
      </rPr>
      <t xml:space="preserve">보고서형 </t>
    </r>
    <r>
      <rPr>
        <rFont val="맑은 고딕"/>
        <i/>
        <color rgb="FF7F7F7F"/>
        <sz val="8.0"/>
      </rPr>
      <t>/ PBL</t>
    </r>
    <r>
      <rPr>
        <rFont val="Noto Sans CJK SC"/>
        <i/>
        <color rgb="FF7F7F7F"/>
        <sz val="8.0"/>
      </rPr>
      <t>형</t>
    </r>
    <r>
      <rPr>
        <rFont val="맑은 고딕"/>
        <i/>
        <color rgb="FF7F7F7F"/>
        <sz val="8.0"/>
      </rPr>
      <t>]</t>
    </r>
  </si>
  <si>
    <r>
      <rPr>
        <rFont val="Noto Sans CJK SC"/>
        <i/>
        <color rgb="FF7F7F7F"/>
        <sz val="8.0"/>
      </rPr>
      <t>출처</t>
    </r>
    <r>
      <rPr>
        <rFont val="맑은 고딕"/>
        <i/>
        <color rgb="FF7F7F7F"/>
        <sz val="8.0"/>
      </rPr>
      <t xml:space="preserve">: </t>
    </r>
    <r>
      <rPr>
        <rFont val="Noto Sans CJK SC"/>
        <i/>
        <color rgb="FF7F7F7F"/>
        <sz val="8.0"/>
      </rPr>
      <t xml:space="preserve">교수 입력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교수 관심 역량 전반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입력 부담 고려해 선택 항목으로</t>
    </r>
  </si>
  <si>
    <r>
      <rPr>
        <rFont val="Noto Sans CJK SC"/>
        <i/>
        <color rgb="FF7F7F7F"/>
        <sz val="8.0"/>
      </rPr>
      <t>숫자</t>
    </r>
    <r>
      <rPr>
        <rFont val="맑은 고딕"/>
        <i/>
        <color rgb="FF7F7F7F"/>
        <sz val="8.0"/>
      </rPr>
      <t>(100</t>
    </r>
    <r>
      <rPr>
        <rFont val="Noto Sans CJK SC"/>
        <i/>
        <color rgb="FF7F7F7F"/>
        <sz val="8.0"/>
      </rPr>
      <t>점</t>
    </r>
    <r>
      <rPr>
        <rFont val="맑은 고딕"/>
        <i/>
        <color rgb="FF7F7F7F"/>
        <sz val="8.0"/>
      </rPr>
      <t>)</t>
    </r>
  </si>
  <si>
    <r>
      <rPr>
        <rFont val="Noto Sans CJK SC"/>
        <b/>
        <color rgb="FF000000"/>
        <sz val="9.0"/>
      </rPr>
      <t>작성자</t>
    </r>
    <r>
      <rPr>
        <rFont val="맑은 고딕"/>
        <b/>
        <color rgb="FF000000"/>
        <sz val="9.0"/>
      </rPr>
      <t>(</t>
    </r>
    <r>
      <rPr>
        <rFont val="Noto Sans CJK SC"/>
        <b/>
        <color rgb="FF000000"/>
        <sz val="9.0"/>
      </rPr>
      <t>직위</t>
    </r>
    <r>
      <rPr>
        <rFont val="맑은 고딕"/>
        <b/>
        <color rgb="FF000000"/>
        <sz val="9.0"/>
      </rPr>
      <t>)</t>
    </r>
  </si>
  <si>
    <t>글쓰기와 발표</t>
  </si>
  <si>
    <t>휴학</t>
  </si>
  <si>
    <r>
      <rPr>
        <rFont val="맑은 고딕"/>
        <i/>
        <color rgb="FF7F7F7F"/>
        <sz val="8.0"/>
      </rPr>
      <t>[</t>
    </r>
    <r>
      <rPr>
        <rFont val="Noto Sans CJK SC"/>
        <i/>
        <color rgb="FF7F7F7F"/>
        <sz val="8.0"/>
      </rPr>
      <t xml:space="preserve">지도교수 </t>
    </r>
    <r>
      <rPr>
        <rFont val="맑은 고딕"/>
        <i/>
        <color rgb="FF7F7F7F"/>
        <sz val="8.0"/>
      </rPr>
      <t xml:space="preserve">/ </t>
    </r>
    <r>
      <rPr>
        <rFont val="Noto Sans CJK SC"/>
        <i/>
        <color rgb="FF7F7F7F"/>
        <sz val="8.0"/>
      </rPr>
      <t>수업 담당교수</t>
    </r>
    <r>
      <rPr>
        <rFont val="맑은 고딕"/>
        <i/>
        <color rgb="FF7F7F7F"/>
        <sz val="8.0"/>
      </rPr>
      <t>]</t>
    </r>
  </si>
  <si>
    <r>
      <rPr>
        <rFont val="Noto Sans CJK SC"/>
        <i/>
        <color rgb="FF7F7F7F"/>
        <sz val="8.0"/>
      </rPr>
      <t>출처</t>
    </r>
    <r>
      <rPr>
        <rFont val="맑은 고딕"/>
        <i/>
        <color rgb="FF7F7F7F"/>
        <sz val="8.0"/>
      </rPr>
      <t xml:space="preserve">: LMS(i-Campus)   |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소통능력 </t>
    </r>
    <r>
      <rPr>
        <rFont val="맑은 고딕"/>
        <i/>
        <color rgb="FF7F7F7F"/>
        <sz val="8.0"/>
      </rPr>
      <t xml:space="preserve">/ </t>
    </r>
    <r>
      <rPr>
        <rFont val="Noto Sans CJK SC"/>
        <i/>
        <color rgb="FF7F7F7F"/>
        <sz val="8.0"/>
      </rPr>
      <t xml:space="preserve">수업참여도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교수 관심 </t>
    </r>
    <r>
      <rPr>
        <rFont val="맑은 고딕"/>
        <i/>
        <color rgb="FF7F7F7F"/>
        <sz val="8.0"/>
      </rPr>
      <t>'</t>
    </r>
    <r>
      <rPr>
        <rFont val="Noto Sans CJK SC"/>
        <i/>
        <color rgb="FF7F7F7F"/>
        <sz val="8.0"/>
      </rPr>
      <t>소통능력</t>
    </r>
    <r>
      <rPr>
        <rFont val="맑은 고딕"/>
        <i/>
        <color rgb="FF7F7F7F"/>
        <sz val="8.0"/>
      </rPr>
      <t>'</t>
    </r>
    <r>
      <rPr>
        <rFont val="Noto Sans CJK SC"/>
        <i/>
        <color rgb="FF7F7F7F"/>
        <sz val="8.0"/>
      </rPr>
      <t>의 정량 근거 보강</t>
    </r>
  </si>
  <si>
    <r>
      <rPr>
        <rFont val="Noto Sans CJK SC"/>
        <color rgb="FF7F7F7F"/>
        <sz val="9.0"/>
      </rPr>
      <t>예</t>
    </r>
    <r>
      <rPr>
        <rFont val="맑은 고딕"/>
        <color rgb="FF7F7F7F"/>
        <sz val="9.0"/>
      </rPr>
      <t>: 2026-1</t>
    </r>
    <r>
      <rPr>
        <rFont val="Noto Sans CJK SC"/>
        <color rgb="FF7F7F7F"/>
        <sz val="9.0"/>
      </rPr>
      <t>학기</t>
    </r>
  </si>
  <si>
    <r>
      <rPr>
        <rFont val="Noto Sans CJK SC"/>
        <b/>
        <color rgb="FFFFFFFF"/>
        <sz val="11.0"/>
      </rPr>
      <t>■ 연구</t>
    </r>
    <r>
      <rPr>
        <rFont val="맑은 고딕"/>
        <b/>
        <color rgb="FFFFFFFF"/>
        <sz val="11.0"/>
      </rPr>
      <t>·</t>
    </r>
    <r>
      <rPr>
        <rFont val="Noto Sans CJK SC"/>
        <b/>
        <color rgb="FFFFFFFF"/>
        <sz val="11.0"/>
      </rPr>
      <t>학술</t>
    </r>
  </si>
  <si>
    <r>
      <rPr>
        <rFont val="Noto Sans CJK SC"/>
        <b/>
        <color rgb="FF000000"/>
        <sz val="11.0"/>
      </rPr>
      <t>수강과목</t>
    </r>
    <r>
      <rPr>
        <rFont val="맑은 고딕"/>
        <b/>
        <color rgb="FF000000"/>
        <sz val="11.0"/>
      </rPr>
      <t>·</t>
    </r>
    <r>
      <rPr>
        <rFont val="Noto Sans CJK SC"/>
        <b/>
        <color rgb="FF000000"/>
        <sz val="11.0"/>
      </rPr>
      <t>심화</t>
    </r>
    <r>
      <rPr>
        <rFont val="맑은 고딕"/>
        <b/>
        <color rgb="FF000000"/>
        <sz val="11.0"/>
      </rPr>
      <t>·</t>
    </r>
    <r>
      <rPr>
        <rFont val="Noto Sans CJK SC"/>
        <b/>
        <color rgb="FF000000"/>
        <sz val="11.0"/>
      </rPr>
      <t>융합 이수</t>
    </r>
  </si>
  <si>
    <r>
      <rPr>
        <rFont val="Noto Sans CJK SC"/>
        <b/>
        <color rgb="FF000000"/>
        <sz val="11.0"/>
      </rPr>
      <t>학회</t>
    </r>
    <r>
      <rPr>
        <rFont val="맑은 고딕"/>
        <b/>
        <color rgb="FF000000"/>
        <sz val="11.0"/>
      </rPr>
      <t>·</t>
    </r>
    <r>
      <rPr>
        <rFont val="Noto Sans CJK SC"/>
        <b/>
        <color rgb="FF000000"/>
        <sz val="11.0"/>
      </rPr>
      <t>연구활동</t>
    </r>
  </si>
  <si>
    <r>
      <rPr>
        <rFont val="Noto Sans CJK SC"/>
        <i/>
        <color rgb="FF7F7F7F"/>
        <sz val="8.0"/>
      </rPr>
      <t>출처</t>
    </r>
    <r>
      <rPr>
        <rFont val="맑은 고딕"/>
        <i/>
        <color rgb="FF7F7F7F"/>
        <sz val="8.0"/>
      </rPr>
      <t xml:space="preserve">: </t>
    </r>
    <r>
      <rPr>
        <rFont val="Noto Sans CJK SC"/>
        <i/>
        <color rgb="FF7F7F7F"/>
        <sz val="8.0"/>
      </rPr>
      <t>학사시스템</t>
    </r>
    <r>
      <rPr>
        <rFont val="맑은 고딕"/>
        <i/>
        <color rgb="FF7F7F7F"/>
        <sz val="8.0"/>
      </rPr>
      <t>(</t>
    </r>
    <r>
      <rPr>
        <rFont val="Noto Sans CJK SC"/>
        <i/>
        <color rgb="FF7F7F7F"/>
        <sz val="8.0"/>
      </rPr>
      <t>과목별 성적</t>
    </r>
    <r>
      <rPr>
        <rFont val="맑은 고딕"/>
        <i/>
        <color rgb="FF7F7F7F"/>
        <sz val="8.0"/>
      </rPr>
      <t>) + LMS(</t>
    </r>
    <r>
      <rPr>
        <rFont val="Noto Sans CJK SC"/>
        <i/>
        <color rgb="FF7F7F7F"/>
        <sz val="8.0"/>
      </rPr>
      <t>과제점수</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발표력 </t>
    </r>
    <r>
      <rPr>
        <rFont val="맑은 고딕"/>
        <i/>
        <color rgb="FF7F7F7F"/>
        <sz val="8.0"/>
      </rPr>
      <t xml:space="preserve">/ </t>
    </r>
    <r>
      <rPr>
        <rFont val="Noto Sans CJK SC"/>
        <i/>
        <color rgb="FF7F7F7F"/>
        <sz val="8.0"/>
      </rPr>
      <t xml:space="preserve">논리적사고 </t>
    </r>
    <r>
      <rPr>
        <rFont val="맑은 고딕"/>
        <i/>
        <color rgb="FF7F7F7F"/>
        <sz val="8.0"/>
      </rPr>
      <t xml:space="preserve">/ </t>
    </r>
    <r>
      <rPr>
        <rFont val="Noto Sans CJK SC"/>
        <i/>
        <color rgb="FF7F7F7F"/>
        <sz val="8.0"/>
      </rPr>
      <t xml:space="preserve">학업성취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과목에 </t>
    </r>
    <r>
      <rPr>
        <rFont val="맑은 고딕"/>
        <i/>
        <color rgb="FF7F7F7F"/>
        <sz val="8.0"/>
      </rPr>
      <t>'</t>
    </r>
    <r>
      <rPr>
        <rFont val="Noto Sans CJK SC"/>
        <i/>
        <color rgb="FF7F7F7F"/>
        <sz val="8.0"/>
      </rPr>
      <t>발표형</t>
    </r>
    <r>
      <rPr>
        <rFont val="맑은 고딕"/>
        <i/>
        <color rgb="FF7F7F7F"/>
        <sz val="8.0"/>
      </rPr>
      <t>·</t>
    </r>
    <r>
      <rPr>
        <rFont val="Noto Sans CJK SC"/>
        <i/>
        <color rgb="FF7F7F7F"/>
        <sz val="8.0"/>
      </rPr>
      <t>토론형</t>
    </r>
    <r>
      <rPr>
        <rFont val="맑은 고딕"/>
        <i/>
        <color rgb="FF7F7F7F"/>
        <sz val="8.0"/>
      </rPr>
      <t xml:space="preserve">' </t>
    </r>
    <r>
      <rPr>
        <rFont val="Noto Sans CJK SC"/>
        <i/>
        <color rgb="FF7F7F7F"/>
        <sz val="8.0"/>
      </rPr>
      <t>태그가 있어야 자동 분류 가능</t>
    </r>
  </si>
  <si>
    <r>
      <rPr>
        <rFont val="Noto Sans CJK SC"/>
        <b/>
        <color rgb="FF000000"/>
        <sz val="9.0"/>
      </rPr>
      <t>과제</t>
    </r>
    <r>
      <rPr>
        <rFont val="맑은 고딕"/>
        <b/>
        <color rgb="FF000000"/>
        <sz val="9.0"/>
      </rPr>
      <t>·</t>
    </r>
    <r>
      <rPr>
        <rFont val="Noto Sans CJK SC"/>
        <b/>
        <color rgb="FF000000"/>
        <sz val="9.0"/>
      </rPr>
      <t>보고서 점수</t>
    </r>
  </si>
  <si>
    <r>
      <rPr>
        <rFont val="맑은 고딕"/>
        <i/>
        <color rgb="FF7F7F7F"/>
        <sz val="8.0"/>
      </rPr>
      <t>YYYY-1 / YYYY-2 / YYYY-</t>
    </r>
    <r>
      <rPr>
        <rFont val="Noto Sans CJK SC"/>
        <i/>
        <color rgb="FF7F7F7F"/>
        <sz val="8.0"/>
      </rPr>
      <t xml:space="preserve">여름 </t>
    </r>
    <r>
      <rPr>
        <rFont val="맑은 고딕"/>
        <i/>
        <color rgb="FF7F7F7F"/>
        <sz val="8.0"/>
      </rPr>
      <t>/ YYYY-</t>
    </r>
    <r>
      <rPr>
        <rFont val="Noto Sans CJK SC"/>
        <i/>
        <color rgb="FF7F7F7F"/>
        <sz val="8.0"/>
      </rPr>
      <t>겨울</t>
    </r>
  </si>
  <si>
    <r>
      <rPr>
        <rFont val="맑은 고딕"/>
        <i/>
        <color rgb="FF7F7F7F"/>
        <sz val="8.0"/>
      </rPr>
      <t>[</t>
    </r>
    <r>
      <rPr>
        <rFont val="Noto Sans CJK SC"/>
        <i/>
        <color rgb="FF7F7F7F"/>
        <sz val="8.0"/>
      </rPr>
      <t xml:space="preserve">발표형 </t>
    </r>
    <r>
      <rPr>
        <rFont val="맑은 고딕"/>
        <i/>
        <color rgb="FF7F7F7F"/>
        <sz val="8.0"/>
      </rPr>
      <t xml:space="preserve">/ </t>
    </r>
    <r>
      <rPr>
        <rFont val="Noto Sans CJK SC"/>
        <i/>
        <color rgb="FF7F7F7F"/>
        <sz val="8.0"/>
      </rPr>
      <t xml:space="preserve">토론형 </t>
    </r>
    <r>
      <rPr>
        <rFont val="맑은 고딕"/>
        <i/>
        <color rgb="FF7F7F7F"/>
        <sz val="8.0"/>
      </rPr>
      <t xml:space="preserve">/ </t>
    </r>
    <r>
      <rPr>
        <rFont val="Noto Sans CJK SC"/>
        <i/>
        <color rgb="FF7F7F7F"/>
        <sz val="8.0"/>
      </rPr>
      <t>과제</t>
    </r>
    <r>
      <rPr>
        <rFont val="맑은 고딕"/>
        <i/>
        <color rgb="FF7F7F7F"/>
        <sz val="8.0"/>
      </rPr>
      <t>·</t>
    </r>
    <r>
      <rPr>
        <rFont val="Noto Sans CJK SC"/>
        <i/>
        <color rgb="FF7F7F7F"/>
        <sz val="8.0"/>
      </rPr>
      <t xml:space="preserve">보고서형 </t>
    </r>
    <r>
      <rPr>
        <rFont val="맑은 고딕"/>
        <i/>
        <color rgb="FF7F7F7F"/>
        <sz val="8.0"/>
      </rPr>
      <t>/ PBL</t>
    </r>
    <r>
      <rPr>
        <rFont val="Noto Sans CJK SC"/>
        <i/>
        <color rgb="FF7F7F7F"/>
        <sz val="8.0"/>
      </rPr>
      <t>형</t>
    </r>
    <r>
      <rPr>
        <rFont val="맑은 고딕"/>
        <i/>
        <color rgb="FF7F7F7F"/>
        <sz val="8.0"/>
      </rPr>
      <t>]</t>
    </r>
  </si>
  <si>
    <r>
      <rPr>
        <rFont val="Noto Sans CJK SC"/>
        <i/>
        <color rgb="FF7F7F7F"/>
        <sz val="8.0"/>
      </rPr>
      <t>숫자</t>
    </r>
    <r>
      <rPr>
        <rFont val="맑은 고딕"/>
        <i/>
        <color rgb="FF7F7F7F"/>
        <sz val="8.0"/>
      </rPr>
      <t>(100</t>
    </r>
    <r>
      <rPr>
        <rFont val="Noto Sans CJK SC"/>
        <i/>
        <color rgb="FF7F7F7F"/>
        <sz val="8.0"/>
      </rPr>
      <t>점</t>
    </r>
    <r>
      <rPr>
        <rFont val="맑은 고딕"/>
        <i/>
        <color rgb="FF7F7F7F"/>
        <sz val="8.0"/>
      </rPr>
      <t>)</t>
    </r>
  </si>
  <si>
    <r>
      <rPr>
        <rFont val="Noto Sans CJK SC"/>
        <i/>
        <color rgb="FF7F7F7F"/>
        <sz val="8.0"/>
      </rPr>
      <t>출처</t>
    </r>
    <r>
      <rPr>
        <rFont val="맑은 고딕"/>
        <i/>
        <color rgb="FF7F7F7F"/>
        <sz val="8.0"/>
      </rPr>
      <t xml:space="preserve">: </t>
    </r>
    <r>
      <rPr>
        <rFont val="Noto Sans CJK SC"/>
        <i/>
        <color rgb="FF7F7F7F"/>
        <sz val="8.0"/>
      </rPr>
      <t>학사시스템</t>
    </r>
    <r>
      <rPr>
        <rFont val="맑은 고딕"/>
        <i/>
        <color rgb="FF7F7F7F"/>
        <sz val="8.0"/>
      </rPr>
      <t>(</t>
    </r>
    <r>
      <rPr>
        <rFont val="Noto Sans CJK SC"/>
        <i/>
        <color rgb="FF7F7F7F"/>
        <sz val="8.0"/>
      </rPr>
      <t>수강내역</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탐구력 </t>
    </r>
    <r>
      <rPr>
        <rFont val="맑은 고딕"/>
        <i/>
        <color rgb="FF7F7F7F"/>
        <sz val="8.0"/>
      </rPr>
      <t xml:space="preserve">/ </t>
    </r>
    <r>
      <rPr>
        <rFont val="Noto Sans CJK SC"/>
        <i/>
        <color rgb="FF7F7F7F"/>
        <sz val="8.0"/>
      </rPr>
      <t>종합적사고력</t>
    </r>
    <r>
      <rPr>
        <rFont val="맑은 고딕"/>
        <i/>
        <color rgb="FF7F7F7F"/>
        <sz val="8.0"/>
      </rPr>
      <t>(</t>
    </r>
    <r>
      <rPr>
        <rFont val="Noto Sans CJK SC"/>
        <i/>
        <color rgb="FF7F7F7F"/>
        <sz val="8.0"/>
      </rPr>
      <t>융합적 사고</t>
    </r>
    <r>
      <rPr>
        <rFont val="맑은 고딕"/>
        <i/>
        <color rgb="FF7F7F7F"/>
        <sz val="8.0"/>
      </rPr>
      <t xml:space="preserve">) /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마인드맵의 </t>
    </r>
    <r>
      <rPr>
        <rFont val="맑은 고딕"/>
        <i/>
        <color rgb="FF7F7F7F"/>
        <sz val="8.0"/>
      </rPr>
      <t>'</t>
    </r>
    <r>
      <rPr>
        <rFont val="Noto Sans CJK SC"/>
        <i/>
        <color rgb="FF7F7F7F"/>
        <sz val="8.0"/>
      </rPr>
      <t>융합 전공</t>
    </r>
    <r>
      <rPr>
        <rFont val="맑은 고딕"/>
        <i/>
        <color rgb="FF7F7F7F"/>
        <sz val="8.0"/>
      </rPr>
      <t>'</t>
    </r>
    <r>
      <rPr>
        <rFont val="Noto Sans CJK SC"/>
        <i/>
        <color rgb="FF7F7F7F"/>
        <sz val="8.0"/>
      </rPr>
      <t>은 기존 데이터셋에 없음 → 수강내역에서 도출</t>
    </r>
  </si>
  <si>
    <r>
      <rPr>
        <rFont val="Noto Sans CJK SC"/>
        <color rgb="FF7F7F7F"/>
        <sz val="9.0"/>
      </rPr>
      <t>예</t>
    </r>
    <r>
      <rPr>
        <rFont val="맑은 고딕"/>
        <color rgb="FF7F7F7F"/>
        <sz val="9.0"/>
      </rPr>
      <t>: 124</t>
    </r>
  </si>
  <si>
    <r>
      <rPr>
        <rFont val="Noto Sans CJK SC"/>
        <i/>
        <color rgb="FF7F7F7F"/>
        <sz val="8.0"/>
      </rPr>
      <t>출처</t>
    </r>
    <r>
      <rPr>
        <rFont val="맑은 고딕"/>
        <i/>
        <color rgb="FF7F7F7F"/>
        <sz val="8.0"/>
      </rPr>
      <t xml:space="preserve">: </t>
    </r>
    <r>
      <rPr>
        <rFont val="Noto Sans CJK SC"/>
        <i/>
        <color rgb="FF7F7F7F"/>
        <sz val="8.0"/>
      </rPr>
      <t>비교과</t>
    </r>
    <r>
      <rPr>
        <rFont val="맑은 고딕"/>
        <i/>
        <color rgb="FF7F7F7F"/>
        <sz val="8.0"/>
      </rPr>
      <t>·</t>
    </r>
    <r>
      <rPr>
        <rFont val="Noto Sans CJK SC"/>
        <i/>
        <color rgb="FF7F7F7F"/>
        <sz val="8.0"/>
      </rPr>
      <t xml:space="preserve">연구지원 시스템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탐구력 </t>
    </r>
    <r>
      <rPr>
        <rFont val="맑은 고딕"/>
        <i/>
        <color rgb="FF7F7F7F"/>
        <sz val="8.0"/>
      </rPr>
      <t xml:space="preserve">/ </t>
    </r>
    <r>
      <rPr>
        <rFont val="Noto Sans CJK SC"/>
        <i/>
        <color rgb="FF7F7F7F"/>
        <sz val="8.0"/>
      </rPr>
      <t xml:space="preserve">문제해결력   </t>
    </r>
    <r>
      <rPr>
        <rFont val="맑은 고딕"/>
        <i/>
        <color rgb="FF7F7F7F"/>
        <sz val="8.0"/>
      </rPr>
      <t xml:space="preserve">|   </t>
    </r>
    <r>
      <rPr>
        <rFont val="Noto Sans CJK SC"/>
        <i/>
        <color rgb="FF7F7F7F"/>
        <sz val="8.0"/>
      </rPr>
      <t>비고</t>
    </r>
    <r>
      <rPr>
        <rFont val="맑은 고딕"/>
        <i/>
        <color rgb="FF7F7F7F"/>
        <sz val="8.0"/>
      </rPr>
      <t xml:space="preserve">: [B] </t>
    </r>
    <r>
      <rPr>
        <rFont val="Noto Sans CJK SC"/>
        <i/>
        <color rgb="FF7F7F7F"/>
        <sz val="8.0"/>
      </rPr>
      <t>학회</t>
    </r>
    <r>
      <rPr>
        <rFont val="맑은 고딕"/>
        <i/>
        <color rgb="FF7F7F7F"/>
        <sz val="8.0"/>
      </rPr>
      <t>·</t>
    </r>
    <r>
      <rPr>
        <rFont val="Noto Sans CJK SC"/>
        <i/>
        <color rgb="FF7F7F7F"/>
        <sz val="8.0"/>
      </rPr>
      <t xml:space="preserve">연구 </t>
    </r>
    <r>
      <rPr>
        <rFont val="맑은 고딕"/>
        <i/>
        <color rgb="FF7F7F7F"/>
        <sz val="8.0"/>
      </rPr>
      <t>+ [C] URP·</t>
    </r>
    <r>
      <rPr>
        <rFont val="Noto Sans CJK SC"/>
        <i/>
        <color rgb="FF7F7F7F"/>
        <sz val="8.0"/>
      </rPr>
      <t>팀연구프로젝트 통합</t>
    </r>
  </si>
  <si>
    <r>
      <rPr>
        <rFont val="Noto Sans CJK SC"/>
        <color rgb="FF7F7F7F"/>
        <sz val="9.0"/>
      </rPr>
      <t xml:space="preserve">없으면 </t>
    </r>
    <r>
      <rPr>
        <rFont val="맑은 고딕"/>
        <color rgb="FF7F7F7F"/>
        <sz val="9.0"/>
      </rPr>
      <t>0</t>
    </r>
  </si>
  <si>
    <r>
      <rPr>
        <rFont val="Noto Sans CJK SC"/>
        <b/>
        <color rgb="FF000000"/>
        <sz val="11.0"/>
      </rPr>
      <t>수강과목</t>
    </r>
    <r>
      <rPr>
        <rFont val="맑은 고딕"/>
        <b/>
        <color rgb="FF000000"/>
        <sz val="11.0"/>
      </rPr>
      <t>·</t>
    </r>
    <r>
      <rPr>
        <rFont val="Noto Sans CJK SC"/>
        <b/>
        <color rgb="FF000000"/>
        <sz val="11.0"/>
      </rPr>
      <t>심화</t>
    </r>
    <r>
      <rPr>
        <rFont val="맑은 고딕"/>
        <b/>
        <color rgb="FF000000"/>
        <sz val="11.0"/>
      </rPr>
      <t>·</t>
    </r>
    <r>
      <rPr>
        <rFont val="Noto Sans CJK SC"/>
        <b/>
        <color rgb="FF000000"/>
        <sz val="11.0"/>
      </rPr>
      <t>융합 이수</t>
    </r>
  </si>
  <si>
    <r>
      <rPr>
        <rFont val="Noto Sans CJK SC"/>
        <b/>
        <color rgb="FF000000"/>
        <sz val="9.0"/>
      </rPr>
      <t>활동명</t>
    </r>
    <r>
      <rPr>
        <rFont val="맑은 고딕"/>
        <b/>
        <color rgb="FF000000"/>
        <sz val="9.0"/>
      </rPr>
      <t>·</t>
    </r>
    <r>
      <rPr>
        <rFont val="Noto Sans CJK SC"/>
        <b/>
        <color rgb="FF000000"/>
        <sz val="9.0"/>
      </rPr>
      <t>소속</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</si>
  <si>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</si>
  <si>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맑은 고딕"/>
        <i/>
        <color rgb="FF7F7F7F"/>
        <sz val="8.0"/>
      </rPr>
      <t>[</t>
    </r>
    <r>
      <rPr>
        <rFont val="Noto Sans CJK SC"/>
        <i/>
        <color rgb="FF7F7F7F"/>
        <sz val="8.0"/>
      </rPr>
      <t xml:space="preserve">주전공 </t>
    </r>
    <r>
      <rPr>
        <rFont val="맑은 고딕"/>
        <i/>
        <color rgb="FF7F7F7F"/>
        <sz val="8.0"/>
      </rPr>
      <t xml:space="preserve">/ </t>
    </r>
    <r>
      <rPr>
        <rFont val="Noto Sans CJK SC"/>
        <i/>
        <color rgb="FF7F7F7F"/>
        <sz val="8.0"/>
      </rPr>
      <t xml:space="preserve">복수전공 </t>
    </r>
    <r>
      <rPr>
        <rFont val="맑은 고딕"/>
        <i/>
        <color rgb="FF7F7F7F"/>
        <sz val="8.0"/>
      </rPr>
      <t xml:space="preserve">/ </t>
    </r>
    <r>
      <rPr>
        <rFont val="Noto Sans CJK SC"/>
        <i/>
        <color rgb="FF7F7F7F"/>
        <sz val="8.0"/>
      </rPr>
      <t xml:space="preserve">부전공 </t>
    </r>
    <r>
      <rPr>
        <rFont val="맑은 고딕"/>
        <i/>
        <color rgb="FF7F7F7F"/>
        <sz val="8.0"/>
      </rPr>
      <t xml:space="preserve">/ </t>
    </r>
    <r>
      <rPr>
        <rFont val="Noto Sans CJK SC"/>
        <i/>
        <color rgb="FF7F7F7F"/>
        <sz val="8.0"/>
      </rPr>
      <t xml:space="preserve">연계전공 </t>
    </r>
    <r>
      <rPr>
        <rFont val="맑은 고딕"/>
        <i/>
        <color rgb="FF7F7F7F"/>
        <sz val="8.0"/>
      </rPr>
      <t xml:space="preserve">/ </t>
    </r>
    <r>
      <rPr>
        <rFont val="Noto Sans CJK SC"/>
        <i/>
        <color rgb="FF7F7F7F"/>
        <sz val="8.0"/>
      </rPr>
      <t xml:space="preserve">융합전공 </t>
    </r>
    <r>
      <rPr>
        <rFont val="맑은 고딕"/>
        <i/>
        <color rgb="FF7F7F7F"/>
        <sz val="8.0"/>
      </rPr>
      <t xml:space="preserve">/ </t>
    </r>
    <r>
      <rPr>
        <rFont val="Noto Sans CJK SC"/>
        <i/>
        <color rgb="FF7F7F7F"/>
        <sz val="8.0"/>
      </rPr>
      <t>심화전공</t>
    </r>
    <r>
      <rPr>
        <rFont val="맑은 고딕"/>
        <i/>
        <color rgb="FF7F7F7F"/>
        <sz val="8.0"/>
      </rPr>
      <t>]</t>
    </r>
  </si>
  <si>
    <r>
      <rPr>
        <rFont val="맑은 고딕"/>
        <i/>
        <color rgb="FF7F7F7F"/>
        <sz val="8.0"/>
      </rPr>
      <t>[</t>
    </r>
    <r>
      <rPr>
        <rFont val="Noto Sans CJK SC"/>
        <i/>
        <color rgb="FF7F7F7F"/>
        <sz val="8.0"/>
      </rPr>
      <t xml:space="preserve">신청 </t>
    </r>
    <r>
      <rPr>
        <rFont val="맑은 고딕"/>
        <i/>
        <color rgb="FF7F7F7F"/>
        <sz val="8.0"/>
      </rPr>
      <t xml:space="preserve">/ </t>
    </r>
    <r>
      <rPr>
        <rFont val="Noto Sans CJK SC"/>
        <i/>
        <color rgb="FF7F7F7F"/>
        <sz val="8.0"/>
      </rPr>
      <t xml:space="preserve">이수중 </t>
    </r>
    <r>
      <rPr>
        <rFont val="맑은 고딕"/>
        <i/>
        <color rgb="FF7F7F7F"/>
        <sz val="8.0"/>
      </rPr>
      <t xml:space="preserve">/ </t>
    </r>
    <r>
      <rPr>
        <rFont val="Noto Sans CJK SC"/>
        <i/>
        <color rgb="FF7F7F7F"/>
        <sz val="8.0"/>
      </rPr>
      <t>이수완료</t>
    </r>
    <r>
      <rPr>
        <rFont val="맑은 고딕"/>
        <i/>
        <color rgb="FF7F7F7F"/>
        <sz val="8.0"/>
      </rPr>
      <t>]</t>
    </r>
  </si>
  <si>
    <r>
      <rPr>
        <rFont val="맑은 고딕"/>
        <i/>
        <color rgb="FF7F7F7F"/>
        <sz val="8.0"/>
      </rPr>
      <t>[</t>
    </r>
    <r>
      <rPr>
        <rFont val="Noto Sans CJK SC"/>
        <i/>
        <color rgb="FF7F7F7F"/>
        <sz val="8.0"/>
      </rPr>
      <t xml:space="preserve">학부연구생 </t>
    </r>
    <r>
      <rPr>
        <rFont val="맑은 고딕"/>
        <i/>
        <color rgb="FF7F7F7F"/>
        <sz val="8.0"/>
      </rPr>
      <t xml:space="preserve">/ URP / </t>
    </r>
    <r>
      <rPr>
        <rFont val="Noto Sans CJK SC"/>
        <i/>
        <color rgb="FF7F7F7F"/>
        <sz val="8.0"/>
      </rPr>
      <t xml:space="preserve">학회 </t>
    </r>
    <r>
      <rPr>
        <rFont val="맑은 고딕"/>
        <i/>
        <color rgb="FF7F7F7F"/>
        <sz val="8.0"/>
      </rPr>
      <t xml:space="preserve">/ </t>
    </r>
    <r>
      <rPr>
        <rFont val="Noto Sans CJK SC"/>
        <i/>
        <color rgb="FF7F7F7F"/>
        <sz val="8.0"/>
      </rPr>
      <t xml:space="preserve">연구실 인턴 </t>
    </r>
    <r>
      <rPr>
        <rFont val="맑은 고딕"/>
        <i/>
        <color rgb="FF7F7F7F"/>
        <sz val="8.0"/>
      </rPr>
      <t xml:space="preserve">/ </t>
    </r>
    <r>
      <rPr>
        <rFont val="Noto Sans CJK SC"/>
        <i/>
        <color rgb="FF7F7F7F"/>
        <sz val="8.0"/>
      </rPr>
      <t>팀연구프로젝트</t>
    </r>
    <r>
      <rPr>
        <rFont val="맑은 고딕"/>
        <i/>
        <color rgb="FF7F7F7F"/>
        <sz val="8.0"/>
      </rPr>
      <t>]</t>
    </r>
  </si>
  <si>
    <r>
      <rPr>
        <rFont val="Noto Sans CJK SC"/>
        <i/>
        <color rgb="FF7F7F7F"/>
        <sz val="8.0"/>
      </rPr>
      <t>연구실</t>
    </r>
    <r>
      <rPr>
        <rFont val="맑은 고딕"/>
        <i/>
        <color rgb="FF7F7F7F"/>
        <sz val="8.0"/>
      </rPr>
      <t>/</t>
    </r>
    <r>
      <rPr>
        <rFont val="Noto Sans CJK SC"/>
        <i/>
        <color rgb="FF7F7F7F"/>
        <sz val="8.0"/>
      </rPr>
      <t>학회명</t>
    </r>
  </si>
  <si>
    <t>소프트웨어학</t>
  </si>
  <si>
    <r>
      <rPr>
        <rFont val="맑은 고딕"/>
        <i/>
        <color rgb="FF7F7F7F"/>
        <sz val="8.0"/>
      </rPr>
      <t xml:space="preserve">YYYY-MM / </t>
    </r>
    <r>
      <rPr>
        <rFont val="Noto Sans CJK SC"/>
        <i/>
        <color rgb="FF7F7F7F"/>
        <sz val="8.0"/>
      </rPr>
      <t>진행중</t>
    </r>
  </si>
  <si>
    <r>
      <rPr>
        <rFont val="Noto Sans CJK SC"/>
        <i/>
        <color rgb="FF7F7F7F"/>
        <sz val="8.0"/>
      </rPr>
      <t>출처</t>
    </r>
    <r>
      <rPr>
        <rFont val="맑은 고딕"/>
        <i/>
        <color rgb="FF7F7F7F"/>
        <sz val="8.0"/>
      </rPr>
      <t xml:space="preserve">: </t>
    </r>
    <r>
      <rPr>
        <rFont val="Noto Sans CJK SC"/>
        <i/>
        <color rgb="FF7F7F7F"/>
        <sz val="8.0"/>
      </rPr>
      <t>학사시스템</t>
    </r>
    <r>
      <rPr>
        <rFont val="맑은 고딕"/>
        <i/>
        <color rgb="FF7F7F7F"/>
        <sz val="8.0"/>
      </rPr>
      <t>(</t>
    </r>
    <r>
      <rPr>
        <rFont val="Noto Sans CJK SC"/>
        <i/>
        <color rgb="FF7F7F7F"/>
        <sz val="8.0"/>
      </rPr>
      <t>수강내역</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탐구력 </t>
    </r>
    <r>
      <rPr>
        <rFont val="맑은 고딕"/>
        <i/>
        <color rgb="FF7F7F7F"/>
        <sz val="8.0"/>
      </rPr>
      <t xml:space="preserve">/ </t>
    </r>
    <r>
      <rPr>
        <rFont val="Noto Sans CJK SC"/>
        <i/>
        <color rgb="FF7F7F7F"/>
        <sz val="8.0"/>
      </rPr>
      <t>종합적사고력</t>
    </r>
    <r>
      <rPr>
        <rFont val="맑은 고딕"/>
        <i/>
        <color rgb="FF7F7F7F"/>
        <sz val="8.0"/>
      </rPr>
      <t>(</t>
    </r>
    <r>
      <rPr>
        <rFont val="Noto Sans CJK SC"/>
        <i/>
        <color rgb="FF7F7F7F"/>
        <sz val="8.0"/>
      </rPr>
      <t>융합적 사고</t>
    </r>
    <r>
      <rPr>
        <rFont val="맑은 고딕"/>
        <i/>
        <color rgb="FF7F7F7F"/>
        <sz val="8.0"/>
      </rPr>
      <t xml:space="preserve">) /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마인드맵의 </t>
    </r>
    <r>
      <rPr>
        <rFont val="맑은 고딕"/>
        <i/>
        <color rgb="FF7F7F7F"/>
        <sz val="8.0"/>
      </rPr>
      <t>'</t>
    </r>
    <r>
      <rPr>
        <rFont val="Noto Sans CJK SC"/>
        <i/>
        <color rgb="FF7F7F7F"/>
        <sz val="8.0"/>
      </rPr>
      <t>융합 전공</t>
    </r>
    <r>
      <rPr>
        <rFont val="맑은 고딕"/>
        <i/>
        <color rgb="FF7F7F7F"/>
        <sz val="8.0"/>
      </rPr>
      <t>'</t>
    </r>
    <r>
      <rPr>
        <rFont val="Noto Sans CJK SC"/>
        <i/>
        <color rgb="FF7F7F7F"/>
        <sz val="8.0"/>
      </rPr>
      <t>은 기존 데이터셋에 없음 → 수강내역에서 도출</t>
    </r>
  </si>
  <si>
    <r>
      <rPr>
        <rFont val="Noto Sans CJK SC"/>
        <b/>
        <color rgb="FF000000"/>
        <sz val="11.0"/>
      </rPr>
      <t>정보탐색 결과물</t>
    </r>
    <r>
      <rPr>
        <rFont val="맑은 고딕"/>
        <b/>
        <color rgb="FF000000"/>
        <sz val="11.0"/>
      </rPr>
      <t>(</t>
    </r>
    <r>
      <rPr>
        <rFont val="Noto Sans CJK SC"/>
        <b/>
        <color rgb="FF000000"/>
        <sz val="11.0"/>
      </rPr>
      <t>논문</t>
    </r>
    <r>
      <rPr>
        <rFont val="맑은 고딕"/>
        <b/>
        <color rgb="FF000000"/>
        <sz val="11.0"/>
      </rPr>
      <t>·</t>
    </r>
    <r>
      <rPr>
        <rFont val="Noto Sans CJK SC"/>
        <b/>
        <color rgb="FF000000"/>
        <sz val="11.0"/>
      </rPr>
      <t>보고서</t>
    </r>
    <r>
      <rPr>
        <rFont val="맑은 고딕"/>
        <b/>
        <color rgb="FF000000"/>
        <sz val="11.0"/>
      </rPr>
      <t>)</t>
    </r>
  </si>
  <si>
    <r>
      <rPr>
        <rFont val="Noto Sans CJK SC"/>
        <color rgb="FF7F7F7F"/>
        <sz val="9.0"/>
      </rPr>
      <t>예</t>
    </r>
    <r>
      <rPr>
        <rFont val="맑은 고딕"/>
        <color rgb="FF7F7F7F"/>
        <sz val="9.0"/>
      </rPr>
      <t>: 124</t>
    </r>
  </si>
  <si>
    <r>
      <rPr>
        <rFont val="Noto Sans CJK SC"/>
        <color rgb="FF7F7F7F"/>
        <sz val="9.0"/>
      </rPr>
      <t xml:space="preserve">없으면 </t>
    </r>
    <r>
      <rPr>
        <rFont val="맑은 고딕"/>
        <color rgb="FF7F7F7F"/>
        <sz val="9.0"/>
      </rPr>
      <t>0</t>
    </r>
  </si>
  <si>
    <r>
      <rPr>
        <rFont val="맑은 고딕"/>
        <i/>
        <color rgb="FF7F7F7F"/>
        <sz val="8.0"/>
      </rPr>
      <t>[</t>
    </r>
    <r>
      <rPr>
        <rFont val="Noto Sans CJK SC"/>
        <i/>
        <color rgb="FF7F7F7F"/>
        <sz val="8.0"/>
      </rPr>
      <t xml:space="preserve">주전공 </t>
    </r>
    <r>
      <rPr>
        <rFont val="맑은 고딕"/>
        <i/>
        <color rgb="FF7F7F7F"/>
        <sz val="8.0"/>
      </rPr>
      <t xml:space="preserve">/ </t>
    </r>
    <r>
      <rPr>
        <rFont val="Noto Sans CJK SC"/>
        <i/>
        <color rgb="FF7F7F7F"/>
        <sz val="8.0"/>
      </rPr>
      <t xml:space="preserve">복수전공 </t>
    </r>
    <r>
      <rPr>
        <rFont val="맑은 고딕"/>
        <i/>
        <color rgb="FF7F7F7F"/>
        <sz val="8.0"/>
      </rPr>
      <t xml:space="preserve">/ </t>
    </r>
    <r>
      <rPr>
        <rFont val="Noto Sans CJK SC"/>
        <i/>
        <color rgb="FF7F7F7F"/>
        <sz val="8.0"/>
      </rPr>
      <t xml:space="preserve">부전공 </t>
    </r>
    <r>
      <rPr>
        <rFont val="맑은 고딕"/>
        <i/>
        <color rgb="FF7F7F7F"/>
        <sz val="8.0"/>
      </rPr>
      <t xml:space="preserve">/ </t>
    </r>
    <r>
      <rPr>
        <rFont val="Noto Sans CJK SC"/>
        <i/>
        <color rgb="FF7F7F7F"/>
        <sz val="8.0"/>
      </rPr>
      <t xml:space="preserve">연계전공 </t>
    </r>
    <r>
      <rPr>
        <rFont val="맑은 고딕"/>
        <i/>
        <color rgb="FF7F7F7F"/>
        <sz val="8.0"/>
      </rPr>
      <t xml:space="preserve">/ </t>
    </r>
    <r>
      <rPr>
        <rFont val="Noto Sans CJK SC"/>
        <i/>
        <color rgb="FF7F7F7F"/>
        <sz val="8.0"/>
      </rPr>
      <t xml:space="preserve">융합전공 </t>
    </r>
    <r>
      <rPr>
        <rFont val="맑은 고딕"/>
        <i/>
        <color rgb="FF7F7F7F"/>
        <sz val="8.0"/>
      </rPr>
      <t xml:space="preserve">/ </t>
    </r>
    <r>
      <rPr>
        <rFont val="Noto Sans CJK SC"/>
        <i/>
        <color rgb="FF7F7F7F"/>
        <sz val="8.0"/>
      </rPr>
      <t>심화전공</t>
    </r>
    <r>
      <rPr>
        <rFont val="맑은 고딕"/>
        <i/>
        <color rgb="FF7F7F7F"/>
        <sz val="8.0"/>
      </rPr>
      <t>]</t>
    </r>
  </si>
  <si>
    <r>
      <rPr>
        <rFont val="맑은 고딕"/>
        <i/>
        <color rgb="FF7F7F7F"/>
        <sz val="8.0"/>
      </rPr>
      <t>[</t>
    </r>
    <r>
      <rPr>
        <rFont val="Noto Sans CJK SC"/>
        <i/>
        <color rgb="FF7F7F7F"/>
        <sz val="8.0"/>
      </rPr>
      <t xml:space="preserve">신청 </t>
    </r>
    <r>
      <rPr>
        <rFont val="맑은 고딕"/>
        <i/>
        <color rgb="FF7F7F7F"/>
        <sz val="8.0"/>
      </rPr>
      <t xml:space="preserve">/ </t>
    </r>
    <r>
      <rPr>
        <rFont val="Noto Sans CJK SC"/>
        <i/>
        <color rgb="FF7F7F7F"/>
        <sz val="8.0"/>
      </rPr>
      <t xml:space="preserve">이수중 </t>
    </r>
    <r>
      <rPr>
        <rFont val="맑은 고딕"/>
        <i/>
        <color rgb="FF7F7F7F"/>
        <sz val="8.0"/>
      </rPr>
      <t xml:space="preserve">/ </t>
    </r>
    <r>
      <rPr>
        <rFont val="Noto Sans CJK SC"/>
        <i/>
        <color rgb="FF7F7F7F"/>
        <sz val="8.0"/>
      </rPr>
      <t>이수완료</t>
    </r>
    <r>
      <rPr>
        <rFont val="맑은 고딕"/>
        <i/>
        <color rgb="FF7F7F7F"/>
        <sz val="8.0"/>
      </rPr>
      <t>]</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</si>
  <si>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공학계열 한정 → 비대상 전공은 </t>
    </r>
    <r>
      <rPr>
        <rFont val="맑은 고딕"/>
        <i/>
        <color rgb="FF7F7F7F"/>
        <sz val="8.0"/>
      </rPr>
      <t>'</t>
    </r>
    <r>
      <rPr>
        <rFont val="Noto Sans CJK SC"/>
        <i/>
        <color rgb="FF7F7F7F"/>
        <sz val="8.0"/>
      </rPr>
      <t>해당 없음</t>
    </r>
    <r>
      <rPr>
        <rFont val="맑은 고딕"/>
        <i/>
        <color rgb="FF7F7F7F"/>
        <sz val="8.0"/>
      </rPr>
      <t xml:space="preserve">' </t>
    </r>
    <r>
      <rPr>
        <rFont val="Noto Sans CJK SC"/>
        <i/>
        <color rgb="FF7F7F7F"/>
        <sz val="8.0"/>
      </rPr>
      <t>처리</t>
    </r>
    <r>
      <rPr>
        <rFont val="맑은 고딕"/>
        <i/>
        <color rgb="FF7F7F7F"/>
        <sz val="8.0"/>
      </rPr>
      <t>(</t>
    </r>
    <r>
      <rPr>
        <rFont val="Noto Sans CJK SC"/>
        <i/>
        <color rgb="FF7F7F7F"/>
        <sz val="8.0"/>
      </rPr>
      <t>불이익 방지</t>
    </r>
    <r>
      <rPr>
        <rFont val="맑은 고딕"/>
        <i/>
        <color rgb="FF7F7F7F"/>
        <sz val="8.0"/>
      </rPr>
      <t>)</t>
    </r>
  </si>
  <si>
    <t>사회학</t>
  </si>
  <si>
    <t>복수전공</t>
  </si>
  <si>
    <t>심리학</t>
  </si>
  <si>
    <r>
      <rPr>
        <rFont val="Noto Sans CJK SC"/>
        <color rgb="FF7F7F7F"/>
        <sz val="9.0"/>
      </rPr>
      <t xml:space="preserve">비대상 전공이면 상태를 </t>
    </r>
    <r>
      <rPr>
        <rFont val="맑은 고딕"/>
        <color rgb="FF7F7F7F"/>
        <sz val="9.0"/>
      </rPr>
      <t>'</t>
    </r>
    <r>
      <rPr>
        <rFont val="Noto Sans CJK SC"/>
        <color rgb="FF7F7F7F"/>
        <sz val="9.0"/>
      </rPr>
      <t>해당 없음</t>
    </r>
    <r>
      <rPr>
        <rFont val="맑은 고딕"/>
        <color rgb="FF7F7F7F"/>
        <sz val="9.0"/>
      </rPr>
      <t>'</t>
    </r>
    <r>
      <rPr>
        <rFont val="Noto Sans CJK SC"/>
        <color rgb="FF7F7F7F"/>
        <sz val="9.0"/>
      </rPr>
      <t xml:space="preserve">으로  </t>
    </r>
    <r>
      <rPr>
        <rFont val="맑은 고딕"/>
        <color rgb="FF7F7F7F"/>
        <sz val="9.0"/>
      </rPr>
      <t>[</t>
    </r>
    <r>
      <rPr>
        <rFont val="Noto Sans CJK SC"/>
        <color rgb="FF7F7F7F"/>
        <sz val="9.0"/>
      </rPr>
      <t xml:space="preserve">대상 </t>
    </r>
    <r>
      <rPr>
        <rFont val="맑은 고딕"/>
        <color rgb="FF7F7F7F"/>
        <sz val="9.0"/>
      </rPr>
      <t xml:space="preserve">/ </t>
    </r>
    <r>
      <rPr>
        <rFont val="Noto Sans CJK SC"/>
        <color rgb="FF7F7F7F"/>
        <sz val="9.0"/>
      </rPr>
      <t>비대상</t>
    </r>
    <r>
      <rPr>
        <rFont val="맑은 고딕"/>
        <color rgb="FF7F7F7F"/>
        <sz val="9.0"/>
      </rPr>
      <t>]</t>
    </r>
  </si>
  <si>
    <t>컴퓨터공학 공학교육인증</t>
  </si>
  <si>
    <r>
      <rPr>
        <rFont val="Noto Sans CJK SC"/>
        <color rgb="FF7F7F7F"/>
        <sz val="9.0"/>
      </rPr>
      <t>예</t>
    </r>
    <r>
      <rPr>
        <rFont val="맑은 고딕"/>
        <color rgb="FF7F7F7F"/>
        <sz val="9.0"/>
      </rPr>
      <t xml:space="preserve">: </t>
    </r>
    <r>
      <rPr>
        <rFont val="Noto Sans CJK SC"/>
        <color rgb="FF7F7F7F"/>
        <sz val="9.0"/>
      </rPr>
      <t>기계공학 공학교육인증</t>
    </r>
  </si>
  <si>
    <r>
      <rPr>
        <rFont val="맑은 고딕"/>
        <color rgb="FF7F7F7F"/>
        <sz val="9.0"/>
      </rPr>
      <t>[</t>
    </r>
    <r>
      <rPr>
        <rFont val="Noto Sans CJK SC"/>
        <color rgb="FF7F7F7F"/>
        <sz val="9.0"/>
      </rPr>
      <t xml:space="preserve">이수중 </t>
    </r>
    <r>
      <rPr>
        <rFont val="맑은 고딕"/>
        <color rgb="FF7F7F7F"/>
        <sz val="9.0"/>
      </rPr>
      <t xml:space="preserve">/ </t>
    </r>
    <r>
      <rPr>
        <rFont val="Noto Sans CJK SC"/>
        <color rgb="FF7F7F7F"/>
        <sz val="9.0"/>
      </rPr>
      <t xml:space="preserve">이수완료 </t>
    </r>
    <r>
      <rPr>
        <rFont val="맑은 고딕"/>
        <color rgb="FF7F7F7F"/>
        <sz val="9.0"/>
      </rPr>
      <t xml:space="preserve">/ </t>
    </r>
    <r>
      <rPr>
        <rFont val="Noto Sans CJK SC"/>
        <color rgb="FF7F7F7F"/>
        <sz val="9.0"/>
      </rPr>
      <t xml:space="preserve">미이수 </t>
    </r>
    <r>
      <rPr>
        <rFont val="맑은 고딕"/>
        <color rgb="FF7F7F7F"/>
        <sz val="9.0"/>
      </rPr>
      <t xml:space="preserve">/ </t>
    </r>
    <r>
      <rPr>
        <rFont val="Noto Sans CJK SC"/>
        <color rgb="FF7F7F7F"/>
        <sz val="9.0"/>
      </rPr>
      <t>포기</t>
    </r>
    <r>
      <rPr>
        <rFont val="맑은 고딕"/>
        <color rgb="FF7F7F7F"/>
        <sz val="9.0"/>
      </rPr>
      <t>]</t>
    </r>
  </si>
  <si>
    <r>
      <rPr>
        <rFont val="Noto Sans CJK SC"/>
        <i/>
        <color rgb="FF7F7F7F"/>
        <sz val="8.0"/>
      </rPr>
      <t>출처</t>
    </r>
    <r>
      <rPr>
        <rFont val="맑은 고딕"/>
        <i/>
        <color rgb="FF7F7F7F"/>
        <sz val="8.0"/>
      </rPr>
      <t xml:space="preserve">: </t>
    </r>
    <r>
      <rPr>
        <rFont val="Noto Sans CJK SC"/>
        <i/>
        <color rgb="FF7F7F7F"/>
        <sz val="8.0"/>
      </rPr>
      <t>학생 등록</t>
    </r>
    <r>
      <rPr>
        <rFont val="맑은 고딕"/>
        <i/>
        <color rgb="FF7F7F7F"/>
        <sz val="8.0"/>
      </rPr>
      <t>(</t>
    </r>
    <r>
      <rPr>
        <rFont val="Noto Sans CJK SC"/>
        <i/>
        <color rgb="FF7F7F7F"/>
        <sz val="8.0"/>
      </rPr>
      <t>포트폴리오</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자원</t>
    </r>
    <r>
      <rPr>
        <rFont val="맑은 고딕"/>
        <i/>
        <color rgb="FF7F7F7F"/>
        <sz val="8.0"/>
      </rPr>
      <t>·</t>
    </r>
    <r>
      <rPr>
        <rFont val="Noto Sans CJK SC"/>
        <i/>
        <color rgb="FF7F7F7F"/>
        <sz val="8.0"/>
      </rPr>
      <t>정보기술활용</t>
    </r>
    <r>
      <rPr>
        <rFont val="맑은 고딕"/>
        <i/>
        <color rgb="FF7F7F7F"/>
        <sz val="8.0"/>
      </rPr>
      <t>(</t>
    </r>
    <r>
      <rPr>
        <rFont val="Noto Sans CJK SC"/>
        <i/>
        <color rgb="FF7F7F7F"/>
        <sz val="8.0"/>
      </rPr>
      <t>정보탐색</t>
    </r>
    <r>
      <rPr>
        <rFont val="맑은 고딕"/>
        <i/>
        <color rgb="FF7F7F7F"/>
        <sz val="8.0"/>
      </rPr>
      <t xml:space="preserve">) / </t>
    </r>
    <r>
      <rPr>
        <rFont val="Noto Sans CJK SC"/>
        <i/>
        <color rgb="FF7F7F7F"/>
        <sz val="8.0"/>
      </rPr>
      <t xml:space="preserve">논리적사고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게재 수준</t>
    </r>
    <r>
      <rPr>
        <rFont val="맑은 고딕"/>
        <i/>
        <color rgb="FF7F7F7F"/>
        <sz val="8.0"/>
      </rPr>
      <t>(</t>
    </r>
    <r>
      <rPr>
        <rFont val="Noto Sans CJK SC"/>
        <i/>
        <color rgb="FF7F7F7F"/>
        <sz val="8.0"/>
      </rPr>
      <t>학술지</t>
    </r>
    <r>
      <rPr>
        <rFont val="맑은 고딕"/>
        <i/>
        <color rgb="FF7F7F7F"/>
        <sz val="8.0"/>
      </rPr>
      <t>·</t>
    </r>
    <r>
      <rPr>
        <rFont val="Noto Sans CJK SC"/>
        <i/>
        <color rgb="FF7F7F7F"/>
        <sz val="8.0"/>
      </rPr>
      <t>학회</t>
    </r>
    <r>
      <rPr>
        <rFont val="맑은 고딕"/>
        <i/>
        <color rgb="FF7F7F7F"/>
        <sz val="8.0"/>
      </rPr>
      <t>·</t>
    </r>
    <r>
      <rPr>
        <rFont val="Noto Sans CJK SC"/>
        <i/>
        <color rgb="FF7F7F7F"/>
        <sz val="8.0"/>
      </rPr>
      <t>교내</t>
    </r>
    <r>
      <rPr>
        <rFont val="맑은 고딕"/>
        <i/>
        <color rgb="FF7F7F7F"/>
        <sz val="8.0"/>
      </rPr>
      <t xml:space="preserve">) </t>
    </r>
    <r>
      <rPr>
        <rFont val="Noto Sans CJK SC"/>
        <i/>
        <color rgb="FF7F7F7F"/>
        <sz val="8.0"/>
      </rPr>
      <t>구분 기준 필요</t>
    </r>
  </si>
  <si>
    <r>
      <rPr>
        <rFont val="Noto Sans CJK SC"/>
        <b/>
        <color rgb="FFFFFFFF"/>
        <sz val="11.0"/>
      </rPr>
      <t>■ 학습행동</t>
    </r>
    <r>
      <rPr>
        <rFont val="맑은 고딕"/>
        <b/>
        <color rgb="FFFFFFFF"/>
        <sz val="11.0"/>
      </rPr>
      <t>(LMS)</t>
    </r>
  </si>
  <si>
    <r>
      <rPr>
        <rFont val="Noto Sans CJK SC"/>
        <b/>
        <color rgb="FF000000"/>
        <sz val="9.0"/>
      </rPr>
      <t>발표</t>
    </r>
    <r>
      <rPr>
        <rFont val="맑은 고딕"/>
        <b/>
        <color rgb="FF000000"/>
        <sz val="9.0"/>
      </rPr>
      <t>·</t>
    </r>
    <r>
      <rPr>
        <rFont val="Noto Sans CJK SC"/>
        <b/>
        <color rgb="FF000000"/>
        <sz val="9.0"/>
      </rPr>
      <t>게재 연월</t>
    </r>
  </si>
  <si>
    <r>
      <rPr>
        <rFont val="맑은 고딕"/>
        <b/>
        <color rgb="FF000000"/>
        <sz val="11.0"/>
      </rPr>
      <t xml:space="preserve">LMS </t>
    </r>
    <r>
      <rPr>
        <rFont val="Noto Sans CJK SC"/>
        <b/>
        <color rgb="FF000000"/>
        <sz val="11.0"/>
      </rPr>
      <t>학습데이터</t>
    </r>
  </si>
  <si>
    <r>
      <rPr>
        <rFont val="맑은 고딕"/>
        <i/>
        <color rgb="FF7F7F7F"/>
        <sz val="8.0"/>
      </rPr>
      <t>[</t>
    </r>
    <r>
      <rPr>
        <rFont val="Noto Sans CJK SC"/>
        <i/>
        <color rgb="FF7F7F7F"/>
        <sz val="8.0"/>
      </rPr>
      <t xml:space="preserve">논문 </t>
    </r>
    <r>
      <rPr>
        <rFont val="맑은 고딕"/>
        <i/>
        <color rgb="FF7F7F7F"/>
        <sz val="8.0"/>
      </rPr>
      <t xml:space="preserve">/ </t>
    </r>
    <r>
      <rPr>
        <rFont val="Noto Sans CJK SC"/>
        <i/>
        <color rgb="FF7F7F7F"/>
        <sz val="8.0"/>
      </rPr>
      <t xml:space="preserve">보고서 </t>
    </r>
    <r>
      <rPr>
        <rFont val="맑은 고딕"/>
        <i/>
        <color rgb="FF7F7F7F"/>
        <sz val="8.0"/>
      </rPr>
      <t xml:space="preserve">/ </t>
    </r>
    <r>
      <rPr>
        <rFont val="Noto Sans CJK SC"/>
        <i/>
        <color rgb="FF7F7F7F"/>
        <sz val="8.0"/>
      </rPr>
      <t>학술발표자료</t>
    </r>
    <r>
      <rPr>
        <rFont val="맑은 고딕"/>
        <i/>
        <color rgb="FF7F7F7F"/>
        <sz val="8.0"/>
      </rPr>
      <t>]</t>
    </r>
  </si>
  <si>
    <r>
      <rPr>
        <rFont val="맑은 고딕"/>
        <i/>
        <color rgb="FF7F7F7F"/>
        <sz val="8.0"/>
      </rPr>
      <t>[</t>
    </r>
    <r>
      <rPr>
        <rFont val="Noto Sans CJK SC"/>
        <i/>
        <color rgb="FF7F7F7F"/>
        <sz val="8.0"/>
      </rPr>
      <t xml:space="preserve">국제학술지 </t>
    </r>
    <r>
      <rPr>
        <rFont val="맑은 고딕"/>
        <i/>
        <color rgb="FF7F7F7F"/>
        <sz val="8.0"/>
      </rPr>
      <t xml:space="preserve">/ </t>
    </r>
    <r>
      <rPr>
        <rFont val="Noto Sans CJK SC"/>
        <i/>
        <color rgb="FF7F7F7F"/>
        <sz val="8.0"/>
      </rPr>
      <t xml:space="preserve">국내학술지 </t>
    </r>
    <r>
      <rPr>
        <rFont val="맑은 고딕"/>
        <i/>
        <color rgb="FF7F7F7F"/>
        <sz val="8.0"/>
      </rPr>
      <t xml:space="preserve">/ </t>
    </r>
    <r>
      <rPr>
        <rFont val="Noto Sans CJK SC"/>
        <i/>
        <color rgb="FF7F7F7F"/>
        <sz val="8.0"/>
      </rPr>
      <t xml:space="preserve">국제학술대회 </t>
    </r>
    <r>
      <rPr>
        <rFont val="맑은 고딕"/>
        <i/>
        <color rgb="FF7F7F7F"/>
        <sz val="8.0"/>
      </rPr>
      <t xml:space="preserve">/ </t>
    </r>
    <r>
      <rPr>
        <rFont val="Noto Sans CJK SC"/>
        <i/>
        <color rgb="FF7F7F7F"/>
        <sz val="8.0"/>
      </rPr>
      <t xml:space="preserve">국내학술대회 </t>
    </r>
    <r>
      <rPr>
        <rFont val="맑은 고딕"/>
        <i/>
        <color rgb="FF7F7F7F"/>
        <sz val="8.0"/>
      </rPr>
      <t xml:space="preserve">/ </t>
    </r>
    <r>
      <rPr>
        <rFont val="Noto Sans CJK SC"/>
        <i/>
        <color rgb="FF7F7F7F"/>
        <sz val="8.0"/>
      </rPr>
      <t>교내</t>
    </r>
    <r>
      <rPr>
        <rFont val="맑은 고딕"/>
        <i/>
        <color rgb="FF7F7F7F"/>
        <sz val="8.0"/>
      </rPr>
      <t>]</t>
    </r>
  </si>
  <si>
    <r>
      <rPr>
        <rFont val="맑은 고딕"/>
        <i/>
        <color rgb="FF7F7F7F"/>
        <sz val="8.0"/>
      </rPr>
      <t>[</t>
    </r>
    <r>
      <rPr>
        <rFont val="Noto Sans CJK SC"/>
        <i/>
        <color rgb="FF7F7F7F"/>
        <sz val="8.0"/>
      </rPr>
      <t xml:space="preserve">게재 </t>
    </r>
    <r>
      <rPr>
        <rFont val="맑은 고딕"/>
        <i/>
        <color rgb="FF7F7F7F"/>
        <sz val="8.0"/>
      </rPr>
      <t xml:space="preserve">/ </t>
    </r>
    <r>
      <rPr>
        <rFont val="Noto Sans CJK SC"/>
        <i/>
        <color rgb="FF7F7F7F"/>
        <sz val="8.0"/>
      </rPr>
      <t xml:space="preserve">게재승인 </t>
    </r>
    <r>
      <rPr>
        <rFont val="맑은 고딕"/>
        <i/>
        <color rgb="FF7F7F7F"/>
        <sz val="8.0"/>
      </rPr>
      <t xml:space="preserve">/ </t>
    </r>
    <r>
      <rPr>
        <rFont val="Noto Sans CJK SC"/>
        <i/>
        <color rgb="FF7F7F7F"/>
        <sz val="8.0"/>
      </rPr>
      <t xml:space="preserve">투고 </t>
    </r>
    <r>
      <rPr>
        <rFont val="맑은 고딕"/>
        <i/>
        <color rgb="FF7F7F7F"/>
        <sz val="8.0"/>
      </rPr>
      <t xml:space="preserve">/ </t>
    </r>
    <r>
      <rPr>
        <rFont val="Noto Sans CJK SC"/>
        <i/>
        <color rgb="FF7F7F7F"/>
        <sz val="8.0"/>
      </rPr>
      <t>작성중</t>
    </r>
    <r>
      <rPr>
        <rFont val="맑은 고딕"/>
        <i/>
        <color rgb="FF7F7F7F"/>
        <sz val="8.0"/>
      </rPr>
      <t>]</t>
    </r>
  </si>
  <si>
    <r>
      <rPr>
        <rFont val="맑은 고딕"/>
        <i/>
        <color rgb="FF7F7F7F"/>
        <sz val="8.0"/>
      </rPr>
      <t>[</t>
    </r>
    <r>
      <rPr>
        <rFont val="Noto Sans CJK SC"/>
        <i/>
        <color rgb="FF7F7F7F"/>
        <sz val="8.0"/>
      </rPr>
      <t xml:space="preserve">단독 </t>
    </r>
    <r>
      <rPr>
        <rFont val="맑은 고딕"/>
        <i/>
        <color rgb="FF7F7F7F"/>
        <sz val="8.0"/>
      </rPr>
      <t xml:space="preserve">/ </t>
    </r>
    <r>
      <rPr>
        <rFont val="Noto Sans CJK SC"/>
        <i/>
        <color rgb="FF7F7F7F"/>
        <sz val="8.0"/>
      </rPr>
      <t>제</t>
    </r>
    <r>
      <rPr>
        <rFont val="맑은 고딕"/>
        <i/>
        <color rgb="FF7F7F7F"/>
        <sz val="8.0"/>
      </rPr>
      <t>1</t>
    </r>
    <r>
      <rPr>
        <rFont val="Noto Sans CJK SC"/>
        <i/>
        <color rgb="FF7F7F7F"/>
        <sz val="8.0"/>
      </rPr>
      <t xml:space="preserve">저자 </t>
    </r>
    <r>
      <rPr>
        <rFont val="맑은 고딕"/>
        <i/>
        <color rgb="FF7F7F7F"/>
        <sz val="8.0"/>
      </rPr>
      <t xml:space="preserve">/ </t>
    </r>
    <r>
      <rPr>
        <rFont val="Noto Sans CJK SC"/>
        <i/>
        <color rgb="FF7F7F7F"/>
        <sz val="8.0"/>
      </rPr>
      <t>공동저자</t>
    </r>
    <r>
      <rPr>
        <rFont val="맑은 고딕"/>
        <i/>
        <color rgb="FF7F7F7F"/>
        <sz val="8.0"/>
      </rPr>
      <t>]</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</si>
  <si>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공학계열 한정 → 비대상 전공은 </t>
    </r>
    <r>
      <rPr>
        <rFont val="맑은 고딕"/>
        <i/>
        <color rgb="FF7F7F7F"/>
        <sz val="8.0"/>
      </rPr>
      <t>'</t>
    </r>
    <r>
      <rPr>
        <rFont val="Noto Sans CJK SC"/>
        <i/>
        <color rgb="FF7F7F7F"/>
        <sz val="8.0"/>
      </rPr>
      <t>해당 없음</t>
    </r>
    <r>
      <rPr>
        <rFont val="맑은 고딕"/>
        <i/>
        <color rgb="FF7F7F7F"/>
        <sz val="8.0"/>
      </rPr>
      <t xml:space="preserve">' </t>
    </r>
    <r>
      <rPr>
        <rFont val="Noto Sans CJK SC"/>
        <i/>
        <color rgb="FF7F7F7F"/>
        <sz val="8.0"/>
      </rPr>
      <t>처리</t>
    </r>
    <r>
      <rPr>
        <rFont val="맑은 고딕"/>
        <i/>
        <color rgb="FF7F7F7F"/>
        <sz val="8.0"/>
      </rPr>
      <t>(</t>
    </r>
    <r>
      <rPr>
        <rFont val="Noto Sans CJK SC"/>
        <i/>
        <color rgb="FF7F7F7F"/>
        <sz val="8.0"/>
      </rPr>
      <t>불이익 방지</t>
    </r>
    <r>
      <rPr>
        <rFont val="맑은 고딕"/>
        <i/>
        <color rgb="FF7F7F7F"/>
        <sz val="8.0"/>
      </rPr>
      <t>)</t>
    </r>
  </si>
  <si>
    <r>
      <rPr>
        <rFont val="Noto Sans CJK SC"/>
        <color rgb="FF7F7F7F"/>
        <sz val="9.0"/>
      </rPr>
      <t xml:space="preserve">비대상 전공이면 상태를 </t>
    </r>
    <r>
      <rPr>
        <rFont val="맑은 고딕"/>
        <color rgb="FF7F7F7F"/>
        <sz val="9.0"/>
      </rPr>
      <t>'</t>
    </r>
    <r>
      <rPr>
        <rFont val="Noto Sans CJK SC"/>
        <color rgb="FF7F7F7F"/>
        <sz val="9.0"/>
      </rPr>
      <t>해당 없음</t>
    </r>
    <r>
      <rPr>
        <rFont val="맑은 고딕"/>
        <color rgb="FF7F7F7F"/>
        <sz val="9.0"/>
      </rPr>
      <t>'</t>
    </r>
    <r>
      <rPr>
        <rFont val="Noto Sans CJK SC"/>
        <color rgb="FF7F7F7F"/>
        <sz val="9.0"/>
      </rPr>
      <t xml:space="preserve">으로  </t>
    </r>
    <r>
      <rPr>
        <rFont val="맑은 고딕"/>
        <color rgb="FF7F7F7F"/>
        <sz val="9.0"/>
      </rPr>
      <t>[</t>
    </r>
    <r>
      <rPr>
        <rFont val="Noto Sans CJK SC"/>
        <color rgb="FF7F7F7F"/>
        <sz val="9.0"/>
      </rPr>
      <t xml:space="preserve">대상 </t>
    </r>
    <r>
      <rPr>
        <rFont val="맑은 고딕"/>
        <color rgb="FF7F7F7F"/>
        <sz val="9.0"/>
      </rPr>
      <t xml:space="preserve">/ </t>
    </r>
    <r>
      <rPr>
        <rFont val="Noto Sans CJK SC"/>
        <color rgb="FF7F7F7F"/>
        <sz val="9.0"/>
      </rPr>
      <t>비대상</t>
    </r>
    <r>
      <rPr>
        <rFont val="맑은 고딕"/>
        <color rgb="FF7F7F7F"/>
        <sz val="9.0"/>
      </rPr>
      <t>]</t>
    </r>
  </si>
  <si>
    <r>
      <rPr>
        <rFont val="맑은 고딕"/>
        <b/>
        <color rgb="FF000000"/>
        <sz val="11.0"/>
      </rPr>
      <t xml:space="preserve">TA </t>
    </r>
    <r>
      <rPr>
        <rFont val="Noto Sans CJK SC"/>
        <b/>
        <color rgb="FF000000"/>
        <sz val="11.0"/>
      </rPr>
      <t>활동</t>
    </r>
  </si>
  <si>
    <r>
      <rPr>
        <rFont val="Noto Sans CJK SC"/>
        <color rgb="FF7F7F7F"/>
        <sz val="9.0"/>
      </rPr>
      <t>예</t>
    </r>
    <r>
      <rPr>
        <rFont val="맑은 고딕"/>
        <color rgb="FF7F7F7F"/>
        <sz val="9.0"/>
      </rPr>
      <t xml:space="preserve">: </t>
    </r>
    <r>
      <rPr>
        <rFont val="Noto Sans CJK SC"/>
        <color rgb="FF7F7F7F"/>
        <sz val="9.0"/>
      </rPr>
      <t>기계공학 공학교육인증</t>
    </r>
  </si>
  <si>
    <r>
      <rPr>
        <rFont val="Noto Sans CJK SC"/>
        <i/>
        <color rgb="FF7F7F7F"/>
        <sz val="8.0"/>
      </rPr>
      <t>출처</t>
    </r>
    <r>
      <rPr>
        <rFont val="맑은 고딕"/>
        <i/>
        <color rgb="FF7F7F7F"/>
        <sz val="8.0"/>
      </rPr>
      <t xml:space="preserve">: LMS(i-Campus) · </t>
    </r>
    <r>
      <rPr>
        <rFont val="Noto Sans CJK SC"/>
        <i/>
        <color rgb="FF7F7F7F"/>
        <sz val="8.0"/>
      </rPr>
      <t xml:space="preserve">출석앱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자기관리 </t>
    </r>
    <r>
      <rPr>
        <rFont val="맑은 고딕"/>
        <i/>
        <color rgb="FF7F7F7F"/>
        <sz val="8.0"/>
      </rPr>
      <t xml:space="preserve">/ </t>
    </r>
    <r>
      <rPr>
        <rFont val="Noto Sans CJK SC"/>
        <i/>
        <color rgb="FF7F7F7F"/>
        <sz val="8.0"/>
      </rPr>
      <t xml:space="preserve">성실성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마인드맵 </t>
    </r>
    <r>
      <rPr>
        <rFont val="맑은 고딕"/>
        <i/>
        <color rgb="FF7F7F7F"/>
        <sz val="8.0"/>
      </rPr>
      <t>'</t>
    </r>
    <r>
      <rPr>
        <rFont val="Noto Sans CJK SC"/>
        <i/>
        <color rgb="FF7F7F7F"/>
        <sz val="8.0"/>
      </rPr>
      <t>퀴즈 생성 주기</t>
    </r>
    <r>
      <rPr>
        <rFont val="맑은 고딕"/>
        <i/>
        <color rgb="FF7F7F7F"/>
        <sz val="8.0"/>
      </rPr>
      <t xml:space="preserve">' vs </t>
    </r>
    <r>
      <rPr>
        <rFont val="Noto Sans CJK SC"/>
        <i/>
        <color rgb="FF7F7F7F"/>
        <sz val="8.0"/>
      </rPr>
      <t xml:space="preserve">데이터 </t>
    </r>
    <r>
      <rPr>
        <rFont val="맑은 고딕"/>
        <i/>
        <color rgb="FF7F7F7F"/>
        <sz val="8.0"/>
      </rPr>
      <t>'</t>
    </r>
    <r>
      <rPr>
        <rFont val="Noto Sans CJK SC"/>
        <i/>
        <color rgb="FF7F7F7F"/>
        <sz val="8.0"/>
      </rPr>
      <t>퀴즈풀이횟수</t>
    </r>
    <r>
      <rPr>
        <rFont val="맑은 고딕"/>
        <i/>
        <color rgb="FF7F7F7F"/>
        <sz val="8.0"/>
      </rPr>
      <t xml:space="preserve">' </t>
    </r>
    <r>
      <rPr>
        <rFont val="Noto Sans CJK SC"/>
        <i/>
        <color rgb="FF7F7F7F"/>
        <sz val="8.0"/>
      </rPr>
      <t>용어 통일 필요</t>
    </r>
  </si>
  <si>
    <r>
      <rPr>
        <rFont val="맑은 고딕"/>
        <color rgb="FF7F7F7F"/>
        <sz val="9.0"/>
      </rPr>
      <t>[</t>
    </r>
    <r>
      <rPr>
        <rFont val="Noto Sans CJK SC"/>
        <color rgb="FF7F7F7F"/>
        <sz val="9.0"/>
      </rPr>
      <t xml:space="preserve">이수중 </t>
    </r>
    <r>
      <rPr>
        <rFont val="맑은 고딕"/>
        <color rgb="FF7F7F7F"/>
        <sz val="9.0"/>
      </rPr>
      <t xml:space="preserve">/ </t>
    </r>
    <r>
      <rPr>
        <rFont val="Noto Sans CJK SC"/>
        <color rgb="FF7F7F7F"/>
        <sz val="9.0"/>
      </rPr>
      <t xml:space="preserve">이수완료 </t>
    </r>
    <r>
      <rPr>
        <rFont val="맑은 고딕"/>
        <color rgb="FF7F7F7F"/>
        <sz val="9.0"/>
      </rPr>
      <t xml:space="preserve">/ </t>
    </r>
    <r>
      <rPr>
        <rFont val="Noto Sans CJK SC"/>
        <color rgb="FF7F7F7F"/>
        <sz val="9.0"/>
      </rPr>
      <t xml:space="preserve">미이수 </t>
    </r>
    <r>
      <rPr>
        <rFont val="맑은 고딕"/>
        <color rgb="FF7F7F7F"/>
        <sz val="9.0"/>
      </rPr>
      <t xml:space="preserve">/ </t>
    </r>
    <r>
      <rPr>
        <rFont val="Noto Sans CJK SC"/>
        <color rgb="FF7F7F7F"/>
        <sz val="9.0"/>
      </rPr>
      <t>포기</t>
    </r>
    <r>
      <rPr>
        <rFont val="맑은 고딕"/>
        <color rgb="FF7F7F7F"/>
        <sz val="9.0"/>
      </rPr>
      <t>]</t>
    </r>
  </si>
  <si>
    <r>
      <rPr>
        <rFont val="맑은 고딕"/>
        <color rgb="FF1F3B8A"/>
        <sz val="10.0"/>
      </rPr>
      <t>2026-1</t>
    </r>
    <r>
      <rPr>
        <rFont val="Noto Sans CJK SC"/>
        <color rgb="FF1F3B8A"/>
        <sz val="10.0"/>
      </rPr>
      <t>학기</t>
    </r>
  </si>
  <si>
    <r>
      <rPr>
        <rFont val="Noto Sans CJK SC"/>
        <color rgb="FF7F7F7F"/>
        <sz val="9.0"/>
      </rPr>
      <t>예</t>
    </r>
    <r>
      <rPr>
        <rFont val="맑은 고딕"/>
        <color rgb="FF7F7F7F"/>
        <sz val="9.0"/>
      </rPr>
      <t>: 2026-1</t>
    </r>
    <r>
      <rPr>
        <rFont val="Noto Sans CJK SC"/>
        <color rgb="FF7F7F7F"/>
        <sz val="9.0"/>
      </rPr>
      <t>학기</t>
    </r>
  </si>
  <si>
    <r>
      <rPr>
        <rFont val="Noto Sans CJK SC"/>
        <b/>
        <color rgb="FFFFFFFF"/>
        <sz val="11.0"/>
      </rPr>
      <t>■ 학습행동</t>
    </r>
    <r>
      <rPr>
        <rFont val="맑은 고딕"/>
        <b/>
        <color rgb="FFFFFFFF"/>
        <sz val="11.0"/>
      </rPr>
      <t>(LMS)</t>
    </r>
  </si>
  <si>
    <r>
      <rPr>
        <rFont val="Noto Sans CJK SC"/>
        <b/>
        <color rgb="FF000000"/>
        <sz val="10.0"/>
      </rPr>
      <t>출석률</t>
    </r>
    <r>
      <rPr>
        <rFont val="맑은 고딕"/>
        <b/>
        <color rgb="FF000000"/>
        <sz val="10.0"/>
      </rPr>
      <t>(%)</t>
    </r>
  </si>
  <si>
    <r>
      <rPr>
        <rFont val="Noto Sans CJK SC"/>
        <color rgb="FF7F7F7F"/>
        <sz val="9.0"/>
      </rPr>
      <t xml:space="preserve">숫자 </t>
    </r>
    <r>
      <rPr>
        <rFont val="맑은 고딕"/>
        <color rgb="FF7F7F7F"/>
        <sz val="9.0"/>
      </rPr>
      <t>0~100</t>
    </r>
  </si>
  <si>
    <r>
      <rPr>
        <rFont val="맑은 고딕"/>
        <color rgb="FF7F7F7F"/>
        <sz val="9.0"/>
      </rPr>
      <t xml:space="preserve">% </t>
    </r>
    <r>
      <rPr>
        <rFont val="Noto Sans CJK SC"/>
        <color rgb="FF7F7F7F"/>
        <sz val="9.0"/>
      </rPr>
      <t>기호 없이 숫자만</t>
    </r>
  </si>
  <si>
    <r>
      <rPr>
        <rFont val="Noto Sans CJK SC"/>
        <b/>
        <color rgb="FF000000"/>
        <sz val="10.0"/>
      </rPr>
      <t>과제 기한 준수율</t>
    </r>
    <r>
      <rPr>
        <rFont val="맑은 고딕"/>
        <b/>
        <color rgb="FF000000"/>
        <sz val="10.0"/>
      </rPr>
      <t>(%)</t>
    </r>
  </si>
  <si>
    <r>
      <rPr>
        <rFont val="Noto Sans CJK SC"/>
        <color rgb="FF7F7F7F"/>
        <sz val="9.0"/>
      </rPr>
      <t xml:space="preserve">숫자 </t>
    </r>
    <r>
      <rPr>
        <rFont val="맑은 고딕"/>
        <color rgb="FF7F7F7F"/>
        <sz val="9.0"/>
      </rPr>
      <t>0~100</t>
    </r>
  </si>
  <si>
    <r>
      <rPr>
        <rFont val="맑은 고딕"/>
        <color rgb="FF7F7F7F"/>
        <sz val="9.0"/>
      </rPr>
      <t xml:space="preserve">% </t>
    </r>
    <r>
      <rPr>
        <rFont val="Noto Sans CJK SC"/>
        <color rgb="FF7F7F7F"/>
        <sz val="9.0"/>
      </rPr>
      <t>기호 없이 숫자만</t>
    </r>
  </si>
  <si>
    <r>
      <rPr>
        <rFont val="Noto Sans CJK SC"/>
        <color rgb="FF7F7F7F"/>
        <sz val="9.0"/>
      </rPr>
      <t>회</t>
    </r>
    <r>
      <rPr>
        <rFont val="맑은 고딕"/>
        <color rgb="FF7F7F7F"/>
        <sz val="9.0"/>
      </rPr>
      <t>/</t>
    </r>
    <r>
      <rPr>
        <rFont val="Noto Sans CJK SC"/>
        <color rgb="FF7F7F7F"/>
        <sz val="9.0"/>
      </rPr>
      <t>주</t>
    </r>
  </si>
  <si>
    <r>
      <rPr>
        <rFont val="맑은 고딕"/>
        <b/>
        <color rgb="FF000000"/>
        <sz val="11.0"/>
      </rPr>
      <t xml:space="preserve">LMS </t>
    </r>
    <r>
      <rPr>
        <rFont val="Noto Sans CJK SC"/>
        <b/>
        <color rgb="FF000000"/>
        <sz val="11.0"/>
      </rPr>
      <t>학습데이터</t>
    </r>
  </si>
  <si>
    <r>
      <rPr>
        <rFont val="Noto Sans CJK SC"/>
        <b/>
        <color rgb="FF000000"/>
        <sz val="10.0"/>
      </rPr>
      <t>퀴즈 풀이 횟수</t>
    </r>
    <r>
      <rPr>
        <rFont val="맑은 고딕"/>
        <b/>
        <color rgb="FF000000"/>
        <sz val="10.0"/>
      </rPr>
      <t>(</t>
    </r>
    <r>
      <rPr>
        <rFont val="Noto Sans CJK SC"/>
        <b/>
        <color rgb="FF000000"/>
        <sz val="10.0"/>
      </rPr>
      <t>누적</t>
    </r>
    <r>
      <rPr>
        <rFont val="맑은 고딕"/>
        <b/>
        <color rgb="FF000000"/>
        <sz val="10.0"/>
      </rPr>
      <t>)</t>
    </r>
  </si>
  <si>
    <r>
      <rPr>
        <rFont val="Noto Sans CJK SC"/>
        <b/>
        <color rgb="FF000000"/>
        <sz val="10.0"/>
      </rPr>
      <t>학습계획 달성률</t>
    </r>
    <r>
      <rPr>
        <rFont val="맑은 고딕"/>
        <b/>
        <color rgb="FF000000"/>
        <sz val="10.0"/>
      </rPr>
      <t>(%)</t>
    </r>
  </si>
  <si>
    <r>
      <rPr>
        <rFont val="Noto Sans CJK SC"/>
        <color rgb="FF7F7F7F"/>
        <sz val="9.0"/>
      </rPr>
      <t xml:space="preserve">숫자 </t>
    </r>
    <r>
      <rPr>
        <rFont val="맑은 고딕"/>
        <color rgb="FF7F7F7F"/>
        <sz val="9.0"/>
      </rPr>
      <t>0~100</t>
    </r>
  </si>
  <si>
    <r>
      <rPr>
        <rFont val="Noto Sans CJK SC"/>
        <b/>
        <color rgb="FF000000"/>
        <sz val="11.0"/>
      </rPr>
      <t>교수면담</t>
    </r>
    <r>
      <rPr>
        <rFont val="맑은 고딕"/>
        <b/>
        <color rgb="FF000000"/>
        <sz val="11.0"/>
      </rPr>
      <t>·</t>
    </r>
    <r>
      <rPr>
        <rFont val="Noto Sans CJK SC"/>
        <b/>
        <color rgb="FF000000"/>
        <sz val="11.0"/>
      </rPr>
      <t>학업상담</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</si>
  <si>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xml:space="preserve">· </t>
    </r>
    <r>
      <rPr>
        <rFont val="Noto Sans CJK SC"/>
        <i/>
        <color rgb="FF7F7F7F"/>
        <sz val="8.0"/>
      </rPr>
      <t xml:space="preserve">교수학습센터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 xml:space="preserve">커뮤니케이션 </t>
    </r>
    <r>
      <rPr>
        <rFont val="맑은 고딕"/>
        <i/>
        <color rgb="FF7F7F7F"/>
        <sz val="8.0"/>
      </rPr>
      <t xml:space="preserve">/ </t>
    </r>
    <r>
      <rPr>
        <rFont val="Noto Sans CJK SC"/>
        <i/>
        <color rgb="FF7F7F7F"/>
        <sz val="8.0"/>
      </rPr>
      <t xml:space="preserve">책임감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기존 데이터셋에 없는 신규 근거</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</si>
  <si>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</si>
  <si>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Noto Sans CJK SC"/>
        <i/>
        <color rgb="FF7F7F7F"/>
        <sz val="8.0"/>
      </rPr>
      <t>출처</t>
    </r>
    <r>
      <rPr>
        <rFont val="맑은 고딕"/>
        <i/>
        <color rgb="FF7F7F7F"/>
        <sz val="8.0"/>
      </rPr>
      <t xml:space="preserve">: LMS(i-Campus) · </t>
    </r>
    <r>
      <rPr>
        <rFont val="Noto Sans CJK SC"/>
        <i/>
        <color rgb="FF7F7F7F"/>
        <sz val="8.0"/>
      </rPr>
      <t xml:space="preserve">출석앱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자기관리 </t>
    </r>
    <r>
      <rPr>
        <rFont val="맑은 고딕"/>
        <i/>
        <color rgb="FF7F7F7F"/>
        <sz val="8.0"/>
      </rPr>
      <t xml:space="preserve">/ </t>
    </r>
    <r>
      <rPr>
        <rFont val="Noto Sans CJK SC"/>
        <i/>
        <color rgb="FF7F7F7F"/>
        <sz val="8.0"/>
      </rPr>
      <t xml:space="preserve">성실성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마인드맵 </t>
    </r>
    <r>
      <rPr>
        <rFont val="맑은 고딕"/>
        <i/>
        <color rgb="FF7F7F7F"/>
        <sz val="8.0"/>
      </rPr>
      <t>'</t>
    </r>
    <r>
      <rPr>
        <rFont val="Noto Sans CJK SC"/>
        <i/>
        <color rgb="FF7F7F7F"/>
        <sz val="8.0"/>
      </rPr>
      <t>퀴즈 생성 주기</t>
    </r>
    <r>
      <rPr>
        <rFont val="맑은 고딕"/>
        <i/>
        <color rgb="FF7F7F7F"/>
        <sz val="8.0"/>
      </rPr>
      <t xml:space="preserve">' vs </t>
    </r>
    <r>
      <rPr>
        <rFont val="Noto Sans CJK SC"/>
        <i/>
        <color rgb="FF7F7F7F"/>
        <sz val="8.0"/>
      </rPr>
      <t xml:space="preserve">데이터 </t>
    </r>
    <r>
      <rPr>
        <rFont val="맑은 고딕"/>
        <i/>
        <color rgb="FF7F7F7F"/>
        <sz val="8.0"/>
      </rPr>
      <t>'</t>
    </r>
    <r>
      <rPr>
        <rFont val="Noto Sans CJK SC"/>
        <i/>
        <color rgb="FF7F7F7F"/>
        <sz val="8.0"/>
      </rPr>
      <t>퀴즈풀이횟수</t>
    </r>
    <r>
      <rPr>
        <rFont val="맑은 고딕"/>
        <i/>
        <color rgb="FF7F7F7F"/>
        <sz val="8.0"/>
      </rPr>
      <t xml:space="preserve">' </t>
    </r>
    <r>
      <rPr>
        <rFont val="Noto Sans CJK SC"/>
        <i/>
        <color rgb="FF7F7F7F"/>
        <sz val="8.0"/>
      </rPr>
      <t>용어 통일 필요</t>
    </r>
  </si>
  <si>
    <r>
      <rPr>
        <rFont val="맑은 고딕"/>
        <i/>
        <color rgb="FF7F7F7F"/>
        <sz val="8.0"/>
      </rPr>
      <t>YYYY-1 / YYYY-2 / YYYY-</t>
    </r>
    <r>
      <rPr>
        <rFont val="Noto Sans CJK SC"/>
        <i/>
        <color rgb="FF7F7F7F"/>
        <sz val="8.0"/>
      </rPr>
      <t xml:space="preserve">여름 </t>
    </r>
    <r>
      <rPr>
        <rFont val="맑은 고딕"/>
        <i/>
        <color rgb="FF7F7F7F"/>
        <sz val="8.0"/>
      </rPr>
      <t>/ YYYY-</t>
    </r>
    <r>
      <rPr>
        <rFont val="Noto Sans CJK SC"/>
        <i/>
        <color rgb="FF7F7F7F"/>
        <sz val="8.0"/>
      </rPr>
      <t>겨울</t>
    </r>
  </si>
  <si>
    <r>
      <rPr>
        <rFont val="맑은 고딕"/>
        <color rgb="FF1F3B8A"/>
        <sz val="10.0"/>
      </rPr>
      <t>2026-1</t>
    </r>
    <r>
      <rPr>
        <rFont val="Noto Sans CJK SC"/>
        <color rgb="FF1F3B8A"/>
        <sz val="10.0"/>
      </rPr>
      <t>학기</t>
    </r>
  </si>
  <si>
    <r>
      <rPr>
        <rFont val="Noto Sans CJK SC"/>
        <color rgb="FF7F7F7F"/>
        <sz val="9.0"/>
      </rPr>
      <t>예</t>
    </r>
    <r>
      <rPr>
        <rFont val="맑은 고딕"/>
        <color rgb="FF7F7F7F"/>
        <sz val="9.0"/>
      </rPr>
      <t>: 2026-1</t>
    </r>
    <r>
      <rPr>
        <rFont val="Noto Sans CJK SC"/>
        <color rgb="FF7F7F7F"/>
        <sz val="9.0"/>
      </rPr>
      <t>학기</t>
    </r>
  </si>
  <si>
    <r>
      <rPr>
        <rFont val="Noto Sans CJK SC"/>
        <b/>
        <color rgb="FF000000"/>
        <sz val="10.0"/>
      </rPr>
      <t>출석률</t>
    </r>
    <r>
      <rPr>
        <rFont val="맑은 고딕"/>
        <b/>
        <color rgb="FF000000"/>
        <sz val="10.0"/>
      </rPr>
      <t>(%)</t>
    </r>
  </si>
  <si>
    <r>
      <rPr>
        <rFont val="Noto Sans CJK SC"/>
        <color rgb="FF7F7F7F"/>
        <sz val="9.0"/>
      </rPr>
      <t xml:space="preserve">숫자 </t>
    </r>
    <r>
      <rPr>
        <rFont val="맑은 고딕"/>
        <color rgb="FF7F7F7F"/>
        <sz val="9.0"/>
      </rPr>
      <t>0~100</t>
    </r>
  </si>
  <si>
    <r>
      <rPr>
        <rFont val="맑은 고딕"/>
        <color rgb="FF7F7F7F"/>
        <sz val="9.0"/>
      </rPr>
      <t xml:space="preserve">% </t>
    </r>
    <r>
      <rPr>
        <rFont val="Noto Sans CJK SC"/>
        <color rgb="FF7F7F7F"/>
        <sz val="9.0"/>
      </rPr>
      <t>기호 없이 숫자만</t>
    </r>
  </si>
  <si>
    <r>
      <rPr>
        <rFont val="Noto Sans CJK SC"/>
        <b/>
        <color rgb="FF000000"/>
        <sz val="10.0"/>
      </rPr>
      <t>과제 기한 준수율</t>
    </r>
    <r>
      <rPr>
        <rFont val="맑은 고딕"/>
        <b/>
        <color rgb="FF000000"/>
        <sz val="10.0"/>
      </rPr>
      <t>(%)</t>
    </r>
  </si>
  <si>
    <r>
      <rPr>
        <rFont val="Noto Sans CJK SC"/>
        <b/>
        <color rgb="FFFFFFFF"/>
        <sz val="11.0"/>
      </rPr>
      <t>■ 실무</t>
    </r>
    <r>
      <rPr>
        <rFont val="맑은 고딕"/>
        <b/>
        <color rgb="FFFFFFFF"/>
        <sz val="11.0"/>
      </rPr>
      <t>·</t>
    </r>
    <r>
      <rPr>
        <rFont val="Noto Sans CJK SC"/>
        <b/>
        <color rgb="FFFFFFFF"/>
        <sz val="11.0"/>
      </rPr>
      <t>진로</t>
    </r>
  </si>
  <si>
    <r>
      <rPr>
        <rFont val="Noto Sans CJK SC"/>
        <color rgb="FF7F7F7F"/>
        <sz val="9.0"/>
      </rPr>
      <t xml:space="preserve">숫자 </t>
    </r>
    <r>
      <rPr>
        <rFont val="맑은 고딕"/>
        <color rgb="FF7F7F7F"/>
        <sz val="9.0"/>
      </rPr>
      <t>0~100</t>
    </r>
  </si>
  <si>
    <r>
      <rPr>
        <rFont val="맑은 고딕"/>
        <color rgb="FF7F7F7F"/>
        <sz val="9.0"/>
      </rPr>
      <t xml:space="preserve">% </t>
    </r>
    <r>
      <rPr>
        <rFont val="Noto Sans CJK SC"/>
        <color rgb="FF7F7F7F"/>
        <sz val="9.0"/>
      </rPr>
      <t>기호 없이 숫자만</t>
    </r>
  </si>
  <si>
    <r>
      <rPr>
        <rFont val="Noto Sans CJK SC"/>
        <b/>
        <color rgb="FF000000"/>
        <sz val="11.0"/>
      </rPr>
      <t>인턴</t>
    </r>
    <r>
      <rPr>
        <rFont val="맑은 고딕"/>
        <b/>
        <color rgb="FF000000"/>
        <sz val="11.0"/>
      </rPr>
      <t>·</t>
    </r>
    <r>
      <rPr>
        <rFont val="Noto Sans CJK SC"/>
        <b/>
        <color rgb="FF000000"/>
        <sz val="11.0"/>
      </rPr>
      <t>현장실습</t>
    </r>
  </si>
  <si>
    <r>
      <rPr>
        <rFont val="Noto Sans CJK SC"/>
        <color rgb="FF7F7F7F"/>
        <sz val="9.0"/>
      </rPr>
      <t>회</t>
    </r>
    <r>
      <rPr>
        <rFont val="맑은 고딕"/>
        <color rgb="FF7F7F7F"/>
        <sz val="9.0"/>
      </rPr>
      <t>/</t>
    </r>
    <r>
      <rPr>
        <rFont val="Noto Sans CJK SC"/>
        <color rgb="FF7F7F7F"/>
        <sz val="9.0"/>
      </rPr>
      <t>주</t>
    </r>
  </si>
  <si>
    <r>
      <rPr>
        <rFont val="Noto Sans CJK SC"/>
        <b/>
        <color rgb="FF000000"/>
        <sz val="10.0"/>
      </rPr>
      <t>퀴즈 풀이 횟수</t>
    </r>
    <r>
      <rPr>
        <rFont val="맑은 고딕"/>
        <b/>
        <color rgb="FF000000"/>
        <sz val="10.0"/>
      </rPr>
      <t>(</t>
    </r>
    <r>
      <rPr>
        <rFont val="Noto Sans CJK SC"/>
        <b/>
        <color rgb="FF000000"/>
        <sz val="10.0"/>
      </rPr>
      <t>누적</t>
    </r>
    <r>
      <rPr>
        <rFont val="맑은 고딕"/>
        <b/>
        <color rgb="FF000000"/>
        <sz val="10.0"/>
      </rPr>
      <t>)</t>
    </r>
  </si>
  <si>
    <r>
      <rPr>
        <rFont val="Noto Sans CJK SC"/>
        <b/>
        <color rgb="FF000000"/>
        <sz val="10.0"/>
      </rPr>
      <t>학습계획 달성률</t>
    </r>
    <r>
      <rPr>
        <rFont val="맑은 고딕"/>
        <b/>
        <color rgb="FF000000"/>
        <sz val="10.0"/>
      </rPr>
      <t>(%)</t>
    </r>
  </si>
  <si>
    <r>
      <rPr>
        <rFont val="Noto Sans CJK SC"/>
        <color rgb="FF7F7F7F"/>
        <sz val="9.0"/>
      </rPr>
      <t xml:space="preserve">숫자 </t>
    </r>
    <r>
      <rPr>
        <rFont val="맑은 고딕"/>
        <color rgb="FF7F7F7F"/>
        <sz val="9.0"/>
      </rPr>
      <t>0~100</t>
    </r>
  </si>
  <si>
    <r>
      <rPr>
        <rFont val="Noto Sans CJK SC"/>
        <b/>
        <color rgb="FF000000"/>
        <sz val="11.0"/>
      </rPr>
      <t>교수면담</t>
    </r>
    <r>
      <rPr>
        <rFont val="맑은 고딕"/>
        <b/>
        <color rgb="FF000000"/>
        <sz val="11.0"/>
      </rPr>
      <t>·</t>
    </r>
    <r>
      <rPr>
        <rFont val="Noto Sans CJK SC"/>
        <b/>
        <color rgb="FF000000"/>
        <sz val="11.0"/>
      </rPr>
      <t>학업상담</t>
    </r>
  </si>
  <si>
    <r>
      <rPr>
        <rFont val="Noto Sans CJK SC"/>
        <i/>
        <color rgb="FF7F7F7F"/>
        <sz val="8.0"/>
      </rPr>
      <t>출처</t>
    </r>
    <r>
      <rPr>
        <rFont val="맑은 고딕"/>
        <i/>
        <color rgb="FF7F7F7F"/>
        <sz val="8.0"/>
      </rPr>
      <t xml:space="preserve">: </t>
    </r>
    <r>
      <rPr>
        <rFont val="Noto Sans CJK SC"/>
        <i/>
        <color rgb="FF7F7F7F"/>
        <sz val="8.0"/>
      </rPr>
      <t xml:space="preserve">현장실습 지원 시스템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인턴십</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커뮤니케이션</t>
    </r>
    <r>
      <rPr>
        <rFont val="맑은 고딕"/>
        <i/>
        <color rgb="FF7F7F7F"/>
        <sz val="8.0"/>
      </rPr>
      <t>(</t>
    </r>
    <r>
      <rPr>
        <rFont val="Noto Sans CJK SC"/>
        <i/>
        <color rgb="FF7F7F7F"/>
        <sz val="8.0"/>
      </rPr>
      <t>협업</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기간</t>
    </r>
    <r>
      <rPr>
        <rFont val="맑은 고딕"/>
        <i/>
        <color rgb="FF7F7F7F"/>
        <sz val="8.0"/>
      </rPr>
      <t>(</t>
    </r>
    <r>
      <rPr>
        <rFont val="Noto Sans CJK SC"/>
        <i/>
        <color rgb="FF7F7F7F"/>
        <sz val="8.0"/>
      </rPr>
      <t>개월</t>
    </r>
    <r>
      <rPr>
        <rFont val="맑은 고딕"/>
        <i/>
        <color rgb="FF7F7F7F"/>
        <sz val="8.0"/>
      </rPr>
      <t>)</t>
    </r>
    <r>
      <rPr>
        <rFont val="Noto Sans CJK SC"/>
        <i/>
        <color rgb="FF7F7F7F"/>
        <sz val="8.0"/>
      </rPr>
      <t>과 직무 관련성을 함께 추출</t>
    </r>
  </si>
  <si>
    <r>
      <rPr>
        <rFont val="Noto Sans CJK SC"/>
        <b/>
        <color rgb="FF000000"/>
        <sz val="9.0"/>
      </rPr>
      <t>직무</t>
    </r>
    <r>
      <rPr>
        <rFont val="맑은 고딕"/>
        <b/>
        <color rgb="FF000000"/>
        <sz val="9.0"/>
      </rPr>
      <t>·</t>
    </r>
    <r>
      <rPr>
        <rFont val="Noto Sans CJK SC"/>
        <b/>
        <color rgb="FF000000"/>
        <sz val="9.0"/>
      </rPr>
      <t>부서</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</si>
  <si>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</si>
  <si>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맑은 고딕"/>
        <b/>
        <color rgb="FF000000"/>
        <sz val="9.0"/>
      </rPr>
      <t>3</t>
    </r>
    <r>
      <rPr>
        <rFont val="Noto Sans CJK SC"/>
        <b/>
        <color rgb="FF000000"/>
        <sz val="9.0"/>
      </rPr>
      <t>품 인정</t>
    </r>
  </si>
  <si>
    <r>
      <rPr>
        <rFont val="맑은 고딕"/>
        <i/>
        <color rgb="FF7F7F7F"/>
        <sz val="8.0"/>
      </rPr>
      <t>[</t>
    </r>
    <r>
      <rPr>
        <rFont val="Noto Sans CJK SC"/>
        <i/>
        <color rgb="FF7F7F7F"/>
        <sz val="8.0"/>
      </rPr>
      <t xml:space="preserve">인턴십 </t>
    </r>
    <r>
      <rPr>
        <rFont val="맑은 고딕"/>
        <i/>
        <color rgb="FF7F7F7F"/>
        <sz val="8.0"/>
      </rPr>
      <t xml:space="preserve">/ </t>
    </r>
    <r>
      <rPr>
        <rFont val="Noto Sans CJK SC"/>
        <i/>
        <color rgb="FF7F7F7F"/>
        <sz val="8.0"/>
      </rPr>
      <t xml:space="preserve">현장실습 </t>
    </r>
    <r>
      <rPr>
        <rFont val="맑은 고딕"/>
        <i/>
        <color rgb="FF7F7F7F"/>
        <sz val="8.0"/>
      </rPr>
      <t xml:space="preserve">/ </t>
    </r>
    <r>
      <rPr>
        <rFont val="Noto Sans CJK SC"/>
        <i/>
        <color rgb="FF7F7F7F"/>
        <sz val="8.0"/>
      </rPr>
      <t xml:space="preserve">연구체험 </t>
    </r>
    <r>
      <rPr>
        <rFont val="맑은 고딕"/>
        <i/>
        <color rgb="FF7F7F7F"/>
        <sz val="8.0"/>
      </rPr>
      <t xml:space="preserve">/ </t>
    </r>
    <r>
      <rPr>
        <rFont val="Noto Sans CJK SC"/>
        <i/>
        <color rgb="FF7F7F7F"/>
        <sz val="8.0"/>
      </rPr>
      <t>문제해결프로젝트</t>
    </r>
    <r>
      <rPr>
        <rFont val="맑은 고딕"/>
        <i/>
        <color rgb="FF7F7F7F"/>
        <sz val="8.0"/>
      </rPr>
      <t>]</t>
    </r>
  </si>
  <si>
    <r>
      <rPr>
        <rFont val="맑은 고딕"/>
        <i/>
        <color rgb="FF7F7F7F"/>
        <sz val="8.0"/>
      </rPr>
      <t>[</t>
    </r>
    <r>
      <rPr>
        <rFont val="Noto Sans CJK SC"/>
        <i/>
        <color rgb="FF7F7F7F"/>
        <sz val="8.0"/>
      </rPr>
      <t xml:space="preserve">관련 </t>
    </r>
    <r>
      <rPr>
        <rFont val="맑은 고딕"/>
        <i/>
        <color rgb="FF7F7F7F"/>
        <sz val="8.0"/>
      </rPr>
      <t xml:space="preserve">/ </t>
    </r>
    <r>
      <rPr>
        <rFont val="Noto Sans CJK SC"/>
        <i/>
        <color rgb="FF7F7F7F"/>
        <sz val="8.0"/>
      </rPr>
      <t xml:space="preserve">일부 관련 </t>
    </r>
    <r>
      <rPr>
        <rFont val="맑은 고딕"/>
        <i/>
        <color rgb="FF7F7F7F"/>
        <sz val="8.0"/>
      </rPr>
      <t xml:space="preserve">/ </t>
    </r>
    <r>
      <rPr>
        <rFont val="Noto Sans CJK SC"/>
        <i/>
        <color rgb="FF7F7F7F"/>
        <sz val="8.0"/>
      </rPr>
      <t>무관</t>
    </r>
    <r>
      <rPr>
        <rFont val="맑은 고딕"/>
        <i/>
        <color rgb="FF7F7F7F"/>
        <sz val="8.0"/>
      </rPr>
      <t>]</t>
    </r>
  </si>
  <si>
    <r>
      <rPr>
        <rFont val="Noto Sans CJK SC"/>
        <color rgb="FF1F3B8A"/>
        <sz val="10.0"/>
      </rPr>
      <t>소셜벤처 이음</t>
    </r>
    <r>
      <rPr>
        <rFont val="맑은 고딕"/>
        <color rgb="FF1F3B8A"/>
        <sz val="10.0"/>
      </rPr>
      <t>(</t>
    </r>
    <r>
      <rPr>
        <rFont val="Noto Sans CJK SC"/>
        <color rgb="FF1F3B8A"/>
        <sz val="10.0"/>
      </rPr>
      <t>가상</t>
    </r>
    <r>
      <rPr>
        <rFont val="맑은 고딕"/>
        <color rgb="FF1F3B8A"/>
        <sz val="10.0"/>
      </rPr>
      <t>)</t>
    </r>
  </si>
  <si>
    <t>마케팅팀</t>
  </si>
  <si>
    <r>
      <rPr>
        <rFont val="Noto Sans CJK SC"/>
        <i/>
        <color rgb="FF7F7F7F"/>
        <sz val="8.0"/>
      </rPr>
      <t>출처</t>
    </r>
    <r>
      <rPr>
        <rFont val="맑은 고딕"/>
        <i/>
        <color rgb="FF7F7F7F"/>
        <sz val="8.0"/>
      </rPr>
      <t xml:space="preserve">: </t>
    </r>
    <r>
      <rPr>
        <rFont val="Noto Sans CJK SC"/>
        <i/>
        <color rgb="FF7F7F7F"/>
        <sz val="8.0"/>
      </rPr>
      <t xml:space="preserve">상담 기록 시스템 </t>
    </r>
    <r>
      <rPr>
        <rFont val="맑은 고딕"/>
        <i/>
        <color rgb="FF7F7F7F"/>
        <sz val="8.0"/>
      </rPr>
      <t xml:space="preserve">· LMS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성실성</t>
    </r>
    <r>
      <rPr>
        <rFont val="맑은 고딕"/>
        <i/>
        <color rgb="FF7F7F7F"/>
        <sz val="8.0"/>
      </rPr>
      <t>(</t>
    </r>
    <r>
      <rPr>
        <rFont val="Noto Sans CJK SC"/>
        <i/>
        <color rgb="FF7F7F7F"/>
        <sz val="8.0"/>
      </rPr>
      <t>수업참여도</t>
    </r>
    <r>
      <rPr>
        <rFont val="맑은 고딕"/>
        <i/>
        <color rgb="FF7F7F7F"/>
        <sz val="8.0"/>
      </rPr>
      <t xml:space="preserve">) / </t>
    </r>
    <r>
      <rPr>
        <rFont val="Noto Sans CJK SC"/>
        <i/>
        <color rgb="FF7F7F7F"/>
        <sz val="8.0"/>
      </rPr>
      <t xml:space="preserve">소통능력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기존 데이터셋에선 </t>
    </r>
    <r>
      <rPr>
        <rFont val="맑은 고딕"/>
        <i/>
        <color rgb="FF7F7F7F"/>
        <sz val="8.0"/>
      </rPr>
      <t xml:space="preserve">LMS </t>
    </r>
    <r>
      <rPr>
        <rFont val="Noto Sans CJK SC"/>
        <i/>
        <color rgb="FF7F7F7F"/>
        <sz val="8.0"/>
      </rPr>
      <t>항목 안에 섞여 있어 분리</t>
    </r>
  </si>
  <si>
    <r>
      <rPr>
        <rFont val="Noto Sans CJK SC"/>
        <i/>
        <color rgb="FF7F7F7F"/>
        <sz val="8.0"/>
      </rPr>
      <t>출처</t>
    </r>
    <r>
      <rPr>
        <rFont val="맑은 고딕"/>
        <i/>
        <color rgb="FF7F7F7F"/>
        <sz val="8.0"/>
      </rPr>
      <t xml:space="preserve">: </t>
    </r>
    <r>
      <rPr>
        <rFont val="Noto Sans CJK SC"/>
        <i/>
        <color rgb="FF7F7F7F"/>
        <sz val="8.0"/>
      </rPr>
      <t xml:space="preserve">상담 기록 시스템 </t>
    </r>
    <r>
      <rPr>
        <rFont val="맑은 고딕"/>
        <i/>
        <color rgb="FF7F7F7F"/>
        <sz val="8.0"/>
      </rPr>
      <t xml:space="preserve">· LMS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성실성</t>
    </r>
    <r>
      <rPr>
        <rFont val="맑은 고딕"/>
        <i/>
        <color rgb="FF7F7F7F"/>
        <sz val="8.0"/>
      </rPr>
      <t>(</t>
    </r>
    <r>
      <rPr>
        <rFont val="Noto Sans CJK SC"/>
        <i/>
        <color rgb="FF7F7F7F"/>
        <sz val="8.0"/>
      </rPr>
      <t>수업참여도</t>
    </r>
    <r>
      <rPr>
        <rFont val="맑은 고딕"/>
        <i/>
        <color rgb="FF7F7F7F"/>
        <sz val="8.0"/>
      </rPr>
      <t xml:space="preserve">) / </t>
    </r>
    <r>
      <rPr>
        <rFont val="Noto Sans CJK SC"/>
        <i/>
        <color rgb="FF7F7F7F"/>
        <sz val="8.0"/>
      </rPr>
      <t xml:space="preserve">소통능력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기존 데이터셋에선 </t>
    </r>
    <r>
      <rPr>
        <rFont val="맑은 고딕"/>
        <i/>
        <color rgb="FF7F7F7F"/>
        <sz val="8.0"/>
      </rPr>
      <t xml:space="preserve">LMS </t>
    </r>
    <r>
      <rPr>
        <rFont val="Noto Sans CJK SC"/>
        <i/>
        <color rgb="FF7F7F7F"/>
        <sz val="8.0"/>
      </rPr>
      <t>항목 안에 섞여 있어 분리</t>
    </r>
  </si>
  <si>
    <r>
      <rPr>
        <rFont val="Noto Sans CJK SC"/>
        <color rgb="FF7F7F7F"/>
        <sz val="9.0"/>
      </rPr>
      <t>예</t>
    </r>
    <r>
      <rPr>
        <rFont val="맑은 고딕"/>
        <color rgb="FF7F7F7F"/>
        <sz val="9.0"/>
      </rPr>
      <t xml:space="preserve">: </t>
    </r>
    <r>
      <rPr>
        <rFont val="Noto Sans CJK SC"/>
        <color rgb="FF7F7F7F"/>
        <sz val="9.0"/>
      </rPr>
      <t>입학</t>
    </r>
    <r>
      <rPr>
        <rFont val="맑은 고딕"/>
        <color rgb="FF7F7F7F"/>
        <sz val="9.0"/>
      </rPr>
      <t>~2026-1</t>
    </r>
  </si>
  <si>
    <r>
      <rPr>
        <rFont val="Noto Sans CJK SC"/>
        <b/>
        <color rgb="FF000000"/>
        <sz val="10.0"/>
      </rPr>
      <t>교수 면담 횟수</t>
    </r>
    <r>
      <rPr>
        <rFont val="맑은 고딕"/>
        <b/>
        <color rgb="FF000000"/>
        <sz val="10.0"/>
      </rPr>
      <t>(</t>
    </r>
    <r>
      <rPr>
        <rFont val="Noto Sans CJK SC"/>
        <b/>
        <color rgb="FF000000"/>
        <sz val="10.0"/>
      </rPr>
      <t>누적</t>
    </r>
    <r>
      <rPr>
        <rFont val="맑은 고딕"/>
        <b/>
        <color rgb="FF000000"/>
        <sz val="10.0"/>
      </rPr>
      <t>)</t>
    </r>
  </si>
  <si>
    <r>
      <rPr>
        <rFont val="Noto Sans CJK SC"/>
        <b/>
        <color rgb="FF000000"/>
        <sz val="10.0"/>
      </rPr>
      <t>학업상담 횟수</t>
    </r>
    <r>
      <rPr>
        <rFont val="맑은 고딕"/>
        <b/>
        <color rgb="FF000000"/>
        <sz val="10.0"/>
      </rPr>
      <t>(</t>
    </r>
    <r>
      <rPr>
        <rFont val="Noto Sans CJK SC"/>
        <b/>
        <color rgb="FF000000"/>
        <sz val="10.0"/>
      </rPr>
      <t>누적</t>
    </r>
    <r>
      <rPr>
        <rFont val="맑은 고딕"/>
        <b/>
        <color rgb="FF000000"/>
        <sz val="10.0"/>
      </rPr>
      <t>)</t>
    </r>
  </si>
  <si>
    <t>수강신청 상담</t>
  </si>
  <si>
    <r>
      <rPr>
        <rFont val="Noto Sans CJK SC"/>
        <i/>
        <color rgb="FF7F7F7F"/>
        <sz val="8.0"/>
      </rPr>
      <t>출처</t>
    </r>
    <r>
      <rPr>
        <rFont val="맑은 고딕"/>
        <i/>
        <color rgb="FF7F7F7F"/>
        <sz val="8.0"/>
      </rPr>
      <t xml:space="preserve">: </t>
    </r>
    <r>
      <rPr>
        <rFont val="Noto Sans CJK SC"/>
        <i/>
        <color rgb="FF7F7F7F"/>
        <sz val="8.0"/>
      </rPr>
      <t>학생 등록</t>
    </r>
    <r>
      <rPr>
        <rFont val="맑은 고딕"/>
        <i/>
        <color rgb="FF7F7F7F"/>
        <sz val="8.0"/>
      </rPr>
      <t>(</t>
    </r>
    <r>
      <rPr>
        <rFont val="Noto Sans CJK SC"/>
        <i/>
        <color rgb="FF7F7F7F"/>
        <sz val="8.0"/>
      </rPr>
      <t>고용보험 자격이력 등</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커뮤니케이션 </t>
    </r>
    <r>
      <rPr>
        <rFont val="맑은 고딕"/>
        <i/>
        <color rgb="FF7F7F7F"/>
        <sz val="8.0"/>
      </rPr>
      <t xml:space="preserve">/ </t>
    </r>
    <r>
      <rPr>
        <rFont val="Noto Sans CJK SC"/>
        <i/>
        <color rgb="FF7F7F7F"/>
        <sz val="8.0"/>
      </rPr>
      <t xml:space="preserve">책임감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증빙 신뢰도 낮음 → 기간 위주 정량화 권장</t>
    </r>
  </si>
  <si>
    <r>
      <rPr>
        <rFont val="Noto Sans CJK SC"/>
        <color rgb="FF7F7F7F"/>
        <sz val="9.0"/>
      </rPr>
      <t>예</t>
    </r>
    <r>
      <rPr>
        <rFont val="맑은 고딕"/>
        <color rgb="FF7F7F7F"/>
        <sz val="9.0"/>
      </rPr>
      <t xml:space="preserve">: </t>
    </r>
    <r>
      <rPr>
        <rFont val="Noto Sans CJK SC"/>
        <color rgb="FF7F7F7F"/>
        <sz val="9.0"/>
      </rPr>
      <t>입학</t>
    </r>
    <r>
      <rPr>
        <rFont val="맑은 고딕"/>
        <color rgb="FF7F7F7F"/>
        <sz val="9.0"/>
      </rPr>
      <t>~2026-1</t>
    </r>
  </si>
  <si>
    <r>
      <rPr>
        <rFont val="Noto Sans CJK SC"/>
        <b/>
        <color rgb="FF000000"/>
        <sz val="11.0"/>
      </rPr>
      <t>토론</t>
    </r>
    <r>
      <rPr>
        <rFont val="맑은 고딕"/>
        <b/>
        <color rgb="FF000000"/>
        <sz val="11.0"/>
      </rPr>
      <t>·</t>
    </r>
    <r>
      <rPr>
        <rFont val="Noto Sans CJK SC"/>
        <b/>
        <color rgb="FF000000"/>
        <sz val="11.0"/>
      </rPr>
      <t>게시판 참여</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</si>
  <si>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</si>
  <si>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Noto Sans CJK SC"/>
        <b/>
        <color rgb="FF000000"/>
        <sz val="10.0"/>
      </rPr>
      <t>교수 면담 횟수</t>
    </r>
    <r>
      <rPr>
        <rFont val="맑은 고딕"/>
        <b/>
        <color rgb="FF000000"/>
        <sz val="10.0"/>
      </rPr>
      <t>(</t>
    </r>
    <r>
      <rPr>
        <rFont val="Noto Sans CJK SC"/>
        <b/>
        <color rgb="FF000000"/>
        <sz val="10.0"/>
      </rPr>
      <t>누적</t>
    </r>
    <r>
      <rPr>
        <rFont val="맑은 고딕"/>
        <b/>
        <color rgb="FF000000"/>
        <sz val="10.0"/>
      </rPr>
      <t>)</t>
    </r>
  </si>
  <si>
    <r>
      <rPr>
        <rFont val="Noto Sans CJK SC"/>
        <b/>
        <color rgb="FF000000"/>
        <sz val="10.0"/>
      </rPr>
      <t>학업상담 횟수</t>
    </r>
    <r>
      <rPr>
        <rFont val="맑은 고딕"/>
        <b/>
        <color rgb="FF000000"/>
        <sz val="10.0"/>
      </rPr>
      <t>(</t>
    </r>
    <r>
      <rPr>
        <rFont val="Noto Sans CJK SC"/>
        <b/>
        <color rgb="FF000000"/>
        <sz val="10.0"/>
      </rPr>
      <t>누적</t>
    </r>
    <r>
      <rPr>
        <rFont val="맑은 고딕"/>
        <b/>
        <color rgb="FF000000"/>
        <sz val="10.0"/>
      </rPr>
      <t>)</t>
    </r>
  </si>
  <si>
    <r>
      <rPr>
        <rFont val="맑은 고딕"/>
        <i/>
        <color rgb="FF7F7F7F"/>
        <sz val="8.0"/>
      </rPr>
      <t>[</t>
    </r>
    <r>
      <rPr>
        <rFont val="Noto Sans CJK SC"/>
        <i/>
        <color rgb="FF7F7F7F"/>
        <sz val="8.0"/>
      </rPr>
      <t xml:space="preserve">고용보험 </t>
    </r>
    <r>
      <rPr>
        <rFont val="맑은 고딕"/>
        <i/>
        <color rgb="FF7F7F7F"/>
        <sz val="8.0"/>
      </rPr>
      <t xml:space="preserve">/ </t>
    </r>
    <r>
      <rPr>
        <rFont val="Noto Sans CJK SC"/>
        <i/>
        <color rgb="FF7F7F7F"/>
        <sz val="8.0"/>
      </rPr>
      <t>재직</t>
    </r>
    <r>
      <rPr>
        <rFont val="맑은 고딕"/>
        <i/>
        <color rgb="FF7F7F7F"/>
        <sz val="8.0"/>
      </rPr>
      <t>·</t>
    </r>
    <r>
      <rPr>
        <rFont val="Noto Sans CJK SC"/>
        <i/>
        <color rgb="FF7F7F7F"/>
        <sz val="8.0"/>
      </rPr>
      <t xml:space="preserve">경력증명 </t>
    </r>
    <r>
      <rPr>
        <rFont val="맑은 고딕"/>
        <i/>
        <color rgb="FF7F7F7F"/>
        <sz val="8.0"/>
      </rPr>
      <t xml:space="preserve">/ </t>
    </r>
    <r>
      <rPr>
        <rFont val="Noto Sans CJK SC"/>
        <i/>
        <color rgb="FF7F7F7F"/>
        <sz val="8.0"/>
      </rPr>
      <t>없음</t>
    </r>
    <r>
      <rPr>
        <rFont val="맑은 고딕"/>
        <i/>
        <color rgb="FF7F7F7F"/>
        <sz val="8.0"/>
      </rPr>
      <t>]</t>
    </r>
  </si>
  <si>
    <t>편의점</t>
  </si>
  <si>
    <t>판매</t>
  </si>
  <si>
    <t>없음</t>
  </si>
  <si>
    <t>학원</t>
  </si>
  <si>
    <t>보조강사</t>
  </si>
  <si>
    <r>
      <rPr>
        <rFont val="Noto Sans CJK SC"/>
        <b/>
        <color rgb="FF000000"/>
        <sz val="11.0"/>
      </rPr>
      <t>토론</t>
    </r>
    <r>
      <rPr>
        <rFont val="맑은 고딕"/>
        <b/>
        <color rgb="FF000000"/>
        <sz val="11.0"/>
      </rPr>
      <t>·</t>
    </r>
    <r>
      <rPr>
        <rFont val="Noto Sans CJK SC"/>
        <b/>
        <color rgb="FF000000"/>
        <sz val="11.0"/>
      </rPr>
      <t>게시판 참여</t>
    </r>
  </si>
  <si>
    <r>
      <rPr>
        <rFont val="Noto Sans CJK SC"/>
        <color rgb="FF1F3B8A"/>
        <sz val="10.0"/>
      </rPr>
      <t>재직</t>
    </r>
    <r>
      <rPr>
        <rFont val="맑은 고딕"/>
        <color rgb="FF1F3B8A"/>
        <sz val="10.0"/>
      </rPr>
      <t>·</t>
    </r>
    <r>
      <rPr>
        <rFont val="Noto Sans CJK SC"/>
        <color rgb="FF1F3B8A"/>
        <sz val="10.0"/>
      </rPr>
      <t>경력증명</t>
    </r>
  </si>
  <si>
    <r>
      <rPr>
        <rFont val="Noto Sans CJK SC"/>
        <b/>
        <color rgb="FF000000"/>
        <sz val="11.0"/>
      </rPr>
      <t>진로설계</t>
    </r>
    <r>
      <rPr>
        <rFont val="맑은 고딕"/>
        <b/>
        <color rgb="FF000000"/>
        <sz val="11.0"/>
      </rPr>
      <t>·</t>
    </r>
    <r>
      <rPr>
        <rFont val="Noto Sans CJK SC"/>
        <b/>
        <color rgb="FF000000"/>
        <sz val="11.0"/>
      </rPr>
      <t>취업상담</t>
    </r>
  </si>
  <si>
    <r>
      <rPr>
        <rFont val="Noto Sans CJK SC"/>
        <i/>
        <color rgb="FF7F7F7F"/>
        <sz val="8.0"/>
      </rPr>
      <t>출처</t>
    </r>
    <r>
      <rPr>
        <rFont val="맑은 고딕"/>
        <i/>
        <color rgb="FF7F7F7F"/>
        <sz val="8.0"/>
      </rPr>
      <t xml:space="preserve">: LMS(i-Campus)   |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소통능력 </t>
    </r>
    <r>
      <rPr>
        <rFont val="맑은 고딕"/>
        <i/>
        <color rgb="FF7F7F7F"/>
        <sz val="8.0"/>
      </rPr>
      <t xml:space="preserve">/ </t>
    </r>
    <r>
      <rPr>
        <rFont val="Noto Sans CJK SC"/>
        <i/>
        <color rgb="FF7F7F7F"/>
        <sz val="8.0"/>
      </rPr>
      <t xml:space="preserve">수업참여도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교수 관심 </t>
    </r>
    <r>
      <rPr>
        <rFont val="맑은 고딕"/>
        <i/>
        <color rgb="FF7F7F7F"/>
        <sz val="8.0"/>
      </rPr>
      <t>'</t>
    </r>
    <r>
      <rPr>
        <rFont val="Noto Sans CJK SC"/>
        <i/>
        <color rgb="FF7F7F7F"/>
        <sz val="8.0"/>
      </rPr>
      <t>소통능력</t>
    </r>
    <r>
      <rPr>
        <rFont val="맑은 고딕"/>
        <i/>
        <color rgb="FF7F7F7F"/>
        <sz val="8.0"/>
      </rPr>
      <t>'</t>
    </r>
    <r>
      <rPr>
        <rFont val="Noto Sans CJK SC"/>
        <i/>
        <color rgb="FF7F7F7F"/>
        <sz val="8.0"/>
      </rPr>
      <t>의 정량 근거 보강</t>
    </r>
  </si>
  <si>
    <r>
      <rPr>
        <rFont val="맑은 고딕"/>
        <color rgb="FF1F3B8A"/>
        <sz val="10.0"/>
      </rPr>
      <t>2026-1</t>
    </r>
    <r>
      <rPr>
        <rFont val="Noto Sans CJK SC"/>
        <color rgb="FF1F3B8A"/>
        <sz val="10.0"/>
      </rPr>
      <t>학기</t>
    </r>
  </si>
  <si>
    <r>
      <rPr>
        <rFont val="Noto Sans CJK SC"/>
        <color rgb="FF7F7F7F"/>
        <sz val="9.0"/>
      </rPr>
      <t>예</t>
    </r>
    <r>
      <rPr>
        <rFont val="맑은 고딕"/>
        <color rgb="FF7F7F7F"/>
        <sz val="9.0"/>
      </rPr>
      <t>: 2026-1</t>
    </r>
    <r>
      <rPr>
        <rFont val="Noto Sans CJK SC"/>
        <color rgb="FF7F7F7F"/>
        <sz val="9.0"/>
      </rPr>
      <t>학기</t>
    </r>
  </si>
  <si>
    <r>
      <rPr>
        <rFont val="Noto Sans CJK SC"/>
        <i/>
        <color rgb="FF7F7F7F"/>
        <sz val="8.0"/>
      </rPr>
      <t>출처</t>
    </r>
    <r>
      <rPr>
        <rFont val="맑은 고딕"/>
        <i/>
        <color rgb="FF7F7F7F"/>
        <sz val="8.0"/>
      </rPr>
      <t xml:space="preserve">: LMS(i-Campus)   |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소통능력 </t>
    </r>
    <r>
      <rPr>
        <rFont val="맑은 고딕"/>
        <i/>
        <color rgb="FF7F7F7F"/>
        <sz val="8.0"/>
      </rPr>
      <t xml:space="preserve">/ </t>
    </r>
    <r>
      <rPr>
        <rFont val="Noto Sans CJK SC"/>
        <i/>
        <color rgb="FF7F7F7F"/>
        <sz val="8.0"/>
      </rPr>
      <t xml:space="preserve">수업참여도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교수 관심 </t>
    </r>
    <r>
      <rPr>
        <rFont val="맑은 고딕"/>
        <i/>
        <color rgb="FF7F7F7F"/>
        <sz val="8.0"/>
      </rPr>
      <t>'</t>
    </r>
    <r>
      <rPr>
        <rFont val="Noto Sans CJK SC"/>
        <i/>
        <color rgb="FF7F7F7F"/>
        <sz val="8.0"/>
      </rPr>
      <t>소통능력</t>
    </r>
    <r>
      <rPr>
        <rFont val="맑은 고딕"/>
        <i/>
        <color rgb="FF7F7F7F"/>
        <sz val="8.0"/>
      </rPr>
      <t>'</t>
    </r>
    <r>
      <rPr>
        <rFont val="Noto Sans CJK SC"/>
        <i/>
        <color rgb="FF7F7F7F"/>
        <sz val="8.0"/>
      </rPr>
      <t>의 정량 근거 보강</t>
    </r>
  </si>
  <si>
    <r>
      <rPr>
        <rFont val="Noto Sans CJK SC"/>
        <b/>
        <color rgb="FFFFFFFF"/>
        <sz val="11.0"/>
      </rPr>
      <t>■ 연구</t>
    </r>
    <r>
      <rPr>
        <rFont val="맑은 고딕"/>
        <b/>
        <color rgb="FFFFFFFF"/>
        <sz val="11.0"/>
      </rPr>
      <t>·</t>
    </r>
    <r>
      <rPr>
        <rFont val="Noto Sans CJK SC"/>
        <b/>
        <color rgb="FFFFFFFF"/>
        <sz val="11.0"/>
      </rPr>
      <t>학술</t>
    </r>
  </si>
  <si>
    <r>
      <rPr>
        <rFont val="Noto Sans CJK SC"/>
        <color rgb="FF7F7F7F"/>
        <sz val="9.0"/>
      </rPr>
      <t>예</t>
    </r>
    <r>
      <rPr>
        <rFont val="맑은 고딕"/>
        <color rgb="FF7F7F7F"/>
        <sz val="9.0"/>
      </rPr>
      <t>: 2026-1</t>
    </r>
    <r>
      <rPr>
        <rFont val="Noto Sans CJK SC"/>
        <color rgb="FF7F7F7F"/>
        <sz val="9.0"/>
      </rPr>
      <t>학기</t>
    </r>
  </si>
  <si>
    <r>
      <rPr>
        <rFont val="Noto Sans CJK SC"/>
        <i/>
        <color rgb="FF7F7F7F"/>
        <sz val="8.0"/>
      </rPr>
      <t>출처</t>
    </r>
    <r>
      <rPr>
        <rFont val="맑은 고딕"/>
        <i/>
        <color rgb="FF7F7F7F"/>
        <sz val="8.0"/>
      </rPr>
      <t xml:space="preserve">: </t>
    </r>
    <r>
      <rPr>
        <rFont val="Noto Sans CJK SC"/>
        <i/>
        <color rgb="FF7F7F7F"/>
        <sz val="8.0"/>
      </rPr>
      <t xml:space="preserve">경력개발 </t>
    </r>
    <r>
      <rPr>
        <rFont val="맑은 고딕"/>
        <i/>
        <color rgb="FF7F7F7F"/>
        <sz val="8.0"/>
      </rPr>
      <t xml:space="preserve">· </t>
    </r>
    <r>
      <rPr>
        <rFont val="Noto Sans CJK SC"/>
        <i/>
        <color rgb="FF7F7F7F"/>
        <sz val="8.0"/>
      </rPr>
      <t xml:space="preserve">상담 시스템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자기관리</t>
    </r>
    <r>
      <rPr>
        <rFont val="맑은 고딕"/>
        <i/>
        <color rgb="FF7F7F7F"/>
        <sz val="8.0"/>
      </rPr>
      <t>(</t>
    </r>
    <r>
      <rPr>
        <rFont val="Noto Sans CJK SC"/>
        <i/>
        <color rgb="FF7F7F7F"/>
        <sz val="8.0"/>
      </rPr>
      <t>계획 수립</t>
    </r>
    <r>
      <rPr>
        <rFont val="맑은 고딕"/>
        <i/>
        <color rgb="FF7F7F7F"/>
        <sz val="8.0"/>
      </rPr>
      <t xml:space="preserve">) /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t>
    </r>
    <r>
      <rPr>
        <rFont val="Noto Sans CJK SC"/>
        <i/>
        <color rgb="FF7F7F7F"/>
        <sz val="8.0"/>
      </rPr>
      <t>계획 수립 및 실행 능력</t>
    </r>
    <r>
      <rPr>
        <rFont val="맑은 고딕"/>
        <i/>
        <color rgb="FF7F7F7F"/>
        <sz val="8.0"/>
      </rPr>
      <t>'</t>
    </r>
    <r>
      <rPr>
        <rFont val="Noto Sans CJK SC"/>
        <i/>
        <color rgb="FF7F7F7F"/>
        <sz val="8.0"/>
      </rPr>
      <t xml:space="preserve">의 근거가 </t>
    </r>
    <r>
      <rPr>
        <rFont val="맑은 고딕"/>
        <i/>
        <color rgb="FF7F7F7F"/>
        <sz val="8.0"/>
      </rPr>
      <t xml:space="preserve">LMS </t>
    </r>
    <r>
      <rPr>
        <rFont val="Noto Sans CJK SC"/>
        <i/>
        <color rgb="FF7F7F7F"/>
        <sz val="8.0"/>
      </rPr>
      <t>하나뿐인 공백 보완</t>
    </r>
  </si>
  <si>
    <r>
      <rPr>
        <rFont val="Noto Sans CJK SC"/>
        <b/>
        <color rgb="FF000000"/>
        <sz val="11.0"/>
      </rPr>
      <t>학회</t>
    </r>
    <r>
      <rPr>
        <rFont val="맑은 고딕"/>
        <b/>
        <color rgb="FF000000"/>
        <sz val="11.0"/>
      </rPr>
      <t>·</t>
    </r>
    <r>
      <rPr>
        <rFont val="Noto Sans CJK SC"/>
        <b/>
        <color rgb="FF000000"/>
        <sz val="11.0"/>
      </rPr>
      <t>연구활동</t>
    </r>
  </si>
  <si>
    <r>
      <rPr>
        <rFont val="Noto Sans CJK SC"/>
        <b/>
        <color rgb="FF000000"/>
        <sz val="10.0"/>
      </rPr>
      <t>진로</t>
    </r>
    <r>
      <rPr>
        <rFont val="맑은 고딕"/>
        <b/>
        <color rgb="FF000000"/>
        <sz val="10.0"/>
      </rPr>
      <t>·</t>
    </r>
    <r>
      <rPr>
        <rFont val="Noto Sans CJK SC"/>
        <b/>
        <color rgb="FF000000"/>
        <sz val="10.0"/>
      </rPr>
      <t>취업 상담 횟수</t>
    </r>
    <r>
      <rPr>
        <rFont val="맑은 고딕"/>
        <b/>
        <color rgb="FF000000"/>
        <sz val="10.0"/>
      </rPr>
      <t>(</t>
    </r>
    <r>
      <rPr>
        <rFont val="Noto Sans CJK SC"/>
        <b/>
        <color rgb="FF000000"/>
        <sz val="10.0"/>
      </rPr>
      <t>누적</t>
    </r>
    <r>
      <rPr>
        <rFont val="맑은 고딕"/>
        <b/>
        <color rgb="FF000000"/>
        <sz val="10.0"/>
      </rPr>
      <t>)</t>
    </r>
  </si>
  <si>
    <r>
      <rPr>
        <rFont val="Noto Sans CJK SC"/>
        <b/>
        <color rgb="FFFFFFFF"/>
        <sz val="11.0"/>
      </rPr>
      <t>■ 연구</t>
    </r>
    <r>
      <rPr>
        <rFont val="맑은 고딕"/>
        <b/>
        <color rgb="FFFFFFFF"/>
        <sz val="11.0"/>
      </rPr>
      <t>·</t>
    </r>
    <r>
      <rPr>
        <rFont val="Noto Sans CJK SC"/>
        <b/>
        <color rgb="FFFFFFFF"/>
        <sz val="11.0"/>
      </rPr>
      <t>학술</t>
    </r>
  </si>
  <si>
    <r>
      <rPr>
        <rFont val="Noto Sans CJK SC"/>
        <b/>
        <color rgb="FF000000"/>
        <sz val="10.0"/>
      </rPr>
      <t>희망 직무</t>
    </r>
    <r>
      <rPr>
        <rFont val="맑은 고딕"/>
        <b/>
        <color rgb="FF000000"/>
        <sz val="10.0"/>
      </rPr>
      <t>·</t>
    </r>
    <r>
      <rPr>
        <rFont val="Noto Sans CJK SC"/>
        <b/>
        <color rgb="FF000000"/>
        <sz val="10.0"/>
      </rPr>
      <t>분야</t>
    </r>
  </si>
  <si>
    <t>마케팅</t>
  </si>
  <si>
    <r>
      <rPr>
        <rFont val="Noto Sans CJK SC"/>
        <b/>
        <color rgb="FF000000"/>
        <sz val="11.0"/>
      </rPr>
      <t>학회</t>
    </r>
    <r>
      <rPr>
        <rFont val="맑은 고딕"/>
        <b/>
        <color rgb="FF000000"/>
        <sz val="11.0"/>
      </rPr>
      <t>·</t>
    </r>
    <r>
      <rPr>
        <rFont val="Noto Sans CJK SC"/>
        <b/>
        <color rgb="FF000000"/>
        <sz val="11.0"/>
      </rPr>
      <t>연구활동</t>
    </r>
  </si>
  <si>
    <r>
      <rPr>
        <rFont val="맑은 고딕"/>
        <color rgb="FF7F7F7F"/>
        <sz val="9.0"/>
      </rPr>
      <t>1~3</t>
    </r>
    <r>
      <rPr>
        <rFont val="Noto Sans CJK SC"/>
        <color rgb="FF7F7F7F"/>
        <sz val="9.0"/>
      </rPr>
      <t>문장</t>
    </r>
  </si>
  <si>
    <r>
      <rPr>
        <rFont val="Noto Sans CJK SC"/>
        <b/>
        <color rgb="FFFFFFFF"/>
        <sz val="11.0"/>
      </rPr>
      <t>■ 창의</t>
    </r>
    <r>
      <rPr>
        <rFont val="맑은 고딕"/>
        <b/>
        <color rgb="FFFFFFFF"/>
        <sz val="11.0"/>
      </rPr>
      <t>·</t>
    </r>
    <r>
      <rPr>
        <rFont val="Noto Sans CJK SC"/>
        <b/>
        <color rgb="FFFFFFFF"/>
        <sz val="11.0"/>
      </rPr>
      <t>도전</t>
    </r>
  </si>
  <si>
    <r>
      <rPr>
        <rFont val="맑은 고딕"/>
        <b/>
        <color rgb="FF2F4A8A"/>
        <sz val="14.0"/>
      </rPr>
      <t>[</t>
    </r>
    <r>
      <rPr>
        <rFont val="Noto Sans CJK SC"/>
        <b/>
        <color rgb="FF2F4A8A"/>
        <sz val="14.0"/>
      </rPr>
      <t xml:space="preserve">샘플 </t>
    </r>
    <r>
      <rPr>
        <rFont val="맑은 고딕"/>
        <b/>
        <color rgb="FF2F4A8A"/>
        <sz val="14.0"/>
      </rPr>
      <t xml:space="preserve">S05] </t>
    </r>
    <r>
      <rPr>
        <rFont val="Noto Sans CJK SC"/>
        <b/>
        <color rgb="FF2F4A8A"/>
        <sz val="14.0"/>
      </rPr>
      <t>정하늘 — 비정형</t>
    </r>
    <r>
      <rPr>
        <rFont val="맑은 고딕"/>
        <b/>
        <color rgb="FF2F4A8A"/>
        <sz val="14.0"/>
      </rPr>
      <t>·</t>
    </r>
    <r>
      <rPr>
        <rFont val="Noto Sans CJK SC"/>
        <b/>
        <color rgb="FF2F4A8A"/>
        <sz val="14.0"/>
      </rPr>
      <t xml:space="preserve">오류 입력형 </t>
    </r>
    <r>
      <rPr>
        <rFont val="맑은 고딕"/>
        <b/>
        <color rgb="FF2F4A8A"/>
        <sz val="14.0"/>
      </rPr>
      <t>(</t>
    </r>
    <r>
      <rPr>
        <rFont val="Noto Sans CJK SC"/>
        <b/>
        <color rgb="FF2F4A8A"/>
        <sz val="14.0"/>
      </rPr>
      <t>가상 데이터</t>
    </r>
    <r>
      <rPr>
        <rFont val="맑은 고딕"/>
        <b/>
        <color rgb="FF2F4A8A"/>
        <sz val="14.0"/>
      </rPr>
      <t>)</t>
    </r>
  </si>
  <si>
    <r>
      <rPr>
        <rFont val="Noto Sans CJK SC"/>
        <b/>
        <color rgb="FF000000"/>
        <sz val="11.0"/>
      </rPr>
      <t>공모전 참가</t>
    </r>
    <r>
      <rPr>
        <rFont val="맑은 고딕"/>
        <b/>
        <color rgb="FF000000"/>
        <sz val="11.0"/>
      </rPr>
      <t>·</t>
    </r>
    <r>
      <rPr>
        <rFont val="Noto Sans CJK SC"/>
        <b/>
        <color rgb="FF000000"/>
        <sz val="11.0"/>
      </rPr>
      <t>수상</t>
    </r>
  </si>
  <si>
    <r>
      <rPr>
        <rFont val="Noto Sans CJK SC"/>
        <color rgb="FF595959"/>
        <sz val="9.0"/>
      </rPr>
      <t>평가 테스트 포인트</t>
    </r>
    <r>
      <rPr>
        <rFont val="맑은 고딕"/>
        <color rgb="FF595959"/>
        <sz val="9.0"/>
      </rPr>
      <t xml:space="preserve">: </t>
    </r>
    <r>
      <rPr>
        <rFont val="Noto Sans CJK SC"/>
        <color rgb="FF595959"/>
        <sz val="9.0"/>
      </rPr>
      <t>자유서술</t>
    </r>
    <r>
      <rPr>
        <rFont val="맑은 고딕"/>
        <color rgb="FF595959"/>
        <sz val="9.0"/>
      </rPr>
      <t>·</t>
    </r>
    <r>
      <rPr>
        <rFont val="Noto Sans CJK SC"/>
        <color rgb="FF595959"/>
        <sz val="9.0"/>
      </rPr>
      <t>단위 포함</t>
    </r>
    <r>
      <rPr>
        <rFont val="맑은 고딕"/>
        <color rgb="FF595959"/>
        <sz val="9.0"/>
      </rPr>
      <t>·</t>
    </r>
    <r>
      <rPr>
        <rFont val="Noto Sans CJK SC"/>
        <color rgb="FF595959"/>
        <sz val="9.0"/>
      </rPr>
      <t>날짜형식 혼재</t>
    </r>
    <r>
      <rPr>
        <rFont val="맑은 고딕"/>
        <color rgb="FF595959"/>
        <sz val="9.0"/>
      </rPr>
      <t>·</t>
    </r>
    <r>
      <rPr>
        <rFont val="Noto Sans CJK SC"/>
        <color rgb="FF595959"/>
        <sz val="9.0"/>
      </rPr>
      <t>한 칸 여러 값</t>
    </r>
    <r>
      <rPr>
        <rFont val="맑은 고딕"/>
        <color rgb="FF595959"/>
        <sz val="9.0"/>
      </rPr>
      <t>·</t>
    </r>
    <r>
      <rPr>
        <rFont val="Noto Sans CJK SC"/>
        <color rgb="FF595959"/>
        <sz val="9.0"/>
      </rPr>
      <t>상태</t>
    </r>
    <r>
      <rPr>
        <rFont val="맑은 고딕"/>
        <color rgb="FF595959"/>
        <sz val="9.0"/>
      </rPr>
      <t>-</t>
    </r>
    <r>
      <rPr>
        <rFont val="Noto Sans CJK SC"/>
        <color rgb="FF595959"/>
        <sz val="9.0"/>
      </rPr>
      <t>값 불일치 → 파싱 규칙과 ⚠ 자동점검이 잡아내는지 확인</t>
    </r>
  </si>
  <si>
    <r>
      <rPr>
        <rFont val="Noto Sans CJK SC"/>
        <i/>
        <color rgb="FF7F7F7F"/>
        <sz val="8.0"/>
      </rPr>
      <t>출처</t>
    </r>
    <r>
      <rPr>
        <rFont val="맑은 고딕"/>
        <i/>
        <color rgb="FF7F7F7F"/>
        <sz val="8.0"/>
      </rPr>
      <t xml:space="preserve">: </t>
    </r>
    <r>
      <rPr>
        <rFont val="Noto Sans CJK SC"/>
        <i/>
        <color rgb="FF7F7F7F"/>
        <sz val="8.0"/>
      </rPr>
      <t>비교과</t>
    </r>
    <r>
      <rPr>
        <rFont val="맑은 고딕"/>
        <i/>
        <color rgb="FF7F7F7F"/>
        <sz val="8.0"/>
      </rPr>
      <t>·</t>
    </r>
    <r>
      <rPr>
        <rFont val="Noto Sans CJK SC"/>
        <i/>
        <color rgb="FF7F7F7F"/>
        <sz val="8.0"/>
      </rPr>
      <t xml:space="preserve">연구지원 시스템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탐구력 </t>
    </r>
    <r>
      <rPr>
        <rFont val="맑은 고딕"/>
        <i/>
        <color rgb="FF7F7F7F"/>
        <sz val="8.0"/>
      </rPr>
      <t xml:space="preserve">/ </t>
    </r>
    <r>
      <rPr>
        <rFont val="Noto Sans CJK SC"/>
        <i/>
        <color rgb="FF7F7F7F"/>
        <sz val="8.0"/>
      </rPr>
      <t xml:space="preserve">문제해결력   </t>
    </r>
    <r>
      <rPr>
        <rFont val="맑은 고딕"/>
        <i/>
        <color rgb="FF7F7F7F"/>
        <sz val="8.0"/>
      </rPr>
      <t xml:space="preserve">|   </t>
    </r>
    <r>
      <rPr>
        <rFont val="Noto Sans CJK SC"/>
        <i/>
        <color rgb="FF7F7F7F"/>
        <sz val="8.0"/>
      </rPr>
      <t>비고</t>
    </r>
    <r>
      <rPr>
        <rFont val="맑은 고딕"/>
        <i/>
        <color rgb="FF7F7F7F"/>
        <sz val="8.0"/>
      </rPr>
      <t xml:space="preserve">: [B] </t>
    </r>
    <r>
      <rPr>
        <rFont val="Noto Sans CJK SC"/>
        <i/>
        <color rgb="FF7F7F7F"/>
        <sz val="8.0"/>
      </rPr>
      <t>학회</t>
    </r>
    <r>
      <rPr>
        <rFont val="맑은 고딕"/>
        <i/>
        <color rgb="FF7F7F7F"/>
        <sz val="8.0"/>
      </rPr>
      <t>·</t>
    </r>
    <r>
      <rPr>
        <rFont val="Noto Sans CJK SC"/>
        <i/>
        <color rgb="FF7F7F7F"/>
        <sz val="8.0"/>
      </rPr>
      <t xml:space="preserve">연구 </t>
    </r>
    <r>
      <rPr>
        <rFont val="맑은 고딕"/>
        <i/>
        <color rgb="FF7F7F7F"/>
        <sz val="8.0"/>
      </rPr>
      <t>+ [C] URP·</t>
    </r>
    <r>
      <rPr>
        <rFont val="Noto Sans CJK SC"/>
        <i/>
        <color rgb="FF7F7F7F"/>
        <sz val="8.0"/>
      </rPr>
      <t>팀연구프로젝트 통합</t>
    </r>
  </si>
  <si>
    <r>
      <rPr>
        <rFont val="Noto Sans CJK SC"/>
        <i/>
        <color rgb="FF7F7F7F"/>
        <sz val="8.0"/>
      </rPr>
      <t>출처</t>
    </r>
    <r>
      <rPr>
        <rFont val="맑은 고딕"/>
        <i/>
        <color rgb="FF7F7F7F"/>
        <sz val="8.0"/>
      </rPr>
      <t xml:space="preserve">: </t>
    </r>
    <r>
      <rPr>
        <rFont val="Noto Sans CJK SC"/>
        <i/>
        <color rgb="FF7F7F7F"/>
        <sz val="8.0"/>
      </rPr>
      <t>비교과</t>
    </r>
    <r>
      <rPr>
        <rFont val="맑은 고딕"/>
        <i/>
        <color rgb="FF7F7F7F"/>
        <sz val="8.0"/>
      </rPr>
      <t>·</t>
    </r>
    <r>
      <rPr>
        <rFont val="Noto Sans CJK SC"/>
        <i/>
        <color rgb="FF7F7F7F"/>
        <sz val="8.0"/>
      </rPr>
      <t xml:space="preserve">연구지원 시스템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탐구력 </t>
    </r>
    <r>
      <rPr>
        <rFont val="맑은 고딕"/>
        <i/>
        <color rgb="FF7F7F7F"/>
        <sz val="8.0"/>
      </rPr>
      <t xml:space="preserve">/ </t>
    </r>
    <r>
      <rPr>
        <rFont val="Noto Sans CJK SC"/>
        <i/>
        <color rgb="FF7F7F7F"/>
        <sz val="8.0"/>
      </rPr>
      <t xml:space="preserve">문제해결력   </t>
    </r>
    <r>
      <rPr>
        <rFont val="맑은 고딕"/>
        <i/>
        <color rgb="FF7F7F7F"/>
        <sz val="8.0"/>
      </rPr>
      <t xml:space="preserve">|   </t>
    </r>
    <r>
      <rPr>
        <rFont val="Noto Sans CJK SC"/>
        <i/>
        <color rgb="FF7F7F7F"/>
        <sz val="8.0"/>
      </rPr>
      <t>비고</t>
    </r>
    <r>
      <rPr>
        <rFont val="맑은 고딕"/>
        <i/>
        <color rgb="FF7F7F7F"/>
        <sz val="8.0"/>
      </rPr>
      <t xml:space="preserve">: [B] </t>
    </r>
    <r>
      <rPr>
        <rFont val="Noto Sans CJK SC"/>
        <i/>
        <color rgb="FF7F7F7F"/>
        <sz val="8.0"/>
      </rPr>
      <t>학회</t>
    </r>
    <r>
      <rPr>
        <rFont val="맑은 고딕"/>
        <i/>
        <color rgb="FF7F7F7F"/>
        <sz val="8.0"/>
      </rPr>
      <t>·</t>
    </r>
    <r>
      <rPr>
        <rFont val="Noto Sans CJK SC"/>
        <i/>
        <color rgb="FF7F7F7F"/>
        <sz val="8.0"/>
      </rPr>
      <t xml:space="preserve">연구 </t>
    </r>
    <r>
      <rPr>
        <rFont val="맑은 고딕"/>
        <i/>
        <color rgb="FF7F7F7F"/>
        <sz val="8.0"/>
      </rPr>
      <t>+ [C] URP·</t>
    </r>
    <r>
      <rPr>
        <rFont val="Noto Sans CJK SC"/>
        <i/>
        <color rgb="FF7F7F7F"/>
        <sz val="8.0"/>
      </rPr>
      <t>팀연구프로젝트 통합</t>
    </r>
  </si>
  <si>
    <r>
      <rPr>
        <rFont val="Noto Sans CJK SC"/>
        <b/>
        <color rgb="FF000000"/>
        <sz val="9.0"/>
      </rPr>
      <t>활동명</t>
    </r>
    <r>
      <rPr>
        <rFont val="맑은 고딕"/>
        <b/>
        <color rgb="FF000000"/>
        <sz val="9.0"/>
      </rPr>
      <t>·</t>
    </r>
    <r>
      <rPr>
        <rFont val="Noto Sans CJK SC"/>
        <b/>
        <color rgb="FF000000"/>
        <sz val="9.0"/>
      </rPr>
      <t>소속</t>
    </r>
  </si>
  <si>
    <r>
      <rPr>
        <rFont val="Noto Sans CJK SC"/>
        <b/>
        <color rgb="FF000000"/>
        <sz val="9.0"/>
      </rPr>
      <t>활동명</t>
    </r>
    <r>
      <rPr>
        <rFont val="맑은 고딕"/>
        <b/>
        <color rgb="FF000000"/>
        <sz val="9.0"/>
      </rPr>
      <t>·</t>
    </r>
    <r>
      <rPr>
        <rFont val="Noto Sans CJK SC"/>
        <b/>
        <color rgb="FF000000"/>
        <sz val="9.0"/>
      </rPr>
      <t>소속</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</si>
  <si>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</si>
  <si>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맑은 고딕"/>
        <color rgb="FF000000"/>
        <sz val="9.0"/>
      </rPr>
      <t xml:space="preserve">SKKU </t>
    </r>
    <r>
      <rPr>
        <rFont val="Noto Sans CJK SC"/>
        <color rgb="FF000000"/>
        <sz val="9.0"/>
      </rPr>
      <t>확보가능</t>
    </r>
  </si>
  <si>
    <r>
      <rPr>
        <rFont val="맑은 고딕"/>
        <i/>
        <color rgb="FF7F7F7F"/>
        <sz val="8.0"/>
      </rPr>
      <t>[</t>
    </r>
    <r>
      <rPr>
        <rFont val="Noto Sans CJK SC"/>
        <i/>
        <color rgb="FF7F7F7F"/>
        <sz val="8.0"/>
      </rPr>
      <t xml:space="preserve">학부연구생 </t>
    </r>
    <r>
      <rPr>
        <rFont val="맑은 고딕"/>
        <i/>
        <color rgb="FF7F7F7F"/>
        <sz val="8.0"/>
      </rPr>
      <t xml:space="preserve">/ URP / </t>
    </r>
    <r>
      <rPr>
        <rFont val="Noto Sans CJK SC"/>
        <i/>
        <color rgb="FF7F7F7F"/>
        <sz val="8.0"/>
      </rPr>
      <t xml:space="preserve">학회 </t>
    </r>
    <r>
      <rPr>
        <rFont val="맑은 고딕"/>
        <i/>
        <color rgb="FF7F7F7F"/>
        <sz val="8.0"/>
      </rPr>
      <t xml:space="preserve">/ </t>
    </r>
    <r>
      <rPr>
        <rFont val="Noto Sans CJK SC"/>
        <i/>
        <color rgb="FF7F7F7F"/>
        <sz val="8.0"/>
      </rPr>
      <t xml:space="preserve">연구실 인턴 </t>
    </r>
    <r>
      <rPr>
        <rFont val="맑은 고딕"/>
        <i/>
        <color rgb="FF7F7F7F"/>
        <sz val="8.0"/>
      </rPr>
      <t xml:space="preserve">/ </t>
    </r>
    <r>
      <rPr>
        <rFont val="Noto Sans CJK SC"/>
        <i/>
        <color rgb="FF7F7F7F"/>
        <sz val="8.0"/>
      </rPr>
      <t>팀연구프로젝트</t>
    </r>
    <r>
      <rPr>
        <rFont val="맑은 고딕"/>
        <i/>
        <color rgb="FF7F7F7F"/>
        <sz val="8.0"/>
      </rPr>
      <t>]</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</si>
  <si>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</si>
  <si>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Noto Sans CJK SC"/>
        <i/>
        <color rgb="FF7F7F7F"/>
        <sz val="8.0"/>
      </rPr>
      <t>연구실</t>
    </r>
    <r>
      <rPr>
        <rFont val="맑은 고딕"/>
        <i/>
        <color rgb="FF7F7F7F"/>
        <sz val="8.0"/>
      </rPr>
      <t>/</t>
    </r>
    <r>
      <rPr>
        <rFont val="Noto Sans CJK SC"/>
        <i/>
        <color rgb="FF7F7F7F"/>
        <sz val="8.0"/>
      </rPr>
      <t>학회명</t>
    </r>
  </si>
  <si>
    <r>
      <rPr>
        <rFont val="맑은 고딕"/>
        <i/>
        <color rgb="FF7F7F7F"/>
        <sz val="8.0"/>
      </rPr>
      <t xml:space="preserve">YYYY-MM / </t>
    </r>
    <r>
      <rPr>
        <rFont val="Noto Sans CJK SC"/>
        <i/>
        <color rgb="FF7F7F7F"/>
        <sz val="8.0"/>
      </rPr>
      <t>진행중</t>
    </r>
  </si>
  <si>
    <r>
      <rPr>
        <rFont val="맑은 고딕"/>
        <i/>
        <color rgb="FF7F7F7F"/>
        <sz val="8.0"/>
      </rPr>
      <t>[</t>
    </r>
    <r>
      <rPr>
        <rFont val="Noto Sans CJK SC"/>
        <i/>
        <color rgb="FF7F7F7F"/>
        <sz val="8.0"/>
      </rPr>
      <t xml:space="preserve">학부연구생 </t>
    </r>
    <r>
      <rPr>
        <rFont val="맑은 고딕"/>
        <i/>
        <color rgb="FF7F7F7F"/>
        <sz val="8.0"/>
      </rPr>
      <t xml:space="preserve">/ URP / </t>
    </r>
    <r>
      <rPr>
        <rFont val="Noto Sans CJK SC"/>
        <i/>
        <color rgb="FF7F7F7F"/>
        <sz val="8.0"/>
      </rPr>
      <t xml:space="preserve">학회 </t>
    </r>
    <r>
      <rPr>
        <rFont val="맑은 고딕"/>
        <i/>
        <color rgb="FF7F7F7F"/>
        <sz val="8.0"/>
      </rPr>
      <t xml:space="preserve">/ </t>
    </r>
    <r>
      <rPr>
        <rFont val="Noto Sans CJK SC"/>
        <i/>
        <color rgb="FF7F7F7F"/>
        <sz val="8.0"/>
      </rPr>
      <t xml:space="preserve">연구실 인턴 </t>
    </r>
    <r>
      <rPr>
        <rFont val="맑은 고딕"/>
        <i/>
        <color rgb="FF7F7F7F"/>
        <sz val="8.0"/>
      </rPr>
      <t xml:space="preserve">/ </t>
    </r>
    <r>
      <rPr>
        <rFont val="Noto Sans CJK SC"/>
        <i/>
        <color rgb="FF7F7F7F"/>
        <sz val="8.0"/>
      </rPr>
      <t>팀연구프로젝트</t>
    </r>
    <r>
      <rPr>
        <rFont val="맑은 고딕"/>
        <i/>
        <color rgb="FF7F7F7F"/>
        <sz val="8.0"/>
      </rPr>
      <t>]</t>
    </r>
  </si>
  <si>
    <r>
      <rPr>
        <rFont val="Noto Sans CJK SC"/>
        <i/>
        <color rgb="FF7F7F7F"/>
        <sz val="8.0"/>
      </rPr>
      <t>출처</t>
    </r>
    <r>
      <rPr>
        <rFont val="맑은 고딕"/>
        <i/>
        <color rgb="FF7F7F7F"/>
        <sz val="8.0"/>
      </rPr>
      <t xml:space="preserve">: </t>
    </r>
    <r>
      <rPr>
        <rFont val="Noto Sans CJK SC"/>
        <i/>
        <color rgb="FF7F7F7F"/>
        <sz val="8.0"/>
      </rPr>
      <t xml:space="preserve">비교과 시스템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창의 </t>
    </r>
    <r>
      <rPr>
        <rFont val="맑은 고딕"/>
        <i/>
        <color rgb="FF7F7F7F"/>
        <sz val="8.0"/>
      </rPr>
      <t xml:space="preserve">/ </t>
    </r>
    <r>
      <rPr>
        <rFont val="Noto Sans CJK SC"/>
        <i/>
        <color rgb="FF7F7F7F"/>
        <sz val="8.0"/>
      </rPr>
      <t xml:space="preserve">종합적사고력 </t>
    </r>
    <r>
      <rPr>
        <rFont val="맑은 고딕"/>
        <i/>
        <color rgb="FF7F7F7F"/>
        <sz val="8.0"/>
      </rPr>
      <t xml:space="preserve">/ </t>
    </r>
    <r>
      <rPr>
        <rFont val="Noto Sans CJK SC"/>
        <i/>
        <color rgb="FF7F7F7F"/>
        <sz val="8.0"/>
      </rPr>
      <t xml:space="preserve">문제해결력 </t>
    </r>
    <r>
      <rPr>
        <rFont val="맑은 고딕"/>
        <i/>
        <color rgb="FF7F7F7F"/>
        <sz val="8.0"/>
      </rPr>
      <t xml:space="preserve">/ </t>
    </r>
    <r>
      <rPr>
        <rFont val="Noto Sans CJK SC"/>
        <i/>
        <color rgb="FF7F7F7F"/>
        <sz val="8.0"/>
      </rPr>
      <t xml:space="preserve">도전정신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수상 등급 </t>
    </r>
    <r>
      <rPr>
        <rFont val="맑은 고딕"/>
        <i/>
        <color rgb="FF7F7F7F"/>
        <sz val="8.0"/>
      </rPr>
      <t xml:space="preserve">× </t>
    </r>
    <r>
      <rPr>
        <rFont val="Noto Sans CJK SC"/>
        <i/>
        <color rgb="FF7F7F7F"/>
        <sz val="8.0"/>
      </rPr>
      <t>주관 수준</t>
    </r>
    <r>
      <rPr>
        <rFont val="맑은 고딕"/>
        <i/>
        <color rgb="FF7F7F7F"/>
        <sz val="8.0"/>
      </rPr>
      <t>(</t>
    </r>
    <r>
      <rPr>
        <rFont val="Noto Sans CJK SC"/>
        <i/>
        <color rgb="FF7F7F7F"/>
        <sz val="8.0"/>
      </rPr>
      <t>교내</t>
    </r>
    <r>
      <rPr>
        <rFont val="맑은 고딕"/>
        <i/>
        <color rgb="FF7F7F7F"/>
        <sz val="8.0"/>
      </rPr>
      <t>·</t>
    </r>
    <r>
      <rPr>
        <rFont val="Noto Sans CJK SC"/>
        <i/>
        <color rgb="FF7F7F7F"/>
        <sz val="8.0"/>
      </rPr>
      <t>전국</t>
    </r>
    <r>
      <rPr>
        <rFont val="맑은 고딕"/>
        <i/>
        <color rgb="FF7F7F7F"/>
        <sz val="8.0"/>
      </rPr>
      <t>·</t>
    </r>
    <r>
      <rPr>
        <rFont val="Noto Sans CJK SC"/>
        <i/>
        <color rgb="FF7F7F7F"/>
        <sz val="8.0"/>
      </rPr>
      <t>국제</t>
    </r>
    <r>
      <rPr>
        <rFont val="맑은 고딕"/>
        <i/>
        <color rgb="FF7F7F7F"/>
        <sz val="8.0"/>
      </rPr>
      <t xml:space="preserve">) </t>
    </r>
    <r>
      <rPr>
        <rFont val="Noto Sans CJK SC"/>
        <i/>
        <color rgb="FF7F7F7F"/>
        <sz val="8.0"/>
      </rPr>
      <t>매핑 필요</t>
    </r>
  </si>
  <si>
    <r>
      <rPr>
        <rFont val="Noto Sans CJK SC"/>
        <i/>
        <color rgb="FF7F7F7F"/>
        <sz val="8.0"/>
      </rPr>
      <t>연구실</t>
    </r>
    <r>
      <rPr>
        <rFont val="맑은 고딕"/>
        <i/>
        <color rgb="FF7F7F7F"/>
        <sz val="8.0"/>
      </rPr>
      <t>/</t>
    </r>
    <r>
      <rPr>
        <rFont val="Noto Sans CJK SC"/>
        <i/>
        <color rgb="FF7F7F7F"/>
        <sz val="8.0"/>
      </rPr>
      <t>학회명</t>
    </r>
  </si>
  <si>
    <r>
      <rPr>
        <rFont val="Noto Sans CJK SC"/>
        <color rgb="FF595959"/>
        <sz val="9.0"/>
      </rPr>
      <t>데이터 상태</t>
    </r>
    <r>
      <rPr>
        <rFont val="맑은 고딕"/>
        <color rgb="FF595959"/>
        <sz val="9.0"/>
      </rPr>
      <t xml:space="preserve">: </t>
    </r>
    <r>
      <rPr>
        <rFont val="Noto Sans CJK SC"/>
        <color rgb="FF595959"/>
        <sz val="9.0"/>
      </rPr>
      <t xml:space="preserve">값 있음 </t>
    </r>
    <r>
      <rPr>
        <rFont val="맑은 고딕"/>
        <color rgb="FF595959"/>
        <sz val="9.0"/>
      </rPr>
      <t xml:space="preserve">/ </t>
    </r>
    <r>
      <rPr>
        <rFont val="Noto Sans CJK SC"/>
        <color rgb="FF595959"/>
        <sz val="9.0"/>
      </rPr>
      <t>활동 없음</t>
    </r>
    <r>
      <rPr>
        <rFont val="맑은 고딕"/>
        <color rgb="FF595959"/>
        <sz val="9.0"/>
      </rPr>
      <t>(0</t>
    </r>
    <r>
      <rPr>
        <rFont val="Noto Sans CJK SC"/>
        <color rgb="FF595959"/>
        <sz val="9.0"/>
      </rPr>
      <t>점</t>
    </r>
    <r>
      <rPr>
        <rFont val="맑은 고딕"/>
        <color rgb="FF595959"/>
        <sz val="9.0"/>
      </rPr>
      <t xml:space="preserve">) / </t>
    </r>
    <r>
      <rPr>
        <rFont val="Noto Sans CJK SC"/>
        <color rgb="FF595959"/>
        <sz val="9.0"/>
      </rPr>
      <t>미수집</t>
    </r>
    <r>
      <rPr>
        <rFont val="맑은 고딕"/>
        <color rgb="FF595959"/>
        <sz val="9.0"/>
      </rPr>
      <t>(</t>
    </r>
    <r>
      <rPr>
        <rFont val="Noto Sans CJK SC"/>
        <color rgb="FF595959"/>
        <sz val="9.0"/>
      </rPr>
      <t>계산 제외</t>
    </r>
    <r>
      <rPr>
        <rFont val="맑은 고딕"/>
        <color rgb="FF595959"/>
        <sz val="9.0"/>
      </rPr>
      <t xml:space="preserve">) / </t>
    </r>
    <r>
      <rPr>
        <rFont val="Noto Sans CJK SC"/>
        <color rgb="FF595959"/>
        <sz val="9.0"/>
      </rPr>
      <t>해당 없음</t>
    </r>
    <r>
      <rPr>
        <rFont val="맑은 고딕"/>
        <color rgb="FF595959"/>
        <sz val="9.0"/>
      </rPr>
      <t>(</t>
    </r>
    <r>
      <rPr>
        <rFont val="Noto Sans CJK SC"/>
        <color rgb="FF595959"/>
        <sz val="9.0"/>
      </rPr>
      <t>불이익 없음</t>
    </r>
    <r>
      <rPr>
        <rFont val="맑은 고딕"/>
        <color rgb="FF595959"/>
        <sz val="9.0"/>
      </rPr>
      <t xml:space="preserve">) · </t>
    </r>
    <r>
      <rPr>
        <rFont val="Noto Sans CJK SC"/>
        <color rgb="FF595959"/>
        <sz val="9.0"/>
      </rPr>
      <t xml:space="preserve">상태 미선택 </t>
    </r>
    <r>
      <rPr>
        <rFont val="맑은 고딕"/>
        <color rgb="FF595959"/>
        <sz val="9.0"/>
      </rPr>
      <t xml:space="preserve">= </t>
    </r>
    <r>
      <rPr>
        <rFont val="Noto Sans CJK SC"/>
        <color rgb="FF595959"/>
        <sz val="9.0"/>
      </rPr>
      <t>미수집 간주</t>
    </r>
  </si>
  <si>
    <r>
      <rPr>
        <rFont val="맑은 고딕"/>
        <i/>
        <color rgb="FF7F7F7F"/>
        <sz val="8.0"/>
      </rPr>
      <t xml:space="preserve">YYYY-MM / </t>
    </r>
    <r>
      <rPr>
        <rFont val="Noto Sans CJK SC"/>
        <i/>
        <color rgb="FF7F7F7F"/>
        <sz val="8.0"/>
      </rPr>
      <t>진행중</t>
    </r>
  </si>
  <si>
    <r>
      <rPr>
        <rFont val="Noto Sans CJK SC"/>
        <b/>
        <color rgb="FFFFFFFF"/>
        <sz val="11.0"/>
      </rPr>
      <t xml:space="preserve">■ 학생 기본정보  </t>
    </r>
    <r>
      <rPr>
        <rFont val="맑은 고딕"/>
        <b/>
        <color rgb="FFFFFFFF"/>
        <sz val="11.0"/>
      </rPr>
      <t>(</t>
    </r>
    <r>
      <rPr>
        <rFont val="Noto Sans CJK SC"/>
        <b/>
        <color rgb="FFFFFFFF"/>
        <sz val="11.0"/>
      </rPr>
      <t>학년 보정</t>
    </r>
    <r>
      <rPr>
        <rFont val="맑은 고딕"/>
        <b/>
        <color rgb="FFFFFFFF"/>
        <sz val="11.0"/>
      </rPr>
      <t>·</t>
    </r>
    <r>
      <rPr>
        <rFont val="Noto Sans CJK SC"/>
        <b/>
        <color rgb="FFFFFFFF"/>
        <sz val="11.0"/>
      </rPr>
      <t>학적 구분</t>
    </r>
    <r>
      <rPr>
        <rFont val="맑은 고딕"/>
        <b/>
        <color rgb="FFFFFFFF"/>
        <sz val="11.0"/>
      </rPr>
      <t>·</t>
    </r>
    <r>
      <rPr>
        <rFont val="Noto Sans CJK SC"/>
        <b/>
        <color rgb="FFFFFFFF"/>
        <sz val="11.0"/>
      </rPr>
      <t>전공 특수성 판단에 사용</t>
    </r>
    <r>
      <rPr>
        <rFont val="맑은 고딕"/>
        <b/>
        <color rgb="FFFFFFFF"/>
        <sz val="11.0"/>
      </rPr>
      <t>)</t>
    </r>
  </si>
  <si>
    <r>
      <rPr>
        <rFont val="Noto Sans CJK SC"/>
        <b/>
        <color rgb="FF000000"/>
        <sz val="11.0"/>
      </rPr>
      <t>정보탐색 결과물</t>
    </r>
    <r>
      <rPr>
        <rFont val="맑은 고딕"/>
        <b/>
        <color rgb="FF000000"/>
        <sz val="11.0"/>
      </rPr>
      <t>(</t>
    </r>
    <r>
      <rPr>
        <rFont val="Noto Sans CJK SC"/>
        <b/>
        <color rgb="FF000000"/>
        <sz val="11.0"/>
      </rPr>
      <t>논문</t>
    </r>
    <r>
      <rPr>
        <rFont val="맑은 고딕"/>
        <b/>
        <color rgb="FF000000"/>
        <sz val="11.0"/>
      </rPr>
      <t>·</t>
    </r>
    <r>
      <rPr>
        <rFont val="Noto Sans CJK SC"/>
        <b/>
        <color rgb="FF000000"/>
        <sz val="11.0"/>
      </rPr>
      <t>보고서</t>
    </r>
    <r>
      <rPr>
        <rFont val="맑은 고딕"/>
        <b/>
        <color rgb="FF000000"/>
        <sz val="11.0"/>
      </rPr>
      <t>)</t>
    </r>
  </si>
  <si>
    <r>
      <rPr>
        <rFont val="맑은 고딕"/>
        <i/>
        <color rgb="FF7F7F7F"/>
        <sz val="8.0"/>
      </rPr>
      <t>[</t>
    </r>
    <r>
      <rPr>
        <rFont val="Noto Sans CJK SC"/>
        <i/>
        <color rgb="FF7F7F7F"/>
        <sz val="8.0"/>
      </rPr>
      <t xml:space="preserve">교내 </t>
    </r>
    <r>
      <rPr>
        <rFont val="맑은 고딕"/>
        <i/>
        <color rgb="FF7F7F7F"/>
        <sz val="8.0"/>
      </rPr>
      <t xml:space="preserve">/ </t>
    </r>
    <r>
      <rPr>
        <rFont val="Noto Sans CJK SC"/>
        <i/>
        <color rgb="FF7F7F7F"/>
        <sz val="8.0"/>
      </rPr>
      <t xml:space="preserve">지역 </t>
    </r>
    <r>
      <rPr>
        <rFont val="맑은 고딕"/>
        <i/>
        <color rgb="FF7F7F7F"/>
        <sz val="8.0"/>
      </rPr>
      <t xml:space="preserve">/ </t>
    </r>
    <r>
      <rPr>
        <rFont val="Noto Sans CJK SC"/>
        <i/>
        <color rgb="FF7F7F7F"/>
        <sz val="8.0"/>
      </rPr>
      <t xml:space="preserve">전국 </t>
    </r>
    <r>
      <rPr>
        <rFont val="맑은 고딕"/>
        <i/>
        <color rgb="FF7F7F7F"/>
        <sz val="8.0"/>
      </rPr>
      <t xml:space="preserve">/ </t>
    </r>
    <r>
      <rPr>
        <rFont val="Noto Sans CJK SC"/>
        <i/>
        <color rgb="FF7F7F7F"/>
        <sz val="8.0"/>
      </rPr>
      <t>국제</t>
    </r>
    <r>
      <rPr>
        <rFont val="맑은 고딕"/>
        <i/>
        <color rgb="FF7F7F7F"/>
        <sz val="8.0"/>
      </rPr>
      <t>]</t>
    </r>
  </si>
  <si>
    <r>
      <rPr>
        <rFont val="맑은 고딕"/>
        <i/>
        <color rgb="FF7F7F7F"/>
        <sz val="8.0"/>
      </rPr>
      <t>[</t>
    </r>
    <r>
      <rPr>
        <rFont val="Noto Sans CJK SC"/>
        <i/>
        <color rgb="FF7F7F7F"/>
        <sz val="8.0"/>
      </rPr>
      <t xml:space="preserve">참가 </t>
    </r>
    <r>
      <rPr>
        <rFont val="맑은 고딕"/>
        <i/>
        <color rgb="FF7F7F7F"/>
        <sz val="8.0"/>
      </rPr>
      <t xml:space="preserve">/ </t>
    </r>
    <r>
      <rPr>
        <rFont val="Noto Sans CJK SC"/>
        <i/>
        <color rgb="FF7F7F7F"/>
        <sz val="8.0"/>
      </rPr>
      <t xml:space="preserve">입선 </t>
    </r>
    <r>
      <rPr>
        <rFont val="맑은 고딕"/>
        <i/>
        <color rgb="FF7F7F7F"/>
        <sz val="8.0"/>
      </rPr>
      <t xml:space="preserve">/ </t>
    </r>
    <r>
      <rPr>
        <rFont val="Noto Sans CJK SC"/>
        <i/>
        <color rgb="FF7F7F7F"/>
        <sz val="8.0"/>
      </rPr>
      <t xml:space="preserve">장려 </t>
    </r>
    <r>
      <rPr>
        <rFont val="맑은 고딕"/>
        <i/>
        <color rgb="FF7F7F7F"/>
        <sz val="8.0"/>
      </rPr>
      <t xml:space="preserve">/ </t>
    </r>
    <r>
      <rPr>
        <rFont val="Noto Sans CJK SC"/>
        <i/>
        <color rgb="FF7F7F7F"/>
        <sz val="8.0"/>
      </rPr>
      <t xml:space="preserve">우수 </t>
    </r>
    <r>
      <rPr>
        <rFont val="맑은 고딕"/>
        <i/>
        <color rgb="FF7F7F7F"/>
        <sz val="8.0"/>
      </rPr>
      <t xml:space="preserve">/ </t>
    </r>
    <r>
      <rPr>
        <rFont val="Noto Sans CJK SC"/>
        <i/>
        <color rgb="FF7F7F7F"/>
        <sz val="8.0"/>
      </rPr>
      <t xml:space="preserve">최우수 </t>
    </r>
    <r>
      <rPr>
        <rFont val="맑은 고딕"/>
        <i/>
        <color rgb="FF7F7F7F"/>
        <sz val="8.0"/>
      </rPr>
      <t xml:space="preserve">/ </t>
    </r>
    <r>
      <rPr>
        <rFont val="Noto Sans CJK SC"/>
        <i/>
        <color rgb="FF7F7F7F"/>
        <sz val="8.0"/>
      </rPr>
      <t>대상</t>
    </r>
    <r>
      <rPr>
        <rFont val="맑은 고딕"/>
        <i/>
        <color rgb="FF7F7F7F"/>
        <sz val="8.0"/>
      </rPr>
      <t>]</t>
    </r>
  </si>
  <si>
    <r>
      <rPr>
        <rFont val="맑은 고딕"/>
        <i/>
        <color rgb="FF7F7F7F"/>
        <sz val="8.0"/>
      </rPr>
      <t>[</t>
    </r>
    <r>
      <rPr>
        <rFont val="Noto Sans CJK SC"/>
        <i/>
        <color rgb="FF7F7F7F"/>
        <sz val="8.0"/>
      </rPr>
      <t xml:space="preserve">개인 </t>
    </r>
    <r>
      <rPr>
        <rFont val="맑은 고딕"/>
        <i/>
        <color rgb="FF7F7F7F"/>
        <sz val="8.0"/>
      </rPr>
      <t xml:space="preserve">/ </t>
    </r>
    <r>
      <rPr>
        <rFont val="Noto Sans CJK SC"/>
        <i/>
        <color rgb="FF7F7F7F"/>
        <sz val="8.0"/>
      </rPr>
      <t>팀</t>
    </r>
    <r>
      <rPr>
        <rFont val="맑은 고딕"/>
        <i/>
        <color rgb="FF7F7F7F"/>
        <sz val="8.0"/>
      </rPr>
      <t>]</t>
    </r>
  </si>
  <si>
    <t>대학생 마케팅 아이디어 공모전</t>
  </si>
  <si>
    <r>
      <rPr>
        <rFont val="Noto Sans CJK SC"/>
        <b/>
        <color rgb="FF000000"/>
        <sz val="11.0"/>
      </rPr>
      <t>정보탐색 결과물</t>
    </r>
    <r>
      <rPr>
        <rFont val="맑은 고딕"/>
        <b/>
        <color rgb="FF000000"/>
        <sz val="11.0"/>
      </rPr>
      <t>(</t>
    </r>
    <r>
      <rPr>
        <rFont val="Noto Sans CJK SC"/>
        <b/>
        <color rgb="FF000000"/>
        <sz val="11.0"/>
      </rPr>
      <t>논문</t>
    </r>
    <r>
      <rPr>
        <rFont val="맑은 고딕"/>
        <b/>
        <color rgb="FF000000"/>
        <sz val="11.0"/>
      </rPr>
      <t>·</t>
    </r>
    <r>
      <rPr>
        <rFont val="Noto Sans CJK SC"/>
        <b/>
        <color rgb="FF000000"/>
        <sz val="11.0"/>
      </rPr>
      <t>보고서</t>
    </r>
    <r>
      <rPr>
        <rFont val="맑은 고딕"/>
        <b/>
        <color rgb="FF000000"/>
        <sz val="11.0"/>
      </rPr>
      <t>)</t>
    </r>
  </si>
  <si>
    <r>
      <rPr>
        <rFont val="Noto Sans CJK SC"/>
        <color rgb="FF1F3B8A"/>
        <sz val="10.0"/>
      </rPr>
      <t>광고학회</t>
    </r>
    <r>
      <rPr>
        <rFont val="맑은 고딕"/>
        <color rgb="FF1F3B8A"/>
        <sz val="10.0"/>
      </rPr>
      <t>(</t>
    </r>
    <r>
      <rPr>
        <rFont val="Noto Sans CJK SC"/>
        <color rgb="FF1F3B8A"/>
        <sz val="10.0"/>
      </rPr>
      <t>가상</t>
    </r>
    <r>
      <rPr>
        <rFont val="맑은 고딕"/>
        <color rgb="FF1F3B8A"/>
        <sz val="10.0"/>
      </rPr>
      <t>)</t>
    </r>
  </si>
  <si>
    <r>
      <rPr>
        <rFont val="Noto Sans CJK SC"/>
        <color rgb="FF7F7F7F"/>
        <sz val="9.0"/>
      </rPr>
      <t xml:space="preserve">숫자 </t>
    </r>
    <r>
      <rPr>
        <rFont val="맑은 고딕"/>
        <color rgb="FF7F7F7F"/>
        <sz val="9.0"/>
      </rPr>
      <t>10</t>
    </r>
    <r>
      <rPr>
        <rFont val="Noto Sans CJK SC"/>
        <color rgb="FF7F7F7F"/>
        <sz val="9.0"/>
      </rPr>
      <t>자리</t>
    </r>
    <r>
      <rPr>
        <rFont val="맑은 고딕"/>
        <color rgb="FF7F7F7F"/>
        <sz val="9.0"/>
      </rPr>
      <t>(</t>
    </r>
    <r>
      <rPr>
        <rFont val="Noto Sans CJK SC"/>
        <color rgb="FF7F7F7F"/>
        <sz val="9.0"/>
      </rPr>
      <t>텍스트</t>
    </r>
    <r>
      <rPr>
        <rFont val="맑은 고딕"/>
        <color rgb="FF7F7F7F"/>
        <sz val="9.0"/>
      </rPr>
      <t>)</t>
    </r>
  </si>
  <si>
    <t>자료조사</t>
  </si>
  <si>
    <r>
      <rPr>
        <rFont val="Noto Sans CJK SC"/>
        <i/>
        <color rgb="FF7F7F7F"/>
        <sz val="8.0"/>
      </rPr>
      <t>출처</t>
    </r>
    <r>
      <rPr>
        <rFont val="맑은 고딕"/>
        <i/>
        <color rgb="FF7F7F7F"/>
        <sz val="8.0"/>
      </rPr>
      <t xml:space="preserve">: </t>
    </r>
    <r>
      <rPr>
        <rFont val="Noto Sans CJK SC"/>
        <i/>
        <color rgb="FF7F7F7F"/>
        <sz val="8.0"/>
      </rPr>
      <t>학생 등록</t>
    </r>
    <r>
      <rPr>
        <rFont val="맑은 고딕"/>
        <i/>
        <color rgb="FF7F7F7F"/>
        <sz val="8.0"/>
      </rPr>
      <t>(</t>
    </r>
    <r>
      <rPr>
        <rFont val="Noto Sans CJK SC"/>
        <i/>
        <color rgb="FF7F7F7F"/>
        <sz val="8.0"/>
      </rPr>
      <t>포트폴리오</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자원</t>
    </r>
    <r>
      <rPr>
        <rFont val="맑은 고딕"/>
        <i/>
        <color rgb="FF7F7F7F"/>
        <sz val="8.0"/>
      </rPr>
      <t>·</t>
    </r>
    <r>
      <rPr>
        <rFont val="Noto Sans CJK SC"/>
        <i/>
        <color rgb="FF7F7F7F"/>
        <sz val="8.0"/>
      </rPr>
      <t>정보기술활용</t>
    </r>
    <r>
      <rPr>
        <rFont val="맑은 고딕"/>
        <i/>
        <color rgb="FF7F7F7F"/>
        <sz val="8.0"/>
      </rPr>
      <t>(</t>
    </r>
    <r>
      <rPr>
        <rFont val="Noto Sans CJK SC"/>
        <i/>
        <color rgb="FF7F7F7F"/>
        <sz val="8.0"/>
      </rPr>
      <t>정보탐색</t>
    </r>
    <r>
      <rPr>
        <rFont val="맑은 고딕"/>
        <i/>
        <color rgb="FF7F7F7F"/>
        <sz val="8.0"/>
      </rPr>
      <t xml:space="preserve">) / </t>
    </r>
    <r>
      <rPr>
        <rFont val="Noto Sans CJK SC"/>
        <i/>
        <color rgb="FF7F7F7F"/>
        <sz val="8.0"/>
      </rPr>
      <t xml:space="preserve">논리적사고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게재 수준</t>
    </r>
    <r>
      <rPr>
        <rFont val="맑은 고딕"/>
        <i/>
        <color rgb="FF7F7F7F"/>
        <sz val="8.0"/>
      </rPr>
      <t>(</t>
    </r>
    <r>
      <rPr>
        <rFont val="Noto Sans CJK SC"/>
        <i/>
        <color rgb="FF7F7F7F"/>
        <sz val="8.0"/>
      </rPr>
      <t>학술지</t>
    </r>
    <r>
      <rPr>
        <rFont val="맑은 고딕"/>
        <i/>
        <color rgb="FF7F7F7F"/>
        <sz val="8.0"/>
      </rPr>
      <t>·</t>
    </r>
    <r>
      <rPr>
        <rFont val="Noto Sans CJK SC"/>
        <i/>
        <color rgb="FF7F7F7F"/>
        <sz val="8.0"/>
      </rPr>
      <t>학회</t>
    </r>
    <r>
      <rPr>
        <rFont val="맑은 고딕"/>
        <i/>
        <color rgb="FF7F7F7F"/>
        <sz val="8.0"/>
      </rPr>
      <t>·</t>
    </r>
    <r>
      <rPr>
        <rFont val="Noto Sans CJK SC"/>
        <i/>
        <color rgb="FF7F7F7F"/>
        <sz val="8.0"/>
      </rPr>
      <t>교내</t>
    </r>
    <r>
      <rPr>
        <rFont val="맑은 고딕"/>
        <i/>
        <color rgb="FF7F7F7F"/>
        <sz val="8.0"/>
      </rPr>
      <t xml:space="preserve">) </t>
    </r>
    <r>
      <rPr>
        <rFont val="Noto Sans CJK SC"/>
        <i/>
        <color rgb="FF7F7F7F"/>
        <sz val="8.0"/>
      </rPr>
      <t>구분 기준 필요</t>
    </r>
  </si>
  <si>
    <r>
      <rPr>
        <rFont val="Noto Sans CJK SC"/>
        <color rgb="FF7F7F7F"/>
        <sz val="9.0"/>
      </rPr>
      <t>예</t>
    </r>
    <r>
      <rPr>
        <rFont val="맑은 고딕"/>
        <color rgb="FF7F7F7F"/>
        <sz val="9.0"/>
      </rPr>
      <t xml:space="preserve">: </t>
    </r>
    <r>
      <rPr>
        <rFont val="Noto Sans CJK SC"/>
        <color rgb="FF7F7F7F"/>
        <sz val="9.0"/>
      </rPr>
      <t>공과대학</t>
    </r>
  </si>
  <si>
    <r>
      <rPr>
        <rFont val="Noto Sans CJK SC"/>
        <b/>
        <color rgb="FF000000"/>
        <sz val="9.0"/>
      </rPr>
      <t>발표</t>
    </r>
    <r>
      <rPr>
        <rFont val="맑은 고딕"/>
        <b/>
        <color rgb="FF000000"/>
        <sz val="9.0"/>
      </rPr>
      <t>·</t>
    </r>
    <r>
      <rPr>
        <rFont val="Noto Sans CJK SC"/>
        <b/>
        <color rgb="FF000000"/>
        <sz val="9.0"/>
      </rPr>
      <t>게재 연월</t>
    </r>
  </si>
  <si>
    <r>
      <rPr>
        <rFont val="맑은 고딕"/>
        <i/>
        <color rgb="FF7F7F7F"/>
        <sz val="8.0"/>
      </rPr>
      <t>[</t>
    </r>
    <r>
      <rPr>
        <rFont val="Noto Sans CJK SC"/>
        <i/>
        <color rgb="FF7F7F7F"/>
        <sz val="8.0"/>
      </rPr>
      <t xml:space="preserve">논문 </t>
    </r>
    <r>
      <rPr>
        <rFont val="맑은 고딕"/>
        <i/>
        <color rgb="FF7F7F7F"/>
        <sz val="8.0"/>
      </rPr>
      <t xml:space="preserve">/ </t>
    </r>
    <r>
      <rPr>
        <rFont val="Noto Sans CJK SC"/>
        <i/>
        <color rgb="FF7F7F7F"/>
        <sz val="8.0"/>
      </rPr>
      <t xml:space="preserve">보고서 </t>
    </r>
    <r>
      <rPr>
        <rFont val="맑은 고딕"/>
        <i/>
        <color rgb="FF7F7F7F"/>
        <sz val="8.0"/>
      </rPr>
      <t xml:space="preserve">/ </t>
    </r>
    <r>
      <rPr>
        <rFont val="Noto Sans CJK SC"/>
        <i/>
        <color rgb="FF7F7F7F"/>
        <sz val="8.0"/>
      </rPr>
      <t>학술발표자료</t>
    </r>
    <r>
      <rPr>
        <rFont val="맑은 고딕"/>
        <i/>
        <color rgb="FF7F7F7F"/>
        <sz val="8.0"/>
      </rPr>
      <t>]</t>
    </r>
  </si>
  <si>
    <r>
      <rPr>
        <rFont val="Noto Sans CJK SC"/>
        <b/>
        <color rgb="FF000000"/>
        <sz val="10.0"/>
      </rPr>
      <t>주전공</t>
    </r>
    <r>
      <rPr>
        <rFont val="맑은 고딕"/>
        <b/>
        <color rgb="FF000000"/>
        <sz val="10.0"/>
      </rPr>
      <t>(</t>
    </r>
    <r>
      <rPr>
        <rFont val="Noto Sans CJK SC"/>
        <b/>
        <color rgb="FF000000"/>
        <sz val="10.0"/>
      </rPr>
      <t>학과</t>
    </r>
    <r>
      <rPr>
        <rFont val="맑은 고딕"/>
        <b/>
        <color rgb="FF000000"/>
        <sz val="10.0"/>
      </rPr>
      <t>)</t>
    </r>
  </si>
  <si>
    <t>글로벌경제</t>
  </si>
  <si>
    <r>
      <rPr>
        <rFont val="맑은 고딕"/>
        <i/>
        <color rgb="FF7F7F7F"/>
        <sz val="8.0"/>
      </rPr>
      <t>[</t>
    </r>
    <r>
      <rPr>
        <rFont val="Noto Sans CJK SC"/>
        <i/>
        <color rgb="FF7F7F7F"/>
        <sz val="8.0"/>
      </rPr>
      <t xml:space="preserve">국제학술지 </t>
    </r>
    <r>
      <rPr>
        <rFont val="맑은 고딕"/>
        <i/>
        <color rgb="FF7F7F7F"/>
        <sz val="8.0"/>
      </rPr>
      <t xml:space="preserve">/ </t>
    </r>
    <r>
      <rPr>
        <rFont val="Noto Sans CJK SC"/>
        <i/>
        <color rgb="FF7F7F7F"/>
        <sz val="8.0"/>
      </rPr>
      <t xml:space="preserve">국내학술지 </t>
    </r>
    <r>
      <rPr>
        <rFont val="맑은 고딕"/>
        <i/>
        <color rgb="FF7F7F7F"/>
        <sz val="8.0"/>
      </rPr>
      <t xml:space="preserve">/ </t>
    </r>
    <r>
      <rPr>
        <rFont val="Noto Sans CJK SC"/>
        <i/>
        <color rgb="FF7F7F7F"/>
        <sz val="8.0"/>
      </rPr>
      <t xml:space="preserve">국제학술대회 </t>
    </r>
    <r>
      <rPr>
        <rFont val="맑은 고딕"/>
        <i/>
        <color rgb="FF7F7F7F"/>
        <sz val="8.0"/>
      </rPr>
      <t xml:space="preserve">/ </t>
    </r>
    <r>
      <rPr>
        <rFont val="Noto Sans CJK SC"/>
        <i/>
        <color rgb="FF7F7F7F"/>
        <sz val="8.0"/>
      </rPr>
      <t xml:space="preserve">국내학술대회 </t>
    </r>
    <r>
      <rPr>
        <rFont val="맑은 고딕"/>
        <i/>
        <color rgb="FF7F7F7F"/>
        <sz val="8.0"/>
      </rPr>
      <t xml:space="preserve">/ </t>
    </r>
    <r>
      <rPr>
        <rFont val="Noto Sans CJK SC"/>
        <i/>
        <color rgb="FF7F7F7F"/>
        <sz val="8.0"/>
      </rPr>
      <t>교내</t>
    </r>
    <r>
      <rPr>
        <rFont val="맑은 고딕"/>
        <i/>
        <color rgb="FF7F7F7F"/>
        <sz val="8.0"/>
      </rPr>
      <t>]</t>
    </r>
  </si>
  <si>
    <r>
      <rPr>
        <rFont val="Noto Sans CJK SC"/>
        <color rgb="FF7F7F7F"/>
        <sz val="9.0"/>
      </rPr>
      <t>예</t>
    </r>
    <r>
      <rPr>
        <rFont val="맑은 고딕"/>
        <color rgb="FF7F7F7F"/>
        <sz val="9.0"/>
      </rPr>
      <t xml:space="preserve">: </t>
    </r>
    <r>
      <rPr>
        <rFont val="Noto Sans CJK SC"/>
        <color rgb="FF7F7F7F"/>
        <sz val="9.0"/>
      </rPr>
      <t>기계공학부</t>
    </r>
  </si>
  <si>
    <r>
      <rPr>
        <rFont val="맑은 고딕"/>
        <i/>
        <color rgb="FF7F7F7F"/>
        <sz val="8.0"/>
      </rPr>
      <t>[</t>
    </r>
    <r>
      <rPr>
        <rFont val="Noto Sans CJK SC"/>
        <i/>
        <color rgb="FF7F7F7F"/>
        <sz val="8.0"/>
      </rPr>
      <t xml:space="preserve">게재 </t>
    </r>
    <r>
      <rPr>
        <rFont val="맑은 고딕"/>
        <i/>
        <color rgb="FF7F7F7F"/>
        <sz val="8.0"/>
      </rPr>
      <t xml:space="preserve">/ </t>
    </r>
    <r>
      <rPr>
        <rFont val="Noto Sans CJK SC"/>
        <i/>
        <color rgb="FF7F7F7F"/>
        <sz val="8.0"/>
      </rPr>
      <t xml:space="preserve">게재승인 </t>
    </r>
    <r>
      <rPr>
        <rFont val="맑은 고딕"/>
        <i/>
        <color rgb="FF7F7F7F"/>
        <sz val="8.0"/>
      </rPr>
      <t xml:space="preserve">/ </t>
    </r>
    <r>
      <rPr>
        <rFont val="Noto Sans CJK SC"/>
        <i/>
        <color rgb="FF7F7F7F"/>
        <sz val="8.0"/>
      </rPr>
      <t xml:space="preserve">투고 </t>
    </r>
    <r>
      <rPr>
        <rFont val="맑은 고딕"/>
        <i/>
        <color rgb="FF7F7F7F"/>
        <sz val="8.0"/>
      </rPr>
      <t xml:space="preserve">/ </t>
    </r>
    <r>
      <rPr>
        <rFont val="Noto Sans CJK SC"/>
        <i/>
        <color rgb="FF7F7F7F"/>
        <sz val="8.0"/>
      </rPr>
      <t>작성중</t>
    </r>
    <r>
      <rPr>
        <rFont val="맑은 고딕"/>
        <i/>
        <color rgb="FF7F7F7F"/>
        <sz val="8.0"/>
      </rPr>
      <t>]</t>
    </r>
  </si>
  <si>
    <r>
      <rPr>
        <rFont val="맑은 고딕"/>
        <i/>
        <color rgb="FF7F7F7F"/>
        <sz val="8.0"/>
      </rPr>
      <t>[</t>
    </r>
    <r>
      <rPr>
        <rFont val="Noto Sans CJK SC"/>
        <i/>
        <color rgb="FF7F7F7F"/>
        <sz val="8.0"/>
      </rPr>
      <t xml:space="preserve">단독 </t>
    </r>
    <r>
      <rPr>
        <rFont val="맑은 고딕"/>
        <i/>
        <color rgb="FF7F7F7F"/>
        <sz val="8.0"/>
      </rPr>
      <t xml:space="preserve">/ </t>
    </r>
    <r>
      <rPr>
        <rFont val="Noto Sans CJK SC"/>
        <i/>
        <color rgb="FF7F7F7F"/>
        <sz val="8.0"/>
      </rPr>
      <t>제</t>
    </r>
    <r>
      <rPr>
        <rFont val="맑은 고딕"/>
        <i/>
        <color rgb="FF7F7F7F"/>
        <sz val="8.0"/>
      </rPr>
      <t>1</t>
    </r>
    <r>
      <rPr>
        <rFont val="Noto Sans CJK SC"/>
        <i/>
        <color rgb="FF7F7F7F"/>
        <sz val="8.0"/>
      </rPr>
      <t xml:space="preserve">저자 </t>
    </r>
    <r>
      <rPr>
        <rFont val="맑은 고딕"/>
        <i/>
        <color rgb="FF7F7F7F"/>
        <sz val="8.0"/>
      </rPr>
      <t xml:space="preserve">/ </t>
    </r>
    <r>
      <rPr>
        <rFont val="Noto Sans CJK SC"/>
        <i/>
        <color rgb="FF7F7F7F"/>
        <sz val="8.0"/>
      </rPr>
      <t>공동저자</t>
    </r>
    <r>
      <rPr>
        <rFont val="맑은 고딕"/>
        <i/>
        <color rgb="FF7F7F7F"/>
        <sz val="8.0"/>
      </rPr>
      <t>]</t>
    </r>
  </si>
  <si>
    <r>
      <rPr>
        <rFont val="맑은 고딕"/>
        <color rgb="FF1F3B8A"/>
        <sz val="10.0"/>
      </rPr>
      <t>2</t>
    </r>
    <r>
      <rPr>
        <rFont val="Noto Sans CJK SC"/>
        <color rgb="FF1F3B8A"/>
        <sz val="10.0"/>
      </rPr>
      <t>학년</t>
    </r>
  </si>
  <si>
    <r>
      <rPr>
        <rFont val="Noto Sans CJK SC"/>
        <color rgb="FF7F7F7F"/>
        <sz val="9.0"/>
      </rPr>
      <t xml:space="preserve">숫자 </t>
    </r>
    <r>
      <rPr>
        <rFont val="맑은 고딕"/>
        <color rgb="FF7F7F7F"/>
        <sz val="9.0"/>
      </rPr>
      <t>1~6</t>
    </r>
  </si>
  <si>
    <r>
      <rPr>
        <rFont val="Noto Sans CJK SC"/>
        <color rgb="FF7F7F7F"/>
        <sz val="9.0"/>
      </rPr>
      <t>학사시스템 기준 현재 학년</t>
    </r>
    <r>
      <rPr>
        <rFont val="맑은 고딕"/>
        <color rgb="FF7F7F7F"/>
        <sz val="9.0"/>
      </rPr>
      <t>(</t>
    </r>
    <r>
      <rPr>
        <rFont val="Noto Sans CJK SC"/>
        <color rgb="FF7F7F7F"/>
        <sz val="9.0"/>
      </rPr>
      <t>숫자만</t>
    </r>
    <r>
      <rPr>
        <rFont val="맑은 고딕"/>
        <color rgb="FF7F7F7F"/>
        <sz val="9.0"/>
      </rPr>
      <t>)</t>
    </r>
  </si>
  <si>
    <r>
      <rPr>
        <rFont val="Noto Sans CJK SC"/>
        <i/>
        <color rgb="FF7F7F7F"/>
        <sz val="8.0"/>
      </rPr>
      <t>출처</t>
    </r>
    <r>
      <rPr>
        <rFont val="맑은 고딕"/>
        <i/>
        <color rgb="FF7F7F7F"/>
        <sz val="8.0"/>
      </rPr>
      <t xml:space="preserve">: </t>
    </r>
    <r>
      <rPr>
        <rFont val="Noto Sans CJK SC"/>
        <i/>
        <color rgb="FF7F7F7F"/>
        <sz val="8.0"/>
      </rPr>
      <t>학생 등록</t>
    </r>
    <r>
      <rPr>
        <rFont val="맑은 고딕"/>
        <i/>
        <color rgb="FF7F7F7F"/>
        <sz val="8.0"/>
      </rPr>
      <t>(</t>
    </r>
    <r>
      <rPr>
        <rFont val="Noto Sans CJK SC"/>
        <i/>
        <color rgb="FF7F7F7F"/>
        <sz val="8.0"/>
      </rPr>
      <t>포트폴리오</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자원</t>
    </r>
    <r>
      <rPr>
        <rFont val="맑은 고딕"/>
        <i/>
        <color rgb="FF7F7F7F"/>
        <sz val="8.0"/>
      </rPr>
      <t>·</t>
    </r>
    <r>
      <rPr>
        <rFont val="Noto Sans CJK SC"/>
        <i/>
        <color rgb="FF7F7F7F"/>
        <sz val="8.0"/>
      </rPr>
      <t>정보기술활용</t>
    </r>
    <r>
      <rPr>
        <rFont val="맑은 고딕"/>
        <i/>
        <color rgb="FF7F7F7F"/>
        <sz val="8.0"/>
      </rPr>
      <t>(</t>
    </r>
    <r>
      <rPr>
        <rFont val="Noto Sans CJK SC"/>
        <i/>
        <color rgb="FF7F7F7F"/>
        <sz val="8.0"/>
      </rPr>
      <t>정보탐색</t>
    </r>
    <r>
      <rPr>
        <rFont val="맑은 고딕"/>
        <i/>
        <color rgb="FF7F7F7F"/>
        <sz val="8.0"/>
      </rPr>
      <t xml:space="preserve">) / </t>
    </r>
    <r>
      <rPr>
        <rFont val="Noto Sans CJK SC"/>
        <i/>
        <color rgb="FF7F7F7F"/>
        <sz val="8.0"/>
      </rPr>
      <t xml:space="preserve">논리적사고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게재 수준</t>
    </r>
    <r>
      <rPr>
        <rFont val="맑은 고딕"/>
        <i/>
        <color rgb="FF7F7F7F"/>
        <sz val="8.0"/>
      </rPr>
      <t>(</t>
    </r>
    <r>
      <rPr>
        <rFont val="Noto Sans CJK SC"/>
        <i/>
        <color rgb="FF7F7F7F"/>
        <sz val="8.0"/>
      </rPr>
      <t>학술지</t>
    </r>
    <r>
      <rPr>
        <rFont val="맑은 고딕"/>
        <i/>
        <color rgb="FF7F7F7F"/>
        <sz val="8.0"/>
      </rPr>
      <t>·</t>
    </r>
    <r>
      <rPr>
        <rFont val="Noto Sans CJK SC"/>
        <i/>
        <color rgb="FF7F7F7F"/>
        <sz val="8.0"/>
      </rPr>
      <t>학회</t>
    </r>
    <r>
      <rPr>
        <rFont val="맑은 고딕"/>
        <i/>
        <color rgb="FF7F7F7F"/>
        <sz val="8.0"/>
      </rPr>
      <t>·</t>
    </r>
    <r>
      <rPr>
        <rFont val="Noto Sans CJK SC"/>
        <i/>
        <color rgb="FF7F7F7F"/>
        <sz val="8.0"/>
      </rPr>
      <t>교내</t>
    </r>
    <r>
      <rPr>
        <rFont val="맑은 고딕"/>
        <i/>
        <color rgb="FF7F7F7F"/>
        <sz val="8.0"/>
      </rPr>
      <t xml:space="preserve">) </t>
    </r>
    <r>
      <rPr>
        <rFont val="Noto Sans CJK SC"/>
        <i/>
        <color rgb="FF7F7F7F"/>
        <sz val="8.0"/>
      </rPr>
      <t>구분 기준 필요</t>
    </r>
  </si>
  <si>
    <t>2</t>
  </si>
  <si>
    <r>
      <rPr>
        <rFont val="맑은 고딕"/>
        <b/>
        <color rgb="FF000000"/>
        <sz val="11.0"/>
      </rPr>
      <t xml:space="preserve">TA </t>
    </r>
    <r>
      <rPr>
        <rFont val="Noto Sans CJK SC"/>
        <b/>
        <color rgb="FF000000"/>
        <sz val="11.0"/>
      </rPr>
      <t>활동</t>
    </r>
  </si>
  <si>
    <r>
      <rPr>
        <rFont val="Noto Sans CJK SC"/>
        <color rgb="FF7F7F7F"/>
        <sz val="9.0"/>
      </rPr>
      <t>휴학 학기 제외</t>
    </r>
    <r>
      <rPr>
        <rFont val="맑은 고딕"/>
        <color rgb="FF7F7F7F"/>
        <sz val="9.0"/>
      </rPr>
      <t xml:space="preserve">, </t>
    </r>
    <r>
      <rPr>
        <rFont val="Noto Sans CJK SC"/>
        <color rgb="FF7F7F7F"/>
        <sz val="9.0"/>
      </rPr>
      <t>본교 기준</t>
    </r>
    <r>
      <rPr>
        <rFont val="맑은 고딕"/>
        <color rgb="FF7F7F7F"/>
        <sz val="9.0"/>
      </rPr>
      <t xml:space="preserve">. </t>
    </r>
    <r>
      <rPr>
        <rFont val="Noto Sans CJK SC"/>
        <color rgb="FF7F7F7F"/>
        <sz val="9.0"/>
      </rPr>
      <t>학년 보정에 사용</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</si>
  <si>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xml:space="preserve">· </t>
    </r>
    <r>
      <rPr>
        <rFont val="Noto Sans CJK SC"/>
        <i/>
        <color rgb="FF7F7F7F"/>
        <sz val="8.0"/>
      </rPr>
      <t xml:space="preserve">창업지원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창의 </t>
    </r>
    <r>
      <rPr>
        <rFont val="맑은 고딕"/>
        <i/>
        <color rgb="FF7F7F7F"/>
        <sz val="8.0"/>
      </rPr>
      <t xml:space="preserve">/ </t>
    </r>
    <r>
      <rPr>
        <rFont val="Noto Sans CJK SC"/>
        <i/>
        <color rgb="FF7F7F7F"/>
        <sz val="8.0"/>
      </rPr>
      <t>도전정신</t>
    </r>
  </si>
  <si>
    <r>
      <rPr>
        <rFont val="Noto Sans CJK SC"/>
        <b/>
        <color rgb="FF000000"/>
        <sz val="9.0"/>
      </rPr>
      <t>명칭</t>
    </r>
    <r>
      <rPr>
        <rFont val="맑은 고딕"/>
        <b/>
        <color rgb="FF000000"/>
        <sz val="9.0"/>
      </rPr>
      <t>·</t>
    </r>
    <r>
      <rPr>
        <rFont val="Noto Sans CJK SC"/>
        <b/>
        <color rgb="FF000000"/>
        <sz val="9.0"/>
      </rPr>
      <t>내용</t>
    </r>
  </si>
  <si>
    <t>25.03</t>
  </si>
  <si>
    <r>
      <rPr>
        <rFont val="맑은 고딕"/>
        <i/>
        <color rgb="FF7F7F7F"/>
        <sz val="8.0"/>
      </rPr>
      <t>[</t>
    </r>
    <r>
      <rPr>
        <rFont val="Noto Sans CJK SC"/>
        <i/>
        <color rgb="FF7F7F7F"/>
        <sz val="8.0"/>
      </rPr>
      <t xml:space="preserve">창업교과목 </t>
    </r>
    <r>
      <rPr>
        <rFont val="맑은 고딕"/>
        <i/>
        <color rgb="FF7F7F7F"/>
        <sz val="8.0"/>
      </rPr>
      <t xml:space="preserve">/ </t>
    </r>
    <r>
      <rPr>
        <rFont val="Noto Sans CJK SC"/>
        <i/>
        <color rgb="FF7F7F7F"/>
        <sz val="8.0"/>
      </rPr>
      <t xml:space="preserve">창업경진대회 </t>
    </r>
    <r>
      <rPr>
        <rFont val="맑은 고딕"/>
        <i/>
        <color rgb="FF7F7F7F"/>
        <sz val="8.0"/>
      </rPr>
      <t xml:space="preserve">/ </t>
    </r>
    <r>
      <rPr>
        <rFont val="Noto Sans CJK SC"/>
        <i/>
        <color rgb="FF7F7F7F"/>
        <sz val="8.0"/>
      </rPr>
      <t xml:space="preserve">사업자등록 </t>
    </r>
    <r>
      <rPr>
        <rFont val="맑은 고딕"/>
        <i/>
        <color rgb="FF7F7F7F"/>
        <sz val="8.0"/>
      </rPr>
      <t xml:space="preserve">/ </t>
    </r>
    <r>
      <rPr>
        <rFont val="Noto Sans CJK SC"/>
        <i/>
        <color rgb="FF7F7F7F"/>
        <sz val="8.0"/>
      </rPr>
      <t>창업동아리</t>
    </r>
    <r>
      <rPr>
        <rFont val="맑은 고딕"/>
        <i/>
        <color rgb="FF7F7F7F"/>
        <sz val="8.0"/>
      </rPr>
      <t>]</t>
    </r>
  </si>
  <si>
    <r>
      <rPr>
        <rFont val="Noto Sans CJK SC"/>
        <color rgb="FF7F7F7F"/>
        <sz val="9.0"/>
      </rPr>
      <t>예</t>
    </r>
    <r>
      <rPr>
        <rFont val="맑은 고딕"/>
        <color rgb="FF7F7F7F"/>
        <sz val="9.0"/>
      </rPr>
      <t>: 2023-03</t>
    </r>
  </si>
  <si>
    <r>
      <rPr>
        <rFont val="Noto Sans CJK SC"/>
        <b/>
        <color rgb="FF000000"/>
        <sz val="11.0"/>
      </rPr>
      <t>특허출원</t>
    </r>
    <r>
      <rPr>
        <rFont val="맑은 고딕"/>
        <b/>
        <color rgb="FF000000"/>
        <sz val="11.0"/>
      </rPr>
      <t xml:space="preserve">·SW </t>
    </r>
    <r>
      <rPr>
        <rFont val="Noto Sans CJK SC"/>
        <b/>
        <color rgb="FF000000"/>
        <sz val="11.0"/>
      </rPr>
      <t>등록</t>
    </r>
  </si>
  <si>
    <r>
      <rPr>
        <rFont val="맑은 고딕"/>
        <color rgb="FF7F7F7F"/>
        <sz val="9.0"/>
      </rPr>
      <t>N</t>
    </r>
    <r>
      <rPr>
        <rFont val="Noto Sans CJK SC"/>
        <color rgb="FF7F7F7F"/>
        <sz val="9.0"/>
      </rPr>
      <t xml:space="preserve">이면 </t>
    </r>
    <r>
      <rPr>
        <rFont val="맑은 고딕"/>
        <color rgb="FF7F7F7F"/>
        <sz val="9.0"/>
      </rPr>
      <t>4</t>
    </r>
    <r>
      <rPr>
        <rFont val="Noto Sans CJK SC"/>
        <color rgb="FF7F7F7F"/>
        <sz val="9.0"/>
      </rPr>
      <t xml:space="preserve">번 카테고리는 </t>
    </r>
    <r>
      <rPr>
        <rFont val="맑은 고딕"/>
        <color rgb="FF7F7F7F"/>
        <sz val="9.0"/>
      </rPr>
      <t>'</t>
    </r>
    <r>
      <rPr>
        <rFont val="Noto Sans CJK SC"/>
        <color rgb="FF7F7F7F"/>
        <sz val="9.0"/>
      </rPr>
      <t>해당 없음</t>
    </r>
    <r>
      <rPr>
        <rFont val="맑은 고딕"/>
        <color rgb="FF7F7F7F"/>
        <sz val="9.0"/>
      </rPr>
      <t>'</t>
    </r>
  </si>
  <si>
    <t>2026/10/1</t>
  </si>
  <si>
    <r>
      <rPr>
        <rFont val="Noto Sans CJK SC"/>
        <color rgb="FF7F7F7F"/>
        <sz val="9.0"/>
      </rPr>
      <t>데이터 추출</t>
    </r>
    <r>
      <rPr>
        <rFont val="맑은 고딕"/>
        <color rgb="FF7F7F7F"/>
        <sz val="9.0"/>
      </rPr>
      <t>(</t>
    </r>
    <r>
      <rPr>
        <rFont val="Noto Sans CJK SC"/>
        <color rgb="FF7F7F7F"/>
        <sz val="9.0"/>
      </rPr>
      <t>또는 제출</t>
    </r>
    <r>
      <rPr>
        <rFont val="맑은 고딕"/>
        <color rgb="FF7F7F7F"/>
        <sz val="9.0"/>
      </rPr>
      <t xml:space="preserve">) </t>
    </r>
    <r>
      <rPr>
        <rFont val="Noto Sans CJK SC"/>
        <color rgb="FF7F7F7F"/>
        <sz val="9.0"/>
      </rPr>
      <t>기준일</t>
    </r>
  </si>
  <si>
    <t>학생 직접 입력</t>
  </si>
  <si>
    <r>
      <rPr>
        <rFont val="Noto Sans CJK SC"/>
        <b/>
        <color rgb="FF000000"/>
        <sz val="10.0"/>
      </rPr>
      <t>개인정보 수집</t>
    </r>
    <r>
      <rPr>
        <rFont val="맑은 고딕"/>
        <b/>
        <color rgb="FF000000"/>
        <sz val="10.0"/>
      </rPr>
      <t>·</t>
    </r>
    <r>
      <rPr>
        <rFont val="Noto Sans CJK SC"/>
        <b/>
        <color rgb="FF000000"/>
        <sz val="10.0"/>
      </rPr>
      <t>이용 동의</t>
    </r>
  </si>
  <si>
    <r>
      <rPr>
        <rFont val="맑은 고딕"/>
        <color rgb="FF7F7F7F"/>
        <sz val="9.0"/>
      </rPr>
      <t>N</t>
    </r>
    <r>
      <rPr>
        <rFont val="Noto Sans CJK SC"/>
        <color rgb="FF7F7F7F"/>
        <sz val="9.0"/>
      </rPr>
      <t>이면 평가 대상에서 제외</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</si>
  <si>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xml:space="preserve">· </t>
    </r>
    <r>
      <rPr>
        <rFont val="Noto Sans CJK SC"/>
        <i/>
        <color rgb="FF7F7F7F"/>
        <sz val="8.0"/>
      </rPr>
      <t xml:space="preserve">교수학습센터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 xml:space="preserve">커뮤니케이션 </t>
    </r>
    <r>
      <rPr>
        <rFont val="맑은 고딕"/>
        <i/>
        <color rgb="FF7F7F7F"/>
        <sz val="8.0"/>
      </rPr>
      <t xml:space="preserve">/ </t>
    </r>
    <r>
      <rPr>
        <rFont val="Noto Sans CJK SC"/>
        <i/>
        <color rgb="FF7F7F7F"/>
        <sz val="8.0"/>
      </rPr>
      <t xml:space="preserve">책임감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기존 데이터셋에 없는 신규 근거</t>
    </r>
  </si>
  <si>
    <r>
      <rPr>
        <rFont val="Noto Sans CJK SC"/>
        <b/>
        <color rgb="FFFFFFFF"/>
        <sz val="11.0"/>
      </rPr>
      <t>■ 학업</t>
    </r>
    <r>
      <rPr>
        <rFont val="맑은 고딕"/>
        <b/>
        <color rgb="FFFFFFFF"/>
        <sz val="11.0"/>
      </rPr>
      <t>·</t>
    </r>
    <r>
      <rPr>
        <rFont val="Noto Sans CJK SC"/>
        <b/>
        <color rgb="FFFFFFFF"/>
        <sz val="11.0"/>
      </rPr>
      <t>교과</t>
    </r>
  </si>
  <si>
    <r>
      <rPr>
        <rFont val="Noto Sans CJK SC"/>
        <b/>
        <color rgb="FF000000"/>
        <sz val="9.0"/>
      </rPr>
      <t>발표</t>
    </r>
    <r>
      <rPr>
        <rFont val="맑은 고딕"/>
        <b/>
        <color rgb="FF000000"/>
        <sz val="9.0"/>
      </rPr>
      <t>·</t>
    </r>
    <r>
      <rPr>
        <rFont val="Noto Sans CJK SC"/>
        <b/>
        <color rgb="FF000000"/>
        <sz val="9.0"/>
      </rPr>
      <t>게재 연월</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</si>
  <si>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</si>
  <si>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Noto Sans CJK SC"/>
        <b/>
        <color rgb="FF000000"/>
        <sz val="11.0"/>
      </rPr>
      <t>성적데이터</t>
    </r>
    <r>
      <rPr>
        <rFont val="맑은 고딕"/>
        <b/>
        <color rgb="FF000000"/>
        <sz val="11.0"/>
      </rPr>
      <t>(</t>
    </r>
    <r>
      <rPr>
        <rFont val="Noto Sans CJK SC"/>
        <b/>
        <color rgb="FF000000"/>
        <sz val="11.0"/>
      </rPr>
      <t>전공</t>
    </r>
    <r>
      <rPr>
        <rFont val="맑은 고딕"/>
        <b/>
        <color rgb="FF000000"/>
        <sz val="11.0"/>
      </rPr>
      <t>·</t>
    </r>
    <r>
      <rPr>
        <rFont val="Noto Sans CJK SC"/>
        <b/>
        <color rgb="FF000000"/>
        <sz val="11.0"/>
      </rPr>
      <t>학기별</t>
    </r>
    <r>
      <rPr>
        <rFont val="맑은 고딕"/>
        <b/>
        <color rgb="FF000000"/>
        <sz val="11.0"/>
      </rPr>
      <t>)</t>
    </r>
  </si>
  <si>
    <r>
      <rPr>
        <rFont val="맑은 고딕"/>
        <i/>
        <color rgb="FF7F7F7F"/>
        <sz val="8.0"/>
      </rPr>
      <t>YYYY-1 / YYYY-2 / YYYY-</t>
    </r>
    <r>
      <rPr>
        <rFont val="Noto Sans CJK SC"/>
        <i/>
        <color rgb="FF7F7F7F"/>
        <sz val="8.0"/>
      </rPr>
      <t xml:space="preserve">여름 </t>
    </r>
    <r>
      <rPr>
        <rFont val="맑은 고딕"/>
        <i/>
        <color rgb="FF7F7F7F"/>
        <sz val="8.0"/>
      </rPr>
      <t>/ YYYY-</t>
    </r>
    <r>
      <rPr>
        <rFont val="Noto Sans CJK SC"/>
        <i/>
        <color rgb="FF7F7F7F"/>
        <sz val="8.0"/>
      </rPr>
      <t>겨울</t>
    </r>
  </si>
  <si>
    <r>
      <rPr>
        <rFont val="맑은 고딕"/>
        <i/>
        <color rgb="FF7F7F7F"/>
        <sz val="8.0"/>
      </rPr>
      <t>[</t>
    </r>
    <r>
      <rPr>
        <rFont val="Noto Sans CJK SC"/>
        <i/>
        <color rgb="FF7F7F7F"/>
        <sz val="8.0"/>
      </rPr>
      <t xml:space="preserve">논문 </t>
    </r>
    <r>
      <rPr>
        <rFont val="맑은 고딕"/>
        <i/>
        <color rgb="FF7F7F7F"/>
        <sz val="8.0"/>
      </rPr>
      <t xml:space="preserve">/ </t>
    </r>
    <r>
      <rPr>
        <rFont val="Noto Sans CJK SC"/>
        <i/>
        <color rgb="FF7F7F7F"/>
        <sz val="8.0"/>
      </rPr>
      <t xml:space="preserve">보고서 </t>
    </r>
    <r>
      <rPr>
        <rFont val="맑은 고딕"/>
        <i/>
        <color rgb="FF7F7F7F"/>
        <sz val="8.0"/>
      </rPr>
      <t xml:space="preserve">/ </t>
    </r>
    <r>
      <rPr>
        <rFont val="Noto Sans CJK SC"/>
        <i/>
        <color rgb="FF7F7F7F"/>
        <sz val="8.0"/>
      </rPr>
      <t>학술발표자료</t>
    </r>
    <r>
      <rPr>
        <rFont val="맑은 고딕"/>
        <i/>
        <color rgb="FF7F7F7F"/>
        <sz val="8.0"/>
      </rPr>
      <t>]</t>
    </r>
  </si>
  <si>
    <r>
      <rPr>
        <rFont val="Noto Sans CJK SC"/>
        <i/>
        <color rgb="FF7F7F7F"/>
        <sz val="8.0"/>
      </rPr>
      <t>출처</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 xml:space="preserve">) </t>
    </r>
    <r>
      <rPr>
        <rFont val="Noto Sans CJK SC"/>
        <i/>
        <color rgb="FF7F7F7F"/>
        <sz val="8.0"/>
      </rPr>
      <t xml:space="preserve">인증 </t>
    </r>
    <r>
      <rPr>
        <rFont val="맑은 고딕"/>
        <i/>
        <color rgb="FF7F7F7F"/>
        <sz val="8.0"/>
      </rPr>
      <t xml:space="preserve">· </t>
    </r>
    <r>
      <rPr>
        <rFont val="Noto Sans CJK SC"/>
        <i/>
        <color rgb="FF7F7F7F"/>
        <sz val="8.0"/>
      </rPr>
      <t xml:space="preserve">학생 등록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창의 </t>
    </r>
    <r>
      <rPr>
        <rFont val="맑은 고딕"/>
        <i/>
        <color rgb="FF7F7F7F"/>
        <sz val="8.0"/>
      </rPr>
      <t xml:space="preserve">/ </t>
    </r>
    <r>
      <rPr>
        <rFont val="Noto Sans CJK SC"/>
        <i/>
        <color rgb="FF7F7F7F"/>
        <sz val="8.0"/>
      </rPr>
      <t xml:space="preserve">도전정신 </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기존 데이터셋에 없는 신규 근거</t>
    </r>
  </si>
  <si>
    <r>
      <rPr>
        <rFont val="맑은 고딕"/>
        <i/>
        <color rgb="FF7F7F7F"/>
        <sz val="8.0"/>
      </rPr>
      <t>[</t>
    </r>
    <r>
      <rPr>
        <rFont val="Noto Sans CJK SC"/>
        <i/>
        <color rgb="FF7F7F7F"/>
        <sz val="8.0"/>
      </rPr>
      <t xml:space="preserve">국제학술지 </t>
    </r>
    <r>
      <rPr>
        <rFont val="맑은 고딕"/>
        <i/>
        <color rgb="FF7F7F7F"/>
        <sz val="8.0"/>
      </rPr>
      <t xml:space="preserve">/ </t>
    </r>
    <r>
      <rPr>
        <rFont val="Noto Sans CJK SC"/>
        <i/>
        <color rgb="FF7F7F7F"/>
        <sz val="8.0"/>
      </rPr>
      <t xml:space="preserve">국내학술지 </t>
    </r>
    <r>
      <rPr>
        <rFont val="맑은 고딕"/>
        <i/>
        <color rgb="FF7F7F7F"/>
        <sz val="8.0"/>
      </rPr>
      <t xml:space="preserve">/ </t>
    </r>
    <r>
      <rPr>
        <rFont val="Noto Sans CJK SC"/>
        <i/>
        <color rgb="FF7F7F7F"/>
        <sz val="8.0"/>
      </rPr>
      <t xml:space="preserve">국제학술대회 </t>
    </r>
    <r>
      <rPr>
        <rFont val="맑은 고딕"/>
        <i/>
        <color rgb="FF7F7F7F"/>
        <sz val="8.0"/>
      </rPr>
      <t xml:space="preserve">/ </t>
    </r>
    <r>
      <rPr>
        <rFont val="Noto Sans CJK SC"/>
        <i/>
        <color rgb="FF7F7F7F"/>
        <sz val="8.0"/>
      </rPr>
      <t xml:space="preserve">국내학술대회 </t>
    </r>
    <r>
      <rPr>
        <rFont val="맑은 고딕"/>
        <i/>
        <color rgb="FF7F7F7F"/>
        <sz val="8.0"/>
      </rPr>
      <t xml:space="preserve">/ </t>
    </r>
    <r>
      <rPr>
        <rFont val="Noto Sans CJK SC"/>
        <i/>
        <color rgb="FF7F7F7F"/>
        <sz val="8.0"/>
      </rPr>
      <t>교내</t>
    </r>
    <r>
      <rPr>
        <rFont val="맑은 고딕"/>
        <i/>
        <color rgb="FF7F7F7F"/>
        <sz val="8.0"/>
      </rPr>
      <t>]</t>
    </r>
  </si>
  <si>
    <r>
      <rPr>
        <rFont val="Noto Sans CJK SC"/>
        <b/>
        <color rgb="FF000000"/>
        <sz val="9.0"/>
      </rPr>
      <t>출원</t>
    </r>
    <r>
      <rPr>
        <rFont val="맑은 고딕"/>
        <b/>
        <color rgb="FF000000"/>
        <sz val="9.0"/>
      </rPr>
      <t>·</t>
    </r>
    <r>
      <rPr>
        <rFont val="Noto Sans CJK SC"/>
        <b/>
        <color rgb="FF000000"/>
        <sz val="9.0"/>
      </rPr>
      <t>등록번호</t>
    </r>
  </si>
  <si>
    <r>
      <rPr>
        <rFont val="맑은 고딕"/>
        <i/>
        <color rgb="FF7F7F7F"/>
        <sz val="8.0"/>
      </rPr>
      <t>[</t>
    </r>
    <r>
      <rPr>
        <rFont val="Noto Sans CJK SC"/>
        <i/>
        <color rgb="FF7F7F7F"/>
        <sz val="8.0"/>
      </rPr>
      <t xml:space="preserve">게재 </t>
    </r>
    <r>
      <rPr>
        <rFont val="맑은 고딕"/>
        <i/>
        <color rgb="FF7F7F7F"/>
        <sz val="8.0"/>
      </rPr>
      <t xml:space="preserve">/ </t>
    </r>
    <r>
      <rPr>
        <rFont val="Noto Sans CJK SC"/>
        <i/>
        <color rgb="FF7F7F7F"/>
        <sz val="8.0"/>
      </rPr>
      <t xml:space="preserve">게재승인 </t>
    </r>
    <r>
      <rPr>
        <rFont val="맑은 고딕"/>
        <i/>
        <color rgb="FF7F7F7F"/>
        <sz val="8.0"/>
      </rPr>
      <t xml:space="preserve">/ </t>
    </r>
    <r>
      <rPr>
        <rFont val="Noto Sans CJK SC"/>
        <i/>
        <color rgb="FF7F7F7F"/>
        <sz val="8.0"/>
      </rPr>
      <t xml:space="preserve">투고 </t>
    </r>
    <r>
      <rPr>
        <rFont val="맑은 고딕"/>
        <i/>
        <color rgb="FF7F7F7F"/>
        <sz val="8.0"/>
      </rPr>
      <t xml:space="preserve">/ </t>
    </r>
    <r>
      <rPr>
        <rFont val="Noto Sans CJK SC"/>
        <i/>
        <color rgb="FF7F7F7F"/>
        <sz val="8.0"/>
      </rPr>
      <t>작성중</t>
    </r>
    <r>
      <rPr>
        <rFont val="맑은 고딕"/>
        <i/>
        <color rgb="FF7F7F7F"/>
        <sz val="8.0"/>
      </rPr>
      <t>]</t>
    </r>
  </si>
  <si>
    <r>
      <rPr>
        <rFont val="Noto Sans CJK SC"/>
        <b/>
        <color rgb="FFFFFFFF"/>
        <sz val="11.0"/>
      </rPr>
      <t>■ 실무</t>
    </r>
    <r>
      <rPr>
        <rFont val="맑은 고딕"/>
        <b/>
        <color rgb="FFFFFFFF"/>
        <sz val="11.0"/>
      </rPr>
      <t>·</t>
    </r>
    <r>
      <rPr>
        <rFont val="Noto Sans CJK SC"/>
        <b/>
        <color rgb="FFFFFFFF"/>
        <sz val="11.0"/>
      </rPr>
      <t>진로</t>
    </r>
  </si>
  <si>
    <r>
      <rPr>
        <rFont val="맑은 고딕"/>
        <i/>
        <color rgb="FF7F7F7F"/>
        <sz val="8.0"/>
      </rPr>
      <t>[</t>
    </r>
    <r>
      <rPr>
        <rFont val="Noto Sans CJK SC"/>
        <i/>
        <color rgb="FF7F7F7F"/>
        <sz val="8.0"/>
      </rPr>
      <t xml:space="preserve">단독 </t>
    </r>
    <r>
      <rPr>
        <rFont val="맑은 고딕"/>
        <i/>
        <color rgb="FF7F7F7F"/>
        <sz val="8.0"/>
      </rPr>
      <t xml:space="preserve">/ </t>
    </r>
    <r>
      <rPr>
        <rFont val="Noto Sans CJK SC"/>
        <i/>
        <color rgb="FF7F7F7F"/>
        <sz val="8.0"/>
      </rPr>
      <t>제</t>
    </r>
    <r>
      <rPr>
        <rFont val="맑은 고딕"/>
        <i/>
        <color rgb="FF7F7F7F"/>
        <sz val="8.0"/>
      </rPr>
      <t>1</t>
    </r>
    <r>
      <rPr>
        <rFont val="Noto Sans CJK SC"/>
        <i/>
        <color rgb="FF7F7F7F"/>
        <sz val="8.0"/>
      </rPr>
      <t xml:space="preserve">저자 </t>
    </r>
    <r>
      <rPr>
        <rFont val="맑은 고딕"/>
        <i/>
        <color rgb="FF7F7F7F"/>
        <sz val="8.0"/>
      </rPr>
      <t xml:space="preserve">/ </t>
    </r>
    <r>
      <rPr>
        <rFont val="Noto Sans CJK SC"/>
        <i/>
        <color rgb="FF7F7F7F"/>
        <sz val="8.0"/>
      </rPr>
      <t>공동저자</t>
    </r>
    <r>
      <rPr>
        <rFont val="맑은 고딕"/>
        <i/>
        <color rgb="FF7F7F7F"/>
        <sz val="8.0"/>
      </rPr>
      <t>]</t>
    </r>
  </si>
  <si>
    <r>
      <rPr>
        <rFont val="맑은 고딕"/>
        <i/>
        <color rgb="FF7F7F7F"/>
        <sz val="8.0"/>
      </rPr>
      <t>[</t>
    </r>
    <r>
      <rPr>
        <rFont val="Noto Sans CJK SC"/>
        <i/>
        <color rgb="FF7F7F7F"/>
        <sz val="8.0"/>
      </rPr>
      <t xml:space="preserve">특허 </t>
    </r>
    <r>
      <rPr>
        <rFont val="맑은 고딕"/>
        <i/>
        <color rgb="FF7F7F7F"/>
        <sz val="8.0"/>
      </rPr>
      <t xml:space="preserve">/ </t>
    </r>
    <r>
      <rPr>
        <rFont val="Noto Sans CJK SC"/>
        <i/>
        <color rgb="FF7F7F7F"/>
        <sz val="8.0"/>
      </rPr>
      <t xml:space="preserve">실용신안 </t>
    </r>
    <r>
      <rPr>
        <rFont val="맑은 고딕"/>
        <i/>
        <color rgb="FF7F7F7F"/>
        <sz val="8.0"/>
      </rPr>
      <t xml:space="preserve">/ </t>
    </r>
    <r>
      <rPr>
        <rFont val="Noto Sans CJK SC"/>
        <i/>
        <color rgb="FF7F7F7F"/>
        <sz val="8.0"/>
      </rPr>
      <t xml:space="preserve">디자인 </t>
    </r>
    <r>
      <rPr>
        <rFont val="맑은 고딕"/>
        <i/>
        <color rgb="FF7F7F7F"/>
        <sz val="8.0"/>
      </rPr>
      <t>/ SW</t>
    </r>
    <r>
      <rPr>
        <rFont val="Noto Sans CJK SC"/>
        <i/>
        <color rgb="FF7F7F7F"/>
        <sz val="8.0"/>
      </rPr>
      <t>등록</t>
    </r>
    <r>
      <rPr>
        <rFont val="맑은 고딕"/>
        <i/>
        <color rgb="FF7F7F7F"/>
        <sz val="8.0"/>
      </rPr>
      <t>]</t>
    </r>
  </si>
  <si>
    <r>
      <rPr>
        <rFont val="맑은 고딕"/>
        <i/>
        <color rgb="FF7F7F7F"/>
        <sz val="8.0"/>
      </rPr>
      <t>[</t>
    </r>
    <r>
      <rPr>
        <rFont val="Noto Sans CJK SC"/>
        <i/>
        <color rgb="FF7F7F7F"/>
        <sz val="8.0"/>
      </rPr>
      <t xml:space="preserve">출원 </t>
    </r>
    <r>
      <rPr>
        <rFont val="맑은 고딕"/>
        <i/>
        <color rgb="FF7F7F7F"/>
        <sz val="8.0"/>
      </rPr>
      <t xml:space="preserve">/ </t>
    </r>
    <r>
      <rPr>
        <rFont val="Noto Sans CJK SC"/>
        <i/>
        <color rgb="FF7F7F7F"/>
        <sz val="8.0"/>
      </rPr>
      <t>등록</t>
    </r>
    <r>
      <rPr>
        <rFont val="맑은 고딕"/>
        <i/>
        <color rgb="FF7F7F7F"/>
        <sz val="8.0"/>
      </rPr>
      <t>]</t>
    </r>
  </si>
  <si>
    <r>
      <rPr>
        <rFont val="Noto Sans CJK SC"/>
        <b/>
        <color rgb="FF000000"/>
        <sz val="11.0"/>
      </rPr>
      <t>인턴</t>
    </r>
    <r>
      <rPr>
        <rFont val="맑은 고딕"/>
        <b/>
        <color rgb="FF000000"/>
        <sz val="11.0"/>
      </rPr>
      <t>·</t>
    </r>
    <r>
      <rPr>
        <rFont val="Noto Sans CJK SC"/>
        <b/>
        <color rgb="FF000000"/>
        <sz val="11.0"/>
      </rPr>
      <t>현장실습</t>
    </r>
  </si>
  <si>
    <r>
      <rPr>
        <rFont val="맑은 고딕"/>
        <i/>
        <color rgb="FF7F7F7F"/>
        <sz val="8.0"/>
      </rPr>
      <t>[</t>
    </r>
    <r>
      <rPr>
        <rFont val="Noto Sans CJK SC"/>
        <i/>
        <color rgb="FF7F7F7F"/>
        <sz val="8.0"/>
      </rPr>
      <t xml:space="preserve">단독 </t>
    </r>
    <r>
      <rPr>
        <rFont val="맑은 고딕"/>
        <i/>
        <color rgb="FF7F7F7F"/>
        <sz val="8.0"/>
      </rPr>
      <t xml:space="preserve">/ </t>
    </r>
    <r>
      <rPr>
        <rFont val="Noto Sans CJK SC"/>
        <i/>
        <color rgb="FF7F7F7F"/>
        <sz val="8.0"/>
      </rPr>
      <t>공동</t>
    </r>
    <r>
      <rPr>
        <rFont val="맑은 고딕"/>
        <i/>
        <color rgb="FF7F7F7F"/>
        <sz val="8.0"/>
      </rPr>
      <t>]</t>
    </r>
  </si>
  <si>
    <r>
      <rPr>
        <rFont val="맑은 고딕"/>
        <b/>
        <color rgb="FF000000"/>
        <sz val="11.0"/>
      </rPr>
      <t xml:space="preserve">TA </t>
    </r>
    <r>
      <rPr>
        <rFont val="Noto Sans CJK SC"/>
        <b/>
        <color rgb="FF000000"/>
        <sz val="11.0"/>
      </rPr>
      <t>활동</t>
    </r>
  </si>
  <si>
    <r>
      <rPr>
        <rFont val="Noto Sans CJK SC"/>
        <b/>
        <color rgb="FF000000"/>
        <sz val="11.0"/>
      </rPr>
      <t>교환학생</t>
    </r>
    <r>
      <rPr>
        <rFont val="맑은 고딕"/>
        <b/>
        <color rgb="FF000000"/>
        <sz val="11.0"/>
      </rPr>
      <t>·</t>
    </r>
    <r>
      <rPr>
        <rFont val="Noto Sans CJK SC"/>
        <b/>
        <color rgb="FF000000"/>
        <sz val="11.0"/>
      </rPr>
      <t>해외경험</t>
    </r>
  </si>
  <si>
    <r>
      <rPr>
        <rFont val="Noto Sans CJK SC"/>
        <i/>
        <color rgb="FF7F7F7F"/>
        <sz val="8.0"/>
      </rPr>
      <t>출처</t>
    </r>
    <r>
      <rPr>
        <rFont val="맑은 고딕"/>
        <i/>
        <color rgb="FF7F7F7F"/>
        <sz val="8.0"/>
      </rPr>
      <t xml:space="preserve">: </t>
    </r>
    <r>
      <rPr>
        <rFont val="Noto Sans CJK SC"/>
        <i/>
        <color rgb="FF7F7F7F"/>
        <sz val="8.0"/>
      </rPr>
      <t xml:space="preserve">현장실습 지원 시스템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인턴십</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커뮤니케이션</t>
    </r>
    <r>
      <rPr>
        <rFont val="맑은 고딕"/>
        <i/>
        <color rgb="FF7F7F7F"/>
        <sz val="8.0"/>
      </rPr>
      <t>(</t>
    </r>
    <r>
      <rPr>
        <rFont val="Noto Sans CJK SC"/>
        <i/>
        <color rgb="FF7F7F7F"/>
        <sz val="8.0"/>
      </rPr>
      <t>협업</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기간</t>
    </r>
    <r>
      <rPr>
        <rFont val="맑은 고딕"/>
        <i/>
        <color rgb="FF7F7F7F"/>
        <sz val="8.0"/>
      </rPr>
      <t>(</t>
    </r>
    <r>
      <rPr>
        <rFont val="Noto Sans CJK SC"/>
        <i/>
        <color rgb="FF7F7F7F"/>
        <sz val="8.0"/>
      </rPr>
      <t>개월</t>
    </r>
    <r>
      <rPr>
        <rFont val="맑은 고딕"/>
        <i/>
        <color rgb="FF7F7F7F"/>
        <sz val="8.0"/>
      </rPr>
      <t>)</t>
    </r>
    <r>
      <rPr>
        <rFont val="Noto Sans CJK SC"/>
        <i/>
        <color rgb="FF7F7F7F"/>
        <sz val="8.0"/>
      </rPr>
      <t>과 직무 관련성을 함께 추출</t>
    </r>
  </si>
  <si>
    <r>
      <rPr>
        <rFont val="Noto Sans CJK SC"/>
        <b/>
        <color rgb="FF000000"/>
        <sz val="9.0"/>
      </rPr>
      <t>직무</t>
    </r>
    <r>
      <rPr>
        <rFont val="맑은 고딕"/>
        <b/>
        <color rgb="FF000000"/>
        <sz val="9.0"/>
      </rPr>
      <t>·</t>
    </r>
    <r>
      <rPr>
        <rFont val="Noto Sans CJK SC"/>
        <b/>
        <color rgb="FF000000"/>
        <sz val="9.0"/>
      </rPr>
      <t>부서</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</si>
  <si>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</si>
  <si>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맑은 고딕"/>
        <b/>
        <color rgb="FF000000"/>
        <sz val="9.0"/>
      </rPr>
      <t>3</t>
    </r>
    <r>
      <rPr>
        <rFont val="Noto Sans CJK SC"/>
        <b/>
        <color rgb="FF000000"/>
        <sz val="9.0"/>
      </rPr>
      <t>품 인정</t>
    </r>
  </si>
  <si>
    <r>
      <rPr>
        <rFont val="맑은 고딕"/>
        <i/>
        <color rgb="FF7F7F7F"/>
        <sz val="8.0"/>
      </rPr>
      <t>[</t>
    </r>
    <r>
      <rPr>
        <rFont val="Noto Sans CJK SC"/>
        <i/>
        <color rgb="FF7F7F7F"/>
        <sz val="8.0"/>
      </rPr>
      <t xml:space="preserve">인턴십 </t>
    </r>
    <r>
      <rPr>
        <rFont val="맑은 고딕"/>
        <i/>
        <color rgb="FF7F7F7F"/>
        <sz val="8.0"/>
      </rPr>
      <t xml:space="preserve">/ </t>
    </r>
    <r>
      <rPr>
        <rFont val="Noto Sans CJK SC"/>
        <i/>
        <color rgb="FF7F7F7F"/>
        <sz val="8.0"/>
      </rPr>
      <t xml:space="preserve">현장실습 </t>
    </r>
    <r>
      <rPr>
        <rFont val="맑은 고딕"/>
        <i/>
        <color rgb="FF7F7F7F"/>
        <sz val="8.0"/>
      </rPr>
      <t xml:space="preserve">/ </t>
    </r>
    <r>
      <rPr>
        <rFont val="Noto Sans CJK SC"/>
        <i/>
        <color rgb="FF7F7F7F"/>
        <sz val="8.0"/>
      </rPr>
      <t xml:space="preserve">연구체험 </t>
    </r>
    <r>
      <rPr>
        <rFont val="맑은 고딕"/>
        <i/>
        <color rgb="FF7F7F7F"/>
        <sz val="8.0"/>
      </rPr>
      <t xml:space="preserve">/ </t>
    </r>
    <r>
      <rPr>
        <rFont val="Noto Sans CJK SC"/>
        <i/>
        <color rgb="FF7F7F7F"/>
        <sz val="8.0"/>
      </rPr>
      <t>문제해결프로젝트</t>
    </r>
    <r>
      <rPr>
        <rFont val="맑은 고딕"/>
        <i/>
        <color rgb="FF7F7F7F"/>
        <sz val="8.0"/>
      </rPr>
      <t>]</t>
    </r>
  </si>
  <si>
    <r>
      <rPr>
        <rFont val="Noto Sans CJK SC"/>
        <i/>
        <color rgb="FF7F7F7F"/>
        <sz val="8.0"/>
      </rPr>
      <t>출처</t>
    </r>
    <r>
      <rPr>
        <rFont val="맑은 고딕"/>
        <i/>
        <color rgb="FF7F7F7F"/>
        <sz val="8.0"/>
      </rPr>
      <t xml:space="preserve">: </t>
    </r>
    <r>
      <rPr>
        <rFont val="Noto Sans CJK SC"/>
        <i/>
        <color rgb="FF7F7F7F"/>
        <sz val="8.0"/>
      </rPr>
      <t>학사시스템</t>
    </r>
    <r>
      <rPr>
        <rFont val="맑은 고딕"/>
        <i/>
        <color rgb="FF7F7F7F"/>
        <sz val="8.0"/>
      </rPr>
      <t>(</t>
    </r>
    <r>
      <rPr>
        <rFont val="Noto Sans CJK SC"/>
        <i/>
        <color rgb="FF7F7F7F"/>
        <sz val="8.0"/>
      </rPr>
      <t>성적</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학업성취 </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xml:space="preserve">: [C] </t>
    </r>
    <r>
      <rPr>
        <rFont val="Noto Sans CJK SC"/>
        <i/>
        <color rgb="FF7F7F7F"/>
        <sz val="8.0"/>
      </rPr>
      <t>전공별</t>
    </r>
    <r>
      <rPr>
        <rFont val="맑은 고딕"/>
        <i/>
        <color rgb="FF7F7F7F"/>
        <sz val="8.0"/>
      </rPr>
      <t>·</t>
    </r>
    <r>
      <rPr>
        <rFont val="Noto Sans CJK SC"/>
        <i/>
        <color rgb="FF7F7F7F"/>
        <sz val="8.0"/>
      </rPr>
      <t>학기별 성적 통합</t>
    </r>
    <r>
      <rPr>
        <rFont val="맑은 고딕"/>
        <i/>
        <color rgb="FF7F7F7F"/>
        <sz val="8.0"/>
      </rPr>
      <t xml:space="preserve">. </t>
    </r>
    <r>
      <rPr>
        <rFont val="Noto Sans CJK SC"/>
        <i/>
        <color rgb="FF7F7F7F"/>
        <sz val="8.0"/>
      </rPr>
      <t xml:space="preserve">학기별 추이로 </t>
    </r>
    <r>
      <rPr>
        <rFont val="맑은 고딕"/>
        <i/>
        <color rgb="FF7F7F7F"/>
        <sz val="8.0"/>
      </rPr>
      <t>'</t>
    </r>
    <r>
      <rPr>
        <rFont val="Noto Sans CJK SC"/>
        <i/>
        <color rgb="FF7F7F7F"/>
        <sz val="8.0"/>
      </rPr>
      <t>성장</t>
    </r>
    <r>
      <rPr>
        <rFont val="맑은 고딕"/>
        <i/>
        <color rgb="FF7F7F7F"/>
        <sz val="8.0"/>
      </rPr>
      <t xml:space="preserve">' </t>
    </r>
    <r>
      <rPr>
        <rFont val="Noto Sans CJK SC"/>
        <i/>
        <color rgb="FF7F7F7F"/>
        <sz val="8.0"/>
      </rPr>
      <t>지표 추가 가능</t>
    </r>
  </si>
  <si>
    <r>
      <rPr>
        <rFont val="맑은 고딕"/>
        <i/>
        <color rgb="FF7F7F7F"/>
        <sz val="8.0"/>
      </rPr>
      <t>[</t>
    </r>
    <r>
      <rPr>
        <rFont val="Noto Sans CJK SC"/>
        <i/>
        <color rgb="FF7F7F7F"/>
        <sz val="8.0"/>
      </rPr>
      <t xml:space="preserve">관련 </t>
    </r>
    <r>
      <rPr>
        <rFont val="맑은 고딕"/>
        <i/>
        <color rgb="FF7F7F7F"/>
        <sz val="8.0"/>
      </rPr>
      <t xml:space="preserve">/ </t>
    </r>
    <r>
      <rPr>
        <rFont val="Noto Sans CJK SC"/>
        <i/>
        <color rgb="FF7F7F7F"/>
        <sz val="8.0"/>
      </rPr>
      <t xml:space="preserve">일부 관련 </t>
    </r>
    <r>
      <rPr>
        <rFont val="맑은 고딕"/>
        <i/>
        <color rgb="FF7F7F7F"/>
        <sz val="8.0"/>
      </rPr>
      <t xml:space="preserve">/ </t>
    </r>
    <r>
      <rPr>
        <rFont val="Noto Sans CJK SC"/>
        <i/>
        <color rgb="FF7F7F7F"/>
        <sz val="8.0"/>
      </rPr>
      <t>무관</t>
    </r>
    <r>
      <rPr>
        <rFont val="맑은 고딕"/>
        <i/>
        <color rgb="FF7F7F7F"/>
        <sz val="8.0"/>
      </rPr>
      <t>]</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</si>
  <si>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xml:space="preserve">· </t>
    </r>
    <r>
      <rPr>
        <rFont val="Noto Sans CJK SC"/>
        <i/>
        <color rgb="FF7F7F7F"/>
        <sz val="8.0"/>
      </rPr>
      <t xml:space="preserve">교수학습센터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 xml:space="preserve">커뮤니케이션 </t>
    </r>
    <r>
      <rPr>
        <rFont val="맑은 고딕"/>
        <i/>
        <color rgb="FF7F7F7F"/>
        <sz val="8.0"/>
      </rPr>
      <t xml:space="preserve">/ </t>
    </r>
    <r>
      <rPr>
        <rFont val="Noto Sans CJK SC"/>
        <i/>
        <color rgb="FF7F7F7F"/>
        <sz val="8.0"/>
      </rPr>
      <t xml:space="preserve">책임감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기존 데이터셋에 없는 신규 근거</t>
    </r>
  </si>
  <si>
    <r>
      <rPr>
        <rFont val="Noto Sans CJK SC"/>
        <i/>
        <color rgb="FF7F7F7F"/>
        <sz val="8.0"/>
      </rPr>
      <t>출처</t>
    </r>
    <r>
      <rPr>
        <rFont val="맑은 고딕"/>
        <i/>
        <color rgb="FF7F7F7F"/>
        <sz val="8.0"/>
      </rPr>
      <t xml:space="preserve">: </t>
    </r>
    <r>
      <rPr>
        <rFont val="Noto Sans CJK SC"/>
        <i/>
        <color rgb="FF7F7F7F"/>
        <sz val="8.0"/>
      </rPr>
      <t xml:space="preserve">국제처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글로벌</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글로벌</t>
    </r>
    <r>
      <rPr>
        <rFont val="맑은 고딕"/>
        <i/>
        <color rgb="FF7F7F7F"/>
        <sz val="8.0"/>
      </rPr>
      <t>(</t>
    </r>
    <r>
      <rPr>
        <rFont val="Noto Sans CJK SC"/>
        <i/>
        <color rgb="FF7F7F7F"/>
        <sz val="8.0"/>
      </rPr>
      <t>문화적 수용능력</t>
    </r>
    <r>
      <rPr>
        <rFont val="맑은 고딕"/>
        <i/>
        <color rgb="FF7F7F7F"/>
        <sz val="8.0"/>
      </rPr>
      <t xml:space="preserve">)   |   </t>
    </r>
    <r>
      <rPr>
        <rFont val="Noto Sans CJK SC"/>
        <i/>
        <color rgb="FF7F7F7F"/>
        <sz val="8.0"/>
      </rPr>
      <t>비고</t>
    </r>
    <r>
      <rPr>
        <rFont val="맑은 고딕"/>
        <i/>
        <color rgb="FF7F7F7F"/>
        <sz val="8.0"/>
      </rPr>
      <t xml:space="preserve">: [C] </t>
    </r>
    <r>
      <rPr>
        <rFont val="Noto Sans CJK SC"/>
        <i/>
        <color rgb="FF7F7F7F"/>
        <sz val="8.0"/>
      </rPr>
      <t>국제연구</t>
    </r>
    <r>
      <rPr>
        <rFont val="맑은 고딕"/>
        <i/>
        <color rgb="FF7F7F7F"/>
        <sz val="8.0"/>
      </rPr>
      <t>·</t>
    </r>
    <r>
      <rPr>
        <rFont val="Noto Sans CJK SC"/>
        <i/>
        <color rgb="FF7F7F7F"/>
        <sz val="8.0"/>
      </rPr>
      <t>국제문화체험 항목 추가</t>
    </r>
  </si>
  <si>
    <r>
      <rPr>
        <rFont val="Noto Sans CJK SC"/>
        <b/>
        <color rgb="FF000000"/>
        <sz val="10.0"/>
      </rPr>
      <t>전체 평점</t>
    </r>
    <r>
      <rPr>
        <rFont val="맑은 고딕"/>
        <b/>
        <color rgb="FF000000"/>
        <sz val="10.0"/>
      </rPr>
      <t>(</t>
    </r>
    <r>
      <rPr>
        <rFont val="Noto Sans CJK SC"/>
        <b/>
        <color rgb="FF000000"/>
        <sz val="10.0"/>
      </rPr>
      <t>누적</t>
    </r>
    <r>
      <rPr>
        <rFont val="맑은 고딕"/>
        <b/>
        <color rgb="FF000000"/>
        <sz val="10.0"/>
      </rPr>
      <t>)</t>
    </r>
  </si>
  <si>
    <t>3.7/4.5</t>
  </si>
  <si>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</si>
  <si>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Noto Sans CJK SC"/>
        <b/>
        <color rgb="FF000000"/>
        <sz val="9.0"/>
      </rPr>
      <t>기관</t>
    </r>
    <r>
      <rPr>
        <rFont val="맑은 고딕"/>
        <b/>
        <color rgb="FF000000"/>
        <sz val="9.0"/>
      </rPr>
      <t>·</t>
    </r>
    <r>
      <rPr>
        <rFont val="Noto Sans CJK SC"/>
        <b/>
        <color rgb="FF000000"/>
        <sz val="9.0"/>
      </rPr>
      <t>프로그램명</t>
    </r>
  </si>
  <si>
    <r>
      <rPr>
        <rFont val="Noto Sans CJK SC"/>
        <color rgb="FF7F7F7F"/>
        <sz val="9.0"/>
      </rPr>
      <t>숫자</t>
    </r>
    <r>
      <rPr>
        <rFont val="맑은 고딕"/>
        <color rgb="FF7F7F7F"/>
        <sz val="9.0"/>
      </rPr>
      <t>(</t>
    </r>
    <r>
      <rPr>
        <rFont val="Noto Sans CJK SC"/>
        <color rgb="FF7F7F7F"/>
        <sz val="9.0"/>
      </rPr>
      <t xml:space="preserve">소수 </t>
    </r>
    <r>
      <rPr>
        <rFont val="맑은 고딕"/>
        <color rgb="FF7F7F7F"/>
        <sz val="9.0"/>
      </rPr>
      <t>2</t>
    </r>
    <r>
      <rPr>
        <rFont val="Noto Sans CJK SC"/>
        <color rgb="FF7F7F7F"/>
        <sz val="9.0"/>
      </rPr>
      <t>자리</t>
    </r>
    <r>
      <rPr>
        <rFont val="맑은 고딕"/>
        <color rgb="FF7F7F7F"/>
        <sz val="9.0"/>
      </rPr>
      <t>)</t>
    </r>
  </si>
  <si>
    <r>
      <rPr>
        <rFont val="Noto Sans CJK SC"/>
        <b/>
        <color rgb="FF000000"/>
        <sz val="9.0"/>
      </rPr>
      <t>기간</t>
    </r>
    <r>
      <rPr>
        <rFont val="맑은 고딕"/>
        <b/>
        <color rgb="FF000000"/>
        <sz val="9.0"/>
      </rPr>
      <t>(</t>
    </r>
    <r>
      <rPr>
        <rFont val="Noto Sans CJK SC"/>
        <b/>
        <color rgb="FF000000"/>
        <sz val="9.0"/>
      </rPr>
      <t>주</t>
    </r>
    <r>
      <rPr>
        <rFont val="맑은 고딕"/>
        <b/>
        <color rgb="FF000000"/>
        <sz val="9.0"/>
      </rPr>
      <t>)</t>
    </r>
  </si>
  <si>
    <r>
      <rPr>
        <rFont val="맑은 고딕"/>
        <i/>
        <color rgb="FF7F7F7F"/>
        <sz val="8.0"/>
      </rPr>
      <t>YYYY-1 / YYYY-2 / YYYY-</t>
    </r>
    <r>
      <rPr>
        <rFont val="Noto Sans CJK SC"/>
        <i/>
        <color rgb="FF7F7F7F"/>
        <sz val="8.0"/>
      </rPr>
      <t xml:space="preserve">여름 </t>
    </r>
    <r>
      <rPr>
        <rFont val="맑은 고딕"/>
        <i/>
        <color rgb="FF7F7F7F"/>
        <sz val="8.0"/>
      </rPr>
      <t>/ YYYY-</t>
    </r>
    <r>
      <rPr>
        <rFont val="Noto Sans CJK SC"/>
        <i/>
        <color rgb="FF7F7F7F"/>
        <sz val="8.0"/>
      </rPr>
      <t>겨울</t>
    </r>
  </si>
  <si>
    <r>
      <rPr>
        <rFont val="Noto Sans CJK SC"/>
        <color rgb="FF7F7F7F"/>
        <sz val="9.0"/>
      </rPr>
      <t>예</t>
    </r>
    <r>
      <rPr>
        <rFont val="맑은 고딕"/>
        <color rgb="FF7F7F7F"/>
        <sz val="9.0"/>
      </rPr>
      <t>: 3.85</t>
    </r>
  </si>
  <si>
    <r>
      <rPr>
        <rFont val="맑은 고딕"/>
        <b/>
        <color rgb="FF000000"/>
        <sz val="9.0"/>
      </rPr>
      <t>3</t>
    </r>
    <r>
      <rPr>
        <rFont val="Noto Sans CJK SC"/>
        <b/>
        <color rgb="FF000000"/>
        <sz val="9.0"/>
      </rPr>
      <t>품 인정</t>
    </r>
  </si>
  <si>
    <r>
      <rPr>
        <rFont val="Noto Sans CJK SC"/>
        <b/>
        <color rgb="FF000000"/>
        <sz val="10.0"/>
      </rPr>
      <t>전공 평점</t>
    </r>
    <r>
      <rPr>
        <rFont val="맑은 고딕"/>
        <b/>
        <color rgb="FF000000"/>
        <sz val="10.0"/>
      </rPr>
      <t>(</t>
    </r>
    <r>
      <rPr>
        <rFont val="Noto Sans CJK SC"/>
        <b/>
        <color rgb="FF000000"/>
        <sz val="10.0"/>
      </rPr>
      <t>누적</t>
    </r>
    <r>
      <rPr>
        <rFont val="맑은 고딕"/>
        <b/>
        <color rgb="FF000000"/>
        <sz val="10.0"/>
      </rPr>
      <t>)</t>
    </r>
  </si>
  <si>
    <r>
      <rPr>
        <rFont val="Noto Sans CJK SC"/>
        <color rgb="FF7F7F7F"/>
        <sz val="9.0"/>
      </rPr>
      <t>숫자</t>
    </r>
    <r>
      <rPr>
        <rFont val="맑은 고딕"/>
        <color rgb="FF7F7F7F"/>
        <sz val="9.0"/>
      </rPr>
      <t>(</t>
    </r>
    <r>
      <rPr>
        <rFont val="Noto Sans CJK SC"/>
        <color rgb="FF7F7F7F"/>
        <sz val="9.0"/>
      </rPr>
      <t xml:space="preserve">소수 </t>
    </r>
    <r>
      <rPr>
        <rFont val="맑은 고딕"/>
        <color rgb="FF7F7F7F"/>
        <sz val="9.0"/>
      </rPr>
      <t>2</t>
    </r>
    <r>
      <rPr>
        <rFont val="Noto Sans CJK SC"/>
        <color rgb="FF7F7F7F"/>
        <sz val="9.0"/>
      </rPr>
      <t>자리</t>
    </r>
    <r>
      <rPr>
        <rFont val="맑은 고딕"/>
        <color rgb="FF7F7F7F"/>
        <sz val="9.0"/>
      </rPr>
      <t>)</t>
    </r>
  </si>
  <si>
    <r>
      <rPr>
        <rFont val="Noto Sans CJK SC"/>
        <color rgb="FF7F7F7F"/>
        <sz val="9.0"/>
      </rPr>
      <t>예</t>
    </r>
    <r>
      <rPr>
        <rFont val="맑은 고딕"/>
        <color rgb="FF7F7F7F"/>
        <sz val="9.0"/>
      </rPr>
      <t>: 3.92</t>
    </r>
  </si>
  <si>
    <r>
      <rPr>
        <rFont val="Noto Sans CJK SC"/>
        <b/>
        <color rgb="FFFFFFFF"/>
        <sz val="11.0"/>
      </rPr>
      <t>■ 실무</t>
    </r>
    <r>
      <rPr>
        <rFont val="맑은 고딕"/>
        <b/>
        <color rgb="FFFFFFFF"/>
        <sz val="11.0"/>
      </rPr>
      <t>·</t>
    </r>
    <r>
      <rPr>
        <rFont val="Noto Sans CJK SC"/>
        <b/>
        <color rgb="FFFFFFFF"/>
        <sz val="11.0"/>
      </rPr>
      <t>진로</t>
    </r>
  </si>
  <si>
    <r>
      <rPr>
        <rFont val="Noto Sans CJK SC"/>
        <color rgb="FF7F7F7F"/>
        <sz val="9.0"/>
      </rPr>
      <t xml:space="preserve">성균관대 </t>
    </r>
    <r>
      <rPr>
        <rFont val="맑은 고딕"/>
        <color rgb="FF7F7F7F"/>
        <sz val="9.0"/>
      </rPr>
      <t>4.5</t>
    </r>
  </si>
  <si>
    <r>
      <rPr>
        <rFont val="Noto Sans CJK SC"/>
        <b/>
        <color rgb="FF000000"/>
        <sz val="11.0"/>
      </rPr>
      <t>인턴</t>
    </r>
    <r>
      <rPr>
        <rFont val="맑은 고딕"/>
        <b/>
        <color rgb="FF000000"/>
        <sz val="11.0"/>
      </rPr>
      <t>·</t>
    </r>
    <r>
      <rPr>
        <rFont val="Noto Sans CJK SC"/>
        <b/>
        <color rgb="FF000000"/>
        <sz val="11.0"/>
      </rPr>
      <t>현장실습</t>
    </r>
  </si>
  <si>
    <r>
      <rPr>
        <rFont val="맑은 고딕"/>
        <i/>
        <color rgb="FF7F7F7F"/>
        <sz val="8.0"/>
      </rPr>
      <t>[</t>
    </r>
    <r>
      <rPr>
        <rFont val="Noto Sans CJK SC"/>
        <i/>
        <color rgb="FF7F7F7F"/>
        <sz val="8.0"/>
      </rPr>
      <t xml:space="preserve">교환학생 </t>
    </r>
    <r>
      <rPr>
        <rFont val="맑은 고딕"/>
        <i/>
        <color rgb="FF7F7F7F"/>
        <sz val="8.0"/>
      </rPr>
      <t xml:space="preserve">/ </t>
    </r>
    <r>
      <rPr>
        <rFont val="Noto Sans CJK SC"/>
        <i/>
        <color rgb="FF7F7F7F"/>
        <sz val="8.0"/>
      </rPr>
      <t xml:space="preserve">어학연수 </t>
    </r>
    <r>
      <rPr>
        <rFont val="맑은 고딕"/>
        <i/>
        <color rgb="FF7F7F7F"/>
        <sz val="8.0"/>
      </rPr>
      <t xml:space="preserve">/ </t>
    </r>
    <r>
      <rPr>
        <rFont val="Noto Sans CJK SC"/>
        <i/>
        <color rgb="FF7F7F7F"/>
        <sz val="8.0"/>
      </rPr>
      <t xml:space="preserve">해외봉사 </t>
    </r>
    <r>
      <rPr>
        <rFont val="맑은 고딕"/>
        <i/>
        <color rgb="FF7F7F7F"/>
        <sz val="8.0"/>
      </rPr>
      <t xml:space="preserve">/ </t>
    </r>
    <r>
      <rPr>
        <rFont val="Noto Sans CJK SC"/>
        <i/>
        <color rgb="FF7F7F7F"/>
        <sz val="8.0"/>
      </rPr>
      <t xml:space="preserve">국제연구 </t>
    </r>
    <r>
      <rPr>
        <rFont val="맑은 고딕"/>
        <i/>
        <color rgb="FF7F7F7F"/>
        <sz val="8.0"/>
      </rPr>
      <t xml:space="preserve">/ </t>
    </r>
    <r>
      <rPr>
        <rFont val="Noto Sans CJK SC"/>
        <i/>
        <color rgb="FF7F7F7F"/>
        <sz val="8.0"/>
      </rPr>
      <t xml:space="preserve">국제문화체험 </t>
    </r>
    <r>
      <rPr>
        <rFont val="맑은 고딕"/>
        <i/>
        <color rgb="FF7F7F7F"/>
        <sz val="8.0"/>
      </rPr>
      <t xml:space="preserve">/ </t>
    </r>
    <r>
      <rPr>
        <rFont val="Noto Sans CJK SC"/>
        <i/>
        <color rgb="FF7F7F7F"/>
        <sz val="8.0"/>
      </rPr>
      <t>해외학습</t>
    </r>
    <r>
      <rPr>
        <rFont val="맑은 고딕"/>
        <i/>
        <color rgb="FF7F7F7F"/>
        <sz val="8.0"/>
      </rPr>
      <t>]</t>
    </r>
  </si>
  <si>
    <r>
      <rPr>
        <rFont val="맑은 고딕"/>
        <i/>
        <color rgb="FF7F7F7F"/>
        <sz val="8.0"/>
      </rPr>
      <t>YYYY-1 / YYYY-2 / YYYY-</t>
    </r>
    <r>
      <rPr>
        <rFont val="Noto Sans CJK SC"/>
        <i/>
        <color rgb="FF7F7F7F"/>
        <sz val="8.0"/>
      </rPr>
      <t xml:space="preserve">여름 </t>
    </r>
    <r>
      <rPr>
        <rFont val="맑은 고딕"/>
        <i/>
        <color rgb="FF7F7F7F"/>
        <sz val="8.0"/>
      </rPr>
      <t>/ YYYY-</t>
    </r>
    <r>
      <rPr>
        <rFont val="Noto Sans CJK SC"/>
        <i/>
        <color rgb="FF7F7F7F"/>
        <sz val="8.0"/>
      </rPr>
      <t>겨울</t>
    </r>
  </si>
  <si>
    <r>
      <rPr>
        <rFont val="Noto Sans CJK SC"/>
        <i/>
        <color rgb="FF7F7F7F"/>
        <sz val="8.0"/>
      </rPr>
      <t>휴학</t>
    </r>
    <r>
      <rPr>
        <rFont val="맑은 고딕"/>
        <i/>
        <color rgb="FF7F7F7F"/>
        <sz val="8.0"/>
      </rPr>
      <t>·</t>
    </r>
    <r>
      <rPr>
        <rFont val="Noto Sans CJK SC"/>
        <i/>
        <color rgb="FF7F7F7F"/>
        <sz val="8.0"/>
      </rPr>
      <t>계절 등</t>
    </r>
  </si>
  <si>
    <r>
      <rPr>
        <rFont val="Noto Sans CJK SC"/>
        <i/>
        <color rgb="FF7F7F7F"/>
        <sz val="8.0"/>
      </rPr>
      <t>출처</t>
    </r>
    <r>
      <rPr>
        <rFont val="맑은 고딕"/>
        <i/>
        <color rgb="FF7F7F7F"/>
        <sz val="8.0"/>
      </rPr>
      <t xml:space="preserve">: </t>
    </r>
    <r>
      <rPr>
        <rFont val="Noto Sans CJK SC"/>
        <i/>
        <color rgb="FF7F7F7F"/>
        <sz val="8.0"/>
      </rPr>
      <t>학생 등록</t>
    </r>
    <r>
      <rPr>
        <rFont val="맑은 고딕"/>
        <i/>
        <color rgb="FF7F7F7F"/>
        <sz val="8.0"/>
      </rPr>
      <t>(</t>
    </r>
    <r>
      <rPr>
        <rFont val="Noto Sans CJK SC"/>
        <i/>
        <color rgb="FF7F7F7F"/>
        <sz val="8.0"/>
      </rPr>
      <t>고용보험 자격이력 등</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커뮤니케이션 </t>
    </r>
    <r>
      <rPr>
        <rFont val="맑은 고딕"/>
        <i/>
        <color rgb="FF7F7F7F"/>
        <sz val="8.0"/>
      </rPr>
      <t xml:space="preserve">/ </t>
    </r>
    <r>
      <rPr>
        <rFont val="Noto Sans CJK SC"/>
        <i/>
        <color rgb="FF7F7F7F"/>
        <sz val="8.0"/>
      </rPr>
      <t xml:space="preserve">책임감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증빙 신뢰도 낮음 → 기간 위주 정량화 권장</t>
    </r>
  </si>
  <si>
    <r>
      <rPr>
        <rFont val="맑은 고딕"/>
        <color rgb="FF1F3B8A"/>
        <sz val="10.0"/>
      </rPr>
      <t>25</t>
    </r>
    <r>
      <rPr>
        <rFont val="Noto Sans CJK SC"/>
        <color rgb="FF1F3B8A"/>
        <sz val="10.0"/>
      </rPr>
      <t xml:space="preserve">년 </t>
    </r>
    <r>
      <rPr>
        <rFont val="맑은 고딕"/>
        <color rgb="FF1F3B8A"/>
        <sz val="10.0"/>
      </rPr>
      <t>1</t>
    </r>
    <r>
      <rPr>
        <rFont val="Noto Sans CJK SC"/>
        <color rgb="FF1F3B8A"/>
        <sz val="10.0"/>
      </rPr>
      <t>학기</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</si>
  <si>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</si>
  <si>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t>3.62</t>
  </si>
  <si>
    <r>
      <rPr>
        <rFont val="맑은 고딕"/>
        <color rgb="FF1F3B8A"/>
        <sz val="10.0"/>
      </rPr>
      <t>18</t>
    </r>
    <r>
      <rPr>
        <rFont val="Noto Sans CJK SC"/>
        <color rgb="FF1F3B8A"/>
        <sz val="10.0"/>
      </rPr>
      <t>학점</t>
    </r>
  </si>
  <si>
    <r>
      <rPr>
        <rFont val="맑은 고딕"/>
        <i/>
        <color rgb="FF7F7F7F"/>
        <sz val="8.0"/>
      </rPr>
      <t>[</t>
    </r>
    <r>
      <rPr>
        <rFont val="Noto Sans CJK SC"/>
        <i/>
        <color rgb="FF7F7F7F"/>
        <sz val="8.0"/>
      </rPr>
      <t xml:space="preserve">고용보험 </t>
    </r>
    <r>
      <rPr>
        <rFont val="맑은 고딕"/>
        <i/>
        <color rgb="FF7F7F7F"/>
        <sz val="8.0"/>
      </rPr>
      <t xml:space="preserve">/ </t>
    </r>
    <r>
      <rPr>
        <rFont val="Noto Sans CJK SC"/>
        <i/>
        <color rgb="FF7F7F7F"/>
        <sz val="8.0"/>
      </rPr>
      <t>재직</t>
    </r>
    <r>
      <rPr>
        <rFont val="맑은 고딕"/>
        <i/>
        <color rgb="FF7F7F7F"/>
        <sz val="8.0"/>
      </rPr>
      <t>·</t>
    </r>
    <r>
      <rPr>
        <rFont val="Noto Sans CJK SC"/>
        <i/>
        <color rgb="FF7F7F7F"/>
        <sz val="8.0"/>
      </rPr>
      <t xml:space="preserve">경력증명 </t>
    </r>
    <r>
      <rPr>
        <rFont val="맑은 고딕"/>
        <i/>
        <color rgb="FF7F7F7F"/>
        <sz val="8.0"/>
      </rPr>
      <t xml:space="preserve">/ </t>
    </r>
    <r>
      <rPr>
        <rFont val="Noto Sans CJK SC"/>
        <i/>
        <color rgb="FF7F7F7F"/>
        <sz val="8.0"/>
      </rPr>
      <t>없음</t>
    </r>
    <r>
      <rPr>
        <rFont val="맑은 고딕"/>
        <i/>
        <color rgb="FF7F7F7F"/>
        <sz val="8.0"/>
      </rPr>
      <t>]</t>
    </r>
  </si>
  <si>
    <r>
      <rPr>
        <rFont val="Noto Sans CJK SC"/>
        <i/>
        <color rgb="FF7F7F7F"/>
        <sz val="8.0"/>
      </rPr>
      <t>출처</t>
    </r>
    <r>
      <rPr>
        <rFont val="맑은 고딕"/>
        <i/>
        <color rgb="FF7F7F7F"/>
        <sz val="8.0"/>
      </rPr>
      <t xml:space="preserve">: </t>
    </r>
    <r>
      <rPr>
        <rFont val="Noto Sans CJK SC"/>
        <i/>
        <color rgb="FF7F7F7F"/>
        <sz val="8.0"/>
      </rPr>
      <t xml:space="preserve">현장실습 지원 시스템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인턴십</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커뮤니케이션</t>
    </r>
    <r>
      <rPr>
        <rFont val="맑은 고딕"/>
        <i/>
        <color rgb="FF7F7F7F"/>
        <sz val="8.0"/>
      </rPr>
      <t>(</t>
    </r>
    <r>
      <rPr>
        <rFont val="Noto Sans CJK SC"/>
        <i/>
        <color rgb="FF7F7F7F"/>
        <sz val="8.0"/>
      </rPr>
      <t>협업</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기간</t>
    </r>
    <r>
      <rPr>
        <rFont val="맑은 고딕"/>
        <i/>
        <color rgb="FF7F7F7F"/>
        <sz val="8.0"/>
      </rPr>
      <t>(</t>
    </r>
    <r>
      <rPr>
        <rFont val="Noto Sans CJK SC"/>
        <i/>
        <color rgb="FF7F7F7F"/>
        <sz val="8.0"/>
      </rPr>
      <t>개월</t>
    </r>
    <r>
      <rPr>
        <rFont val="맑은 고딕"/>
        <i/>
        <color rgb="FF7F7F7F"/>
        <sz val="8.0"/>
      </rPr>
      <t>)</t>
    </r>
    <r>
      <rPr>
        <rFont val="Noto Sans CJK SC"/>
        <i/>
        <color rgb="FF7F7F7F"/>
        <sz val="8.0"/>
      </rPr>
      <t>과 직무 관련성을 함께 추출</t>
    </r>
  </si>
  <si>
    <r>
      <rPr>
        <rFont val="Noto Sans CJK SC"/>
        <b/>
        <color rgb="FF000000"/>
        <sz val="9.0"/>
      </rPr>
      <t>직무</t>
    </r>
    <r>
      <rPr>
        <rFont val="맑은 고딕"/>
        <b/>
        <color rgb="FF000000"/>
        <sz val="9.0"/>
      </rPr>
      <t>·</t>
    </r>
    <r>
      <rPr>
        <rFont val="Noto Sans CJK SC"/>
        <b/>
        <color rgb="FF000000"/>
        <sz val="9.0"/>
      </rPr>
      <t>부서</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</si>
  <si>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</si>
  <si>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Noto Sans CJK SC"/>
        <b/>
        <color rgb="FF000000"/>
        <sz val="11.0"/>
      </rPr>
      <t>진로설계</t>
    </r>
    <r>
      <rPr>
        <rFont val="맑은 고딕"/>
        <b/>
        <color rgb="FF000000"/>
        <sz val="11.0"/>
      </rPr>
      <t>·</t>
    </r>
    <r>
      <rPr>
        <rFont val="Noto Sans CJK SC"/>
        <b/>
        <color rgb="FF000000"/>
        <sz val="11.0"/>
      </rPr>
      <t>취업상담</t>
    </r>
  </si>
  <si>
    <r>
      <rPr>
        <rFont val="맑은 고딕"/>
        <b/>
        <color rgb="FF000000"/>
        <sz val="9.0"/>
      </rPr>
      <t>3</t>
    </r>
    <r>
      <rPr>
        <rFont val="Noto Sans CJK SC"/>
        <b/>
        <color rgb="FF000000"/>
        <sz val="9.0"/>
      </rPr>
      <t>품 인정</t>
    </r>
  </si>
  <si>
    <r>
      <rPr>
        <rFont val="맑은 고딕"/>
        <i/>
        <color rgb="FF7F7F7F"/>
        <sz val="8.0"/>
      </rPr>
      <t>[</t>
    </r>
    <r>
      <rPr>
        <rFont val="Noto Sans CJK SC"/>
        <i/>
        <color rgb="FF7F7F7F"/>
        <sz val="8.0"/>
      </rPr>
      <t xml:space="preserve">인턴십 </t>
    </r>
    <r>
      <rPr>
        <rFont val="맑은 고딕"/>
        <i/>
        <color rgb="FF7F7F7F"/>
        <sz val="8.0"/>
      </rPr>
      <t xml:space="preserve">/ </t>
    </r>
    <r>
      <rPr>
        <rFont val="Noto Sans CJK SC"/>
        <i/>
        <color rgb="FF7F7F7F"/>
        <sz val="8.0"/>
      </rPr>
      <t xml:space="preserve">현장실습 </t>
    </r>
    <r>
      <rPr>
        <rFont val="맑은 고딕"/>
        <i/>
        <color rgb="FF7F7F7F"/>
        <sz val="8.0"/>
      </rPr>
      <t xml:space="preserve">/ </t>
    </r>
    <r>
      <rPr>
        <rFont val="Noto Sans CJK SC"/>
        <i/>
        <color rgb="FF7F7F7F"/>
        <sz val="8.0"/>
      </rPr>
      <t xml:space="preserve">연구체험 </t>
    </r>
    <r>
      <rPr>
        <rFont val="맑은 고딕"/>
        <i/>
        <color rgb="FF7F7F7F"/>
        <sz val="8.0"/>
      </rPr>
      <t xml:space="preserve">/ </t>
    </r>
    <r>
      <rPr>
        <rFont val="Noto Sans CJK SC"/>
        <i/>
        <color rgb="FF7F7F7F"/>
        <sz val="8.0"/>
      </rPr>
      <t>문제해결프로젝트</t>
    </r>
    <r>
      <rPr>
        <rFont val="맑은 고딕"/>
        <i/>
        <color rgb="FF7F7F7F"/>
        <sz val="8.0"/>
      </rPr>
      <t>]</t>
    </r>
  </si>
  <si>
    <r>
      <rPr>
        <rFont val="맑은 고딕"/>
        <i/>
        <color rgb="FF7F7F7F"/>
        <sz val="8.0"/>
      </rPr>
      <t>[</t>
    </r>
    <r>
      <rPr>
        <rFont val="Noto Sans CJK SC"/>
        <i/>
        <color rgb="FF7F7F7F"/>
        <sz val="8.0"/>
      </rPr>
      <t xml:space="preserve">관련 </t>
    </r>
    <r>
      <rPr>
        <rFont val="맑은 고딕"/>
        <i/>
        <color rgb="FF7F7F7F"/>
        <sz val="8.0"/>
      </rPr>
      <t xml:space="preserve">/ </t>
    </r>
    <r>
      <rPr>
        <rFont val="Noto Sans CJK SC"/>
        <i/>
        <color rgb="FF7F7F7F"/>
        <sz val="8.0"/>
      </rPr>
      <t xml:space="preserve">일부 관련 </t>
    </r>
    <r>
      <rPr>
        <rFont val="맑은 고딕"/>
        <i/>
        <color rgb="FF7F7F7F"/>
        <sz val="8.0"/>
      </rPr>
      <t xml:space="preserve">/ </t>
    </r>
    <r>
      <rPr>
        <rFont val="Noto Sans CJK SC"/>
        <i/>
        <color rgb="FF7F7F7F"/>
        <sz val="8.0"/>
      </rPr>
      <t>무관</t>
    </r>
    <r>
      <rPr>
        <rFont val="맑은 고딕"/>
        <i/>
        <color rgb="FF7F7F7F"/>
        <sz val="8.0"/>
      </rPr>
      <t>]</t>
    </r>
  </si>
  <si>
    <r>
      <rPr>
        <rFont val="Noto Sans CJK SC"/>
        <i/>
        <color rgb="FF7F7F7F"/>
        <sz val="8.0"/>
      </rPr>
      <t>출처</t>
    </r>
    <r>
      <rPr>
        <rFont val="맑은 고딕"/>
        <i/>
        <color rgb="FF7F7F7F"/>
        <sz val="8.0"/>
      </rPr>
      <t xml:space="preserve">: </t>
    </r>
    <r>
      <rPr>
        <rFont val="Noto Sans CJK SC"/>
        <i/>
        <color rgb="FF7F7F7F"/>
        <sz val="8.0"/>
      </rPr>
      <t>학사시스템</t>
    </r>
    <r>
      <rPr>
        <rFont val="맑은 고딕"/>
        <i/>
        <color rgb="FF7F7F7F"/>
        <sz val="8.0"/>
      </rPr>
      <t>(</t>
    </r>
    <r>
      <rPr>
        <rFont val="Noto Sans CJK SC"/>
        <i/>
        <color rgb="FF7F7F7F"/>
        <sz val="8.0"/>
      </rPr>
      <t>수강내역</t>
    </r>
    <r>
      <rPr>
        <rFont val="맑은 고딕"/>
        <i/>
        <color rgb="FF7F7F7F"/>
        <sz val="8.0"/>
      </rPr>
      <t xml:space="preserve">)   |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글로벌</t>
    </r>
    <r>
      <rPr>
        <rFont val="맑은 고딕"/>
        <i/>
        <color rgb="FF7F7F7F"/>
        <sz val="8.0"/>
      </rPr>
      <t>(</t>
    </r>
    <r>
      <rPr>
        <rFont val="Noto Sans CJK SC"/>
        <i/>
        <color rgb="FF7F7F7F"/>
        <sz val="8.0"/>
      </rPr>
      <t>외국어 능력</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마인드맵</t>
    </r>
    <r>
      <rPr>
        <rFont val="맑은 고딕"/>
        <i/>
        <color rgb="FF7F7F7F"/>
        <sz val="8.0"/>
      </rPr>
      <t>(</t>
    </r>
    <r>
      <rPr>
        <rFont val="Noto Sans CJK SC"/>
        <i/>
        <color rgb="FF7F7F7F"/>
        <sz val="8.0"/>
      </rPr>
      <t>기업 관심</t>
    </r>
    <r>
      <rPr>
        <rFont val="맑은 고딕"/>
        <i/>
        <color rgb="FF7F7F7F"/>
        <sz val="8.0"/>
      </rPr>
      <t>-</t>
    </r>
    <r>
      <rPr>
        <rFont val="Noto Sans CJK SC"/>
        <i/>
        <color rgb="FF7F7F7F"/>
        <sz val="8.0"/>
      </rPr>
      <t>글로벌</t>
    </r>
    <r>
      <rPr>
        <rFont val="맑은 고딕"/>
        <i/>
        <color rgb="FF7F7F7F"/>
        <sz val="8.0"/>
      </rPr>
      <t>)</t>
    </r>
    <r>
      <rPr>
        <rFont val="Noto Sans CJK SC"/>
        <i/>
        <color rgb="FF7F7F7F"/>
        <sz val="8.0"/>
      </rPr>
      <t>에 있으나 기존 데이터셋에 없음</t>
    </r>
  </si>
  <si>
    <r>
      <rPr>
        <rFont val="Noto Sans CJK SC"/>
        <color rgb="FF7F7F7F"/>
        <sz val="9.0"/>
      </rPr>
      <t xml:space="preserve">없으면 </t>
    </r>
    <r>
      <rPr>
        <rFont val="맑은 고딕"/>
        <color rgb="FF7F7F7F"/>
        <sz val="9.0"/>
      </rPr>
      <t>0</t>
    </r>
  </si>
  <si>
    <r>
      <rPr>
        <rFont val="Noto Sans CJK SC"/>
        <color rgb="FF7F7F7F"/>
        <sz val="9.0"/>
      </rPr>
      <t>예</t>
    </r>
    <r>
      <rPr>
        <rFont val="맑은 고딕"/>
        <color rgb="FF7F7F7F"/>
        <sz val="9.0"/>
      </rPr>
      <t xml:space="preserve">: </t>
    </r>
    <r>
      <rPr>
        <rFont val="Noto Sans CJK SC"/>
        <color rgb="FF7F7F7F"/>
        <sz val="9.0"/>
      </rPr>
      <t>영어</t>
    </r>
  </si>
  <si>
    <r>
      <rPr>
        <rFont val="Noto Sans CJK SC"/>
        <b/>
        <color rgb="FFFFFFFF"/>
        <sz val="11.0"/>
      </rPr>
      <t>■ 디지털</t>
    </r>
    <r>
      <rPr>
        <rFont val="맑은 고딕"/>
        <b/>
        <color rgb="FFFFFFFF"/>
        <sz val="11.0"/>
      </rPr>
      <t>·AI</t>
    </r>
  </si>
  <si>
    <r>
      <rPr>
        <rFont val="맑은 고딕"/>
        <b/>
        <color rgb="FF000000"/>
        <sz val="11.0"/>
      </rPr>
      <t>AI</t>
    </r>
    <r>
      <rPr>
        <rFont val="Noto Sans CJK SC"/>
        <b/>
        <color rgb="FF000000"/>
        <sz val="11.0"/>
      </rPr>
      <t>교육 이수내역</t>
    </r>
  </si>
  <si>
    <r>
      <rPr>
        <rFont val="Noto Sans CJK SC"/>
        <i/>
        <color rgb="FF7F7F7F"/>
        <sz val="8.0"/>
      </rPr>
      <t>출처</t>
    </r>
    <r>
      <rPr>
        <rFont val="맑은 고딕"/>
        <i/>
        <color rgb="FF7F7F7F"/>
        <sz val="8.0"/>
      </rPr>
      <t xml:space="preserve">: </t>
    </r>
    <r>
      <rPr>
        <rFont val="Noto Sans CJK SC"/>
        <i/>
        <color rgb="FF7F7F7F"/>
        <sz val="8.0"/>
      </rPr>
      <t xml:space="preserve">경력개발 </t>
    </r>
    <r>
      <rPr>
        <rFont val="맑은 고딕"/>
        <i/>
        <color rgb="FF7F7F7F"/>
        <sz val="8.0"/>
      </rPr>
      <t xml:space="preserve">· </t>
    </r>
    <r>
      <rPr>
        <rFont val="Noto Sans CJK SC"/>
        <i/>
        <color rgb="FF7F7F7F"/>
        <sz val="8.0"/>
      </rPr>
      <t xml:space="preserve">상담 시스템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자기관리</t>
    </r>
    <r>
      <rPr>
        <rFont val="맑은 고딕"/>
        <i/>
        <color rgb="FF7F7F7F"/>
        <sz val="8.0"/>
      </rPr>
      <t>(</t>
    </r>
    <r>
      <rPr>
        <rFont val="Noto Sans CJK SC"/>
        <i/>
        <color rgb="FF7F7F7F"/>
        <sz val="8.0"/>
      </rPr>
      <t>계획 수립</t>
    </r>
    <r>
      <rPr>
        <rFont val="맑은 고딕"/>
        <i/>
        <color rgb="FF7F7F7F"/>
        <sz val="8.0"/>
      </rPr>
      <t xml:space="preserve">) /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t>
    </r>
    <r>
      <rPr>
        <rFont val="Noto Sans CJK SC"/>
        <i/>
        <color rgb="FF7F7F7F"/>
        <sz val="8.0"/>
      </rPr>
      <t>계획 수립 및 실행 능력</t>
    </r>
    <r>
      <rPr>
        <rFont val="맑은 고딕"/>
        <i/>
        <color rgb="FF7F7F7F"/>
        <sz val="8.0"/>
      </rPr>
      <t>'</t>
    </r>
    <r>
      <rPr>
        <rFont val="Noto Sans CJK SC"/>
        <i/>
        <color rgb="FF7F7F7F"/>
        <sz val="8.0"/>
      </rPr>
      <t xml:space="preserve">의 근거가 </t>
    </r>
    <r>
      <rPr>
        <rFont val="맑은 고딕"/>
        <i/>
        <color rgb="FF7F7F7F"/>
        <sz val="8.0"/>
      </rPr>
      <t xml:space="preserve">LMS </t>
    </r>
    <r>
      <rPr>
        <rFont val="Noto Sans CJK SC"/>
        <i/>
        <color rgb="FF7F7F7F"/>
        <sz val="8.0"/>
      </rPr>
      <t>하나뿐인 공백 보완</t>
    </r>
  </si>
  <si>
    <r>
      <rPr>
        <rFont val="Noto Sans CJK SC"/>
        <b/>
        <color rgb="FF000000"/>
        <sz val="10.0"/>
      </rPr>
      <t>진로</t>
    </r>
    <r>
      <rPr>
        <rFont val="맑은 고딕"/>
        <b/>
        <color rgb="FF000000"/>
        <sz val="10.0"/>
      </rPr>
      <t>·</t>
    </r>
    <r>
      <rPr>
        <rFont val="Noto Sans CJK SC"/>
        <b/>
        <color rgb="FF000000"/>
        <sz val="10.0"/>
      </rPr>
      <t>취업 상담 횟수</t>
    </r>
    <r>
      <rPr>
        <rFont val="맑은 고딕"/>
        <b/>
        <color rgb="FF000000"/>
        <sz val="10.0"/>
      </rPr>
      <t>(</t>
    </r>
    <r>
      <rPr>
        <rFont val="Noto Sans CJK SC"/>
        <b/>
        <color rgb="FF000000"/>
        <sz val="10.0"/>
      </rPr>
      <t>누적</t>
    </r>
    <r>
      <rPr>
        <rFont val="맑은 고딕"/>
        <b/>
        <color rgb="FF000000"/>
        <sz val="10.0"/>
      </rPr>
      <t>)</t>
    </r>
  </si>
  <si>
    <r>
      <rPr>
        <rFont val="Noto Sans CJK SC"/>
        <i/>
        <color rgb="FF7F7F7F"/>
        <sz val="8.0"/>
      </rPr>
      <t>출처</t>
    </r>
    <r>
      <rPr>
        <rFont val="맑은 고딕"/>
        <i/>
        <color rgb="FF7F7F7F"/>
        <sz val="8.0"/>
      </rPr>
      <t xml:space="preserve">: </t>
    </r>
    <r>
      <rPr>
        <rFont val="Noto Sans CJK SC"/>
        <i/>
        <color rgb="FF7F7F7F"/>
        <sz val="8.0"/>
      </rPr>
      <t>학사시스템</t>
    </r>
    <r>
      <rPr>
        <rFont val="맑은 고딕"/>
        <i/>
        <color rgb="FF7F7F7F"/>
        <sz val="8.0"/>
      </rPr>
      <t>(</t>
    </r>
    <r>
      <rPr>
        <rFont val="Noto Sans CJK SC"/>
        <i/>
        <color rgb="FF7F7F7F"/>
        <sz val="8.0"/>
      </rPr>
      <t>과목별 성적</t>
    </r>
    <r>
      <rPr>
        <rFont val="맑은 고딕"/>
        <i/>
        <color rgb="FF7F7F7F"/>
        <sz val="8.0"/>
      </rPr>
      <t>) + LMS(</t>
    </r>
    <r>
      <rPr>
        <rFont val="Noto Sans CJK SC"/>
        <i/>
        <color rgb="FF7F7F7F"/>
        <sz val="8.0"/>
      </rPr>
      <t>과제점수</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발표력 </t>
    </r>
    <r>
      <rPr>
        <rFont val="맑은 고딕"/>
        <i/>
        <color rgb="FF7F7F7F"/>
        <sz val="8.0"/>
      </rPr>
      <t xml:space="preserve">/ </t>
    </r>
    <r>
      <rPr>
        <rFont val="Noto Sans CJK SC"/>
        <i/>
        <color rgb="FF7F7F7F"/>
        <sz val="8.0"/>
      </rPr>
      <t xml:space="preserve">논리적사고 </t>
    </r>
    <r>
      <rPr>
        <rFont val="맑은 고딕"/>
        <i/>
        <color rgb="FF7F7F7F"/>
        <sz val="8.0"/>
      </rPr>
      <t xml:space="preserve">/ </t>
    </r>
    <r>
      <rPr>
        <rFont val="Noto Sans CJK SC"/>
        <i/>
        <color rgb="FF7F7F7F"/>
        <sz val="8.0"/>
      </rPr>
      <t xml:space="preserve">학업성취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과목에 </t>
    </r>
    <r>
      <rPr>
        <rFont val="맑은 고딕"/>
        <i/>
        <color rgb="FF7F7F7F"/>
        <sz val="8.0"/>
      </rPr>
      <t>'</t>
    </r>
    <r>
      <rPr>
        <rFont val="Noto Sans CJK SC"/>
        <i/>
        <color rgb="FF7F7F7F"/>
        <sz val="8.0"/>
      </rPr>
      <t>발표형</t>
    </r>
    <r>
      <rPr>
        <rFont val="맑은 고딕"/>
        <i/>
        <color rgb="FF7F7F7F"/>
        <sz val="8.0"/>
      </rPr>
      <t>·</t>
    </r>
    <r>
      <rPr>
        <rFont val="Noto Sans CJK SC"/>
        <i/>
        <color rgb="FF7F7F7F"/>
        <sz val="8.0"/>
      </rPr>
      <t>토론형</t>
    </r>
    <r>
      <rPr>
        <rFont val="맑은 고딕"/>
        <i/>
        <color rgb="FF7F7F7F"/>
        <sz val="8.0"/>
      </rPr>
      <t xml:space="preserve">' </t>
    </r>
    <r>
      <rPr>
        <rFont val="Noto Sans CJK SC"/>
        <i/>
        <color rgb="FF7F7F7F"/>
        <sz val="8.0"/>
      </rPr>
      <t>태그가 있어야 자동 분류 가능</t>
    </r>
  </si>
  <si>
    <r>
      <rPr>
        <rFont val="Noto Sans CJK SC"/>
        <b/>
        <color rgb="FF000000"/>
        <sz val="10.0"/>
      </rPr>
      <t>희망 직무</t>
    </r>
    <r>
      <rPr>
        <rFont val="맑은 고딕"/>
        <b/>
        <color rgb="FF000000"/>
        <sz val="10.0"/>
      </rPr>
      <t>·</t>
    </r>
    <r>
      <rPr>
        <rFont val="Noto Sans CJK SC"/>
        <b/>
        <color rgb="FF000000"/>
        <sz val="10.0"/>
      </rPr>
      <t>분야</t>
    </r>
  </si>
  <si>
    <r>
      <rPr>
        <rFont val="Noto Sans CJK SC"/>
        <b/>
        <color rgb="FF000000"/>
        <sz val="9.0"/>
      </rPr>
      <t>과제</t>
    </r>
    <r>
      <rPr>
        <rFont val="맑은 고딕"/>
        <b/>
        <color rgb="FF000000"/>
        <sz val="9.0"/>
      </rPr>
      <t>·</t>
    </r>
    <r>
      <rPr>
        <rFont val="Noto Sans CJK SC"/>
        <b/>
        <color rgb="FF000000"/>
        <sz val="9.0"/>
      </rPr>
      <t>보고서 점수</t>
    </r>
  </si>
  <si>
    <r>
      <rPr>
        <rFont val="맑은 고딕"/>
        <i/>
        <color rgb="FF7F7F7F"/>
        <sz val="8.0"/>
      </rPr>
      <t>YYYY-1 / YYYY-2 / YYYY-</t>
    </r>
    <r>
      <rPr>
        <rFont val="Noto Sans CJK SC"/>
        <i/>
        <color rgb="FF7F7F7F"/>
        <sz val="8.0"/>
      </rPr>
      <t xml:space="preserve">여름 </t>
    </r>
    <r>
      <rPr>
        <rFont val="맑은 고딕"/>
        <i/>
        <color rgb="FF7F7F7F"/>
        <sz val="8.0"/>
      </rPr>
      <t>/ YYYY-</t>
    </r>
    <r>
      <rPr>
        <rFont val="Noto Sans CJK SC"/>
        <i/>
        <color rgb="FF7F7F7F"/>
        <sz val="8.0"/>
      </rPr>
      <t>겨울</t>
    </r>
  </si>
  <si>
    <r>
      <rPr>
        <rFont val="맑은 고딕"/>
        <color rgb="FF7F7F7F"/>
        <sz val="9.0"/>
      </rPr>
      <t>1~3</t>
    </r>
    <r>
      <rPr>
        <rFont val="Noto Sans CJK SC"/>
        <color rgb="FF7F7F7F"/>
        <sz val="9.0"/>
      </rPr>
      <t>문장</t>
    </r>
  </si>
  <si>
    <r>
      <rPr>
        <rFont val="맑은 고딕"/>
        <i/>
        <color rgb="FF7F7F7F"/>
        <sz val="8.0"/>
      </rPr>
      <t>[</t>
    </r>
    <r>
      <rPr>
        <rFont val="Noto Sans CJK SC"/>
        <i/>
        <color rgb="FF7F7F7F"/>
        <sz val="8.0"/>
      </rPr>
      <t xml:space="preserve">발표형 </t>
    </r>
    <r>
      <rPr>
        <rFont val="맑은 고딕"/>
        <i/>
        <color rgb="FF7F7F7F"/>
        <sz val="8.0"/>
      </rPr>
      <t xml:space="preserve">/ </t>
    </r>
    <r>
      <rPr>
        <rFont val="Noto Sans CJK SC"/>
        <i/>
        <color rgb="FF7F7F7F"/>
        <sz val="8.0"/>
      </rPr>
      <t xml:space="preserve">토론형 </t>
    </r>
    <r>
      <rPr>
        <rFont val="맑은 고딕"/>
        <i/>
        <color rgb="FF7F7F7F"/>
        <sz val="8.0"/>
      </rPr>
      <t xml:space="preserve">/ </t>
    </r>
    <r>
      <rPr>
        <rFont val="Noto Sans CJK SC"/>
        <i/>
        <color rgb="FF7F7F7F"/>
        <sz val="8.0"/>
      </rPr>
      <t>과제</t>
    </r>
    <r>
      <rPr>
        <rFont val="맑은 고딕"/>
        <i/>
        <color rgb="FF7F7F7F"/>
        <sz val="8.0"/>
      </rPr>
      <t>·</t>
    </r>
    <r>
      <rPr>
        <rFont val="Noto Sans CJK SC"/>
        <i/>
        <color rgb="FF7F7F7F"/>
        <sz val="8.0"/>
      </rPr>
      <t xml:space="preserve">보고서형 </t>
    </r>
    <r>
      <rPr>
        <rFont val="맑은 고딕"/>
        <i/>
        <color rgb="FF7F7F7F"/>
        <sz val="8.0"/>
      </rPr>
      <t>/ PBL</t>
    </r>
    <r>
      <rPr>
        <rFont val="Noto Sans CJK SC"/>
        <i/>
        <color rgb="FF7F7F7F"/>
        <sz val="8.0"/>
      </rPr>
      <t>형</t>
    </r>
    <r>
      <rPr>
        <rFont val="맑은 고딕"/>
        <i/>
        <color rgb="FF7F7F7F"/>
        <sz val="8.0"/>
      </rPr>
      <t>]</t>
    </r>
  </si>
  <si>
    <r>
      <rPr>
        <rFont val="Noto Sans CJK SC"/>
        <b/>
        <color rgb="FFFFFFFF"/>
        <sz val="11.0"/>
      </rPr>
      <t>■ 창의</t>
    </r>
    <r>
      <rPr>
        <rFont val="맑은 고딕"/>
        <b/>
        <color rgb="FFFFFFFF"/>
        <sz val="11.0"/>
      </rPr>
      <t>·</t>
    </r>
    <r>
      <rPr>
        <rFont val="Noto Sans CJK SC"/>
        <b/>
        <color rgb="FFFFFFFF"/>
        <sz val="11.0"/>
      </rPr>
      <t>도전</t>
    </r>
  </si>
  <si>
    <r>
      <rPr>
        <rFont val="Noto Sans CJK SC"/>
        <i/>
        <color rgb="FF7F7F7F"/>
        <sz val="8.0"/>
      </rPr>
      <t>숫자</t>
    </r>
    <r>
      <rPr>
        <rFont val="맑은 고딕"/>
        <i/>
        <color rgb="FF7F7F7F"/>
        <sz val="8.0"/>
      </rPr>
      <t>(100</t>
    </r>
    <r>
      <rPr>
        <rFont val="Noto Sans CJK SC"/>
        <i/>
        <color rgb="FF7F7F7F"/>
        <sz val="8.0"/>
      </rPr>
      <t>점</t>
    </r>
    <r>
      <rPr>
        <rFont val="맑은 고딕"/>
        <i/>
        <color rgb="FF7F7F7F"/>
        <sz val="8.0"/>
      </rPr>
      <t>)</t>
    </r>
  </si>
  <si>
    <t>경제학원론 발표</t>
  </si>
  <si>
    <t>발표</t>
  </si>
  <si>
    <r>
      <rPr>
        <rFont val="Noto Sans CJK SC"/>
        <b/>
        <color rgb="FF000000"/>
        <sz val="11.0"/>
      </rPr>
      <t>공모전 참가</t>
    </r>
    <r>
      <rPr>
        <rFont val="맑은 고딕"/>
        <b/>
        <color rgb="FF000000"/>
        <sz val="11.0"/>
      </rPr>
      <t>·</t>
    </r>
    <r>
      <rPr>
        <rFont val="Noto Sans CJK SC"/>
        <b/>
        <color rgb="FF000000"/>
        <sz val="11.0"/>
      </rPr>
      <t>수상</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</si>
  <si>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xml:space="preserve">· </t>
    </r>
    <r>
      <rPr>
        <rFont val="Noto Sans CJK SC"/>
        <i/>
        <color rgb="FF7F7F7F"/>
        <sz val="8.0"/>
      </rPr>
      <t xml:space="preserve">비교과 </t>
    </r>
    <r>
      <rPr>
        <rFont val="맑은 고딕"/>
        <i/>
        <color rgb="FF7F7F7F"/>
        <sz val="8.0"/>
      </rPr>
      <t>· 3</t>
    </r>
    <r>
      <rPr>
        <rFont val="Noto Sans CJK SC"/>
        <i/>
        <color rgb="FF7F7F7F"/>
        <sz val="8.0"/>
      </rPr>
      <t>품</t>
    </r>
    <r>
      <rPr>
        <rFont val="맑은 고딕"/>
        <i/>
        <color rgb="FF7F7F7F"/>
        <sz val="8.0"/>
      </rPr>
      <t xml:space="preserve">(AI)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자원</t>
    </r>
    <r>
      <rPr>
        <rFont val="맑은 고딕"/>
        <i/>
        <color rgb="FF7F7F7F"/>
        <sz val="8.0"/>
      </rPr>
      <t>·</t>
    </r>
    <r>
      <rPr>
        <rFont val="Noto Sans CJK SC"/>
        <i/>
        <color rgb="FF7F7F7F"/>
        <sz val="8.0"/>
      </rPr>
      <t xml:space="preserve">정보기술활용 </t>
    </r>
    <r>
      <rPr>
        <rFont val="맑은 고딕"/>
        <i/>
        <color rgb="FF7F7F7F"/>
        <sz val="8.0"/>
      </rPr>
      <t xml:space="preserve">/ </t>
    </r>
    <r>
      <rPr>
        <rFont val="Noto Sans CJK SC"/>
        <i/>
        <color rgb="FF7F7F7F"/>
        <sz val="8.0"/>
      </rPr>
      <t xml:space="preserve">디지털리터러시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이수 </t>
    </r>
    <r>
      <rPr>
        <rFont val="맑은 고딕"/>
        <i/>
        <color rgb="FF7F7F7F"/>
        <sz val="8.0"/>
      </rPr>
      <t>'</t>
    </r>
    <r>
      <rPr>
        <rFont val="Noto Sans CJK SC"/>
        <i/>
        <color rgb="FF7F7F7F"/>
        <sz val="8.0"/>
      </rPr>
      <t>시간</t>
    </r>
    <r>
      <rPr>
        <rFont val="맑은 고딕"/>
        <i/>
        <color rgb="FF7F7F7F"/>
        <sz val="8.0"/>
      </rPr>
      <t>'</t>
    </r>
    <r>
      <rPr>
        <rFont val="Noto Sans CJK SC"/>
        <i/>
        <color rgb="FF7F7F7F"/>
        <sz val="8.0"/>
      </rPr>
      <t>까지 받으면 정량화 쉬워짐</t>
    </r>
  </si>
  <si>
    <t>A</t>
  </si>
  <si>
    <r>
      <rPr>
        <rFont val="Noto Sans CJK SC"/>
        <i/>
        <color rgb="FF7F7F7F"/>
        <sz val="8.0"/>
      </rPr>
      <t>출처</t>
    </r>
    <r>
      <rPr>
        <rFont val="맑은 고딕"/>
        <i/>
        <color rgb="FF7F7F7F"/>
        <sz val="8.0"/>
      </rPr>
      <t xml:space="preserve">: </t>
    </r>
    <r>
      <rPr>
        <rFont val="Noto Sans CJK SC"/>
        <i/>
        <color rgb="FF7F7F7F"/>
        <sz val="8.0"/>
      </rPr>
      <t>학생 등록</t>
    </r>
    <r>
      <rPr>
        <rFont val="맑은 고딕"/>
        <i/>
        <color rgb="FF7F7F7F"/>
        <sz val="8.0"/>
      </rPr>
      <t>(</t>
    </r>
    <r>
      <rPr>
        <rFont val="Noto Sans CJK SC"/>
        <i/>
        <color rgb="FF7F7F7F"/>
        <sz val="8.0"/>
      </rPr>
      <t>고용보험 자격이력 등</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커뮤니케이션 </t>
    </r>
    <r>
      <rPr>
        <rFont val="맑은 고딕"/>
        <i/>
        <color rgb="FF7F7F7F"/>
        <sz val="8.0"/>
      </rPr>
      <t xml:space="preserve">/ </t>
    </r>
    <r>
      <rPr>
        <rFont val="Noto Sans CJK SC"/>
        <i/>
        <color rgb="FF7F7F7F"/>
        <sz val="8.0"/>
      </rPr>
      <t xml:space="preserve">책임감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증빙 신뢰도 낮음 → 기간 위주 정량화 권장</t>
    </r>
  </si>
  <si>
    <r>
      <rPr>
        <rFont val="Noto Sans CJK SC"/>
        <b/>
        <color rgb="FF000000"/>
        <sz val="9.0"/>
      </rPr>
      <t>이수 시간</t>
    </r>
    <r>
      <rPr>
        <rFont val="맑은 고딕"/>
        <b/>
        <color rgb="FF000000"/>
        <sz val="9.0"/>
      </rPr>
      <t>(h)</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</si>
  <si>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</si>
  <si>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맑은 고딕"/>
        <i/>
        <color rgb="FF7F7F7F"/>
        <sz val="8.0"/>
      </rPr>
      <t>[</t>
    </r>
    <r>
      <rPr>
        <rFont val="Noto Sans CJK SC"/>
        <i/>
        <color rgb="FF7F7F7F"/>
        <sz val="8.0"/>
      </rPr>
      <t xml:space="preserve">교과 </t>
    </r>
    <r>
      <rPr>
        <rFont val="맑은 고딕"/>
        <i/>
        <color rgb="FF7F7F7F"/>
        <sz val="8.0"/>
      </rPr>
      <t xml:space="preserve">/ </t>
    </r>
    <r>
      <rPr>
        <rFont val="Noto Sans CJK SC"/>
        <i/>
        <color rgb="FF7F7F7F"/>
        <sz val="8.0"/>
      </rPr>
      <t xml:space="preserve">비교과 </t>
    </r>
    <r>
      <rPr>
        <rFont val="맑은 고딕"/>
        <i/>
        <color rgb="FF7F7F7F"/>
        <sz val="8.0"/>
      </rPr>
      <t>/ 3</t>
    </r>
    <r>
      <rPr>
        <rFont val="Noto Sans CJK SC"/>
        <i/>
        <color rgb="FF7F7F7F"/>
        <sz val="8.0"/>
      </rPr>
      <t>품</t>
    </r>
    <r>
      <rPr>
        <rFont val="맑은 고딕"/>
        <i/>
        <color rgb="FF7F7F7F"/>
        <sz val="8.0"/>
      </rPr>
      <t>(AI)]</t>
    </r>
  </si>
  <si>
    <r>
      <rPr>
        <rFont val="Noto Sans CJK SC"/>
        <b/>
        <color rgb="FF000000"/>
        <sz val="11.0"/>
      </rPr>
      <t>수강과목</t>
    </r>
    <r>
      <rPr>
        <rFont val="맑은 고딕"/>
        <b/>
        <color rgb="FF000000"/>
        <sz val="11.0"/>
      </rPr>
      <t>·</t>
    </r>
    <r>
      <rPr>
        <rFont val="Noto Sans CJK SC"/>
        <b/>
        <color rgb="FF000000"/>
        <sz val="11.0"/>
      </rPr>
      <t>심화</t>
    </r>
    <r>
      <rPr>
        <rFont val="맑은 고딕"/>
        <b/>
        <color rgb="FF000000"/>
        <sz val="11.0"/>
      </rPr>
      <t>·</t>
    </r>
    <r>
      <rPr>
        <rFont val="Noto Sans CJK SC"/>
        <b/>
        <color rgb="FF000000"/>
        <sz val="11.0"/>
      </rPr>
      <t>융합 이수</t>
    </r>
  </si>
  <si>
    <r>
      <rPr>
        <rFont val="맑은 고딕"/>
        <i/>
        <color rgb="FF7F7F7F"/>
        <sz val="8.0"/>
      </rPr>
      <t>[</t>
    </r>
    <r>
      <rPr>
        <rFont val="Noto Sans CJK SC"/>
        <i/>
        <color rgb="FF7F7F7F"/>
        <sz val="8.0"/>
      </rPr>
      <t xml:space="preserve">이수 </t>
    </r>
    <r>
      <rPr>
        <rFont val="맑은 고딕"/>
        <i/>
        <color rgb="FF7F7F7F"/>
        <sz val="8.0"/>
      </rPr>
      <t xml:space="preserve">/ </t>
    </r>
    <r>
      <rPr>
        <rFont val="Noto Sans CJK SC"/>
        <i/>
        <color rgb="FF7F7F7F"/>
        <sz val="8.0"/>
      </rPr>
      <t xml:space="preserve">수강중 </t>
    </r>
    <r>
      <rPr>
        <rFont val="맑은 고딕"/>
        <i/>
        <color rgb="FF7F7F7F"/>
        <sz val="8.0"/>
      </rPr>
      <t xml:space="preserve">/ </t>
    </r>
    <r>
      <rPr>
        <rFont val="Noto Sans CJK SC"/>
        <i/>
        <color rgb="FF7F7F7F"/>
        <sz val="8.0"/>
      </rPr>
      <t>미이수</t>
    </r>
    <r>
      <rPr>
        <rFont val="맑은 고딕"/>
        <i/>
        <color rgb="FF7F7F7F"/>
        <sz val="8.0"/>
      </rPr>
      <t>]</t>
    </r>
  </si>
  <si>
    <r>
      <rPr>
        <rFont val="맑은 고딕"/>
        <i/>
        <color rgb="FF7F7F7F"/>
        <sz val="8.0"/>
      </rPr>
      <t>[</t>
    </r>
    <r>
      <rPr>
        <rFont val="Noto Sans CJK SC"/>
        <i/>
        <color rgb="FF7F7F7F"/>
        <sz val="8.0"/>
      </rPr>
      <t xml:space="preserve">고용보험 </t>
    </r>
    <r>
      <rPr>
        <rFont val="맑은 고딕"/>
        <i/>
        <color rgb="FF7F7F7F"/>
        <sz val="8.0"/>
      </rPr>
      <t xml:space="preserve">/ </t>
    </r>
    <r>
      <rPr>
        <rFont val="Noto Sans CJK SC"/>
        <i/>
        <color rgb="FF7F7F7F"/>
        <sz val="8.0"/>
      </rPr>
      <t>재직</t>
    </r>
    <r>
      <rPr>
        <rFont val="맑은 고딕"/>
        <i/>
        <color rgb="FF7F7F7F"/>
        <sz val="8.0"/>
      </rPr>
      <t>·</t>
    </r>
    <r>
      <rPr>
        <rFont val="Noto Sans CJK SC"/>
        <i/>
        <color rgb="FF7F7F7F"/>
        <sz val="8.0"/>
      </rPr>
      <t xml:space="preserve">경력증명 </t>
    </r>
    <r>
      <rPr>
        <rFont val="맑은 고딕"/>
        <i/>
        <color rgb="FF7F7F7F"/>
        <sz val="8.0"/>
      </rPr>
      <t xml:space="preserve">/ </t>
    </r>
    <r>
      <rPr>
        <rFont val="Noto Sans CJK SC"/>
        <i/>
        <color rgb="FF7F7F7F"/>
        <sz val="8.0"/>
      </rPr>
      <t>없음</t>
    </r>
    <r>
      <rPr>
        <rFont val="맑은 고딕"/>
        <i/>
        <color rgb="FF7F7F7F"/>
        <sz val="8.0"/>
      </rPr>
      <t>]</t>
    </r>
  </si>
  <si>
    <r>
      <rPr>
        <rFont val="Noto Sans CJK SC"/>
        <color rgb="FF1F3B8A"/>
        <sz val="10.0"/>
      </rPr>
      <t xml:space="preserve">생성형 </t>
    </r>
    <r>
      <rPr>
        <rFont val="맑은 고딕"/>
        <color rgb="FF1F3B8A"/>
        <sz val="10.0"/>
      </rPr>
      <t>AI</t>
    </r>
    <r>
      <rPr>
        <rFont val="Noto Sans CJK SC"/>
        <color rgb="FF1F3B8A"/>
        <sz val="10.0"/>
      </rPr>
      <t>로 기획서 쓰기</t>
    </r>
  </si>
  <si>
    <r>
      <rPr>
        <rFont val="Noto Sans CJK SC"/>
        <i/>
        <color rgb="FF7F7F7F"/>
        <sz val="8.0"/>
      </rPr>
      <t>출처</t>
    </r>
    <r>
      <rPr>
        <rFont val="맑은 고딕"/>
        <i/>
        <color rgb="FF7F7F7F"/>
        <sz val="8.0"/>
      </rPr>
      <t xml:space="preserve">: </t>
    </r>
    <r>
      <rPr>
        <rFont val="Noto Sans CJK SC"/>
        <i/>
        <color rgb="FF7F7F7F"/>
        <sz val="8.0"/>
      </rPr>
      <t xml:space="preserve">비교과 시스템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창의 </t>
    </r>
    <r>
      <rPr>
        <rFont val="맑은 고딕"/>
        <i/>
        <color rgb="FF7F7F7F"/>
        <sz val="8.0"/>
      </rPr>
      <t xml:space="preserve">/ </t>
    </r>
    <r>
      <rPr>
        <rFont val="Noto Sans CJK SC"/>
        <i/>
        <color rgb="FF7F7F7F"/>
        <sz val="8.0"/>
      </rPr>
      <t xml:space="preserve">종합적사고력 </t>
    </r>
    <r>
      <rPr>
        <rFont val="맑은 고딕"/>
        <i/>
        <color rgb="FF7F7F7F"/>
        <sz val="8.0"/>
      </rPr>
      <t xml:space="preserve">/ </t>
    </r>
    <r>
      <rPr>
        <rFont val="Noto Sans CJK SC"/>
        <i/>
        <color rgb="FF7F7F7F"/>
        <sz val="8.0"/>
      </rPr>
      <t xml:space="preserve">문제해결력 </t>
    </r>
    <r>
      <rPr>
        <rFont val="맑은 고딕"/>
        <i/>
        <color rgb="FF7F7F7F"/>
        <sz val="8.0"/>
      </rPr>
      <t xml:space="preserve">/ </t>
    </r>
    <r>
      <rPr>
        <rFont val="Noto Sans CJK SC"/>
        <i/>
        <color rgb="FF7F7F7F"/>
        <sz val="8.0"/>
      </rPr>
      <t xml:space="preserve">도전정신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수상 등급 </t>
    </r>
    <r>
      <rPr>
        <rFont val="맑은 고딕"/>
        <i/>
        <color rgb="FF7F7F7F"/>
        <sz val="8.0"/>
      </rPr>
      <t xml:space="preserve">× </t>
    </r>
    <r>
      <rPr>
        <rFont val="Noto Sans CJK SC"/>
        <i/>
        <color rgb="FF7F7F7F"/>
        <sz val="8.0"/>
      </rPr>
      <t>주관 수준</t>
    </r>
    <r>
      <rPr>
        <rFont val="맑은 고딕"/>
        <i/>
        <color rgb="FF7F7F7F"/>
        <sz val="8.0"/>
      </rPr>
      <t>(</t>
    </r>
    <r>
      <rPr>
        <rFont val="Noto Sans CJK SC"/>
        <i/>
        <color rgb="FF7F7F7F"/>
        <sz val="8.0"/>
      </rPr>
      <t>교내</t>
    </r>
    <r>
      <rPr>
        <rFont val="맑은 고딕"/>
        <i/>
        <color rgb="FF7F7F7F"/>
        <sz val="8.0"/>
      </rPr>
      <t>·</t>
    </r>
    <r>
      <rPr>
        <rFont val="Noto Sans CJK SC"/>
        <i/>
        <color rgb="FF7F7F7F"/>
        <sz val="8.0"/>
      </rPr>
      <t>전국</t>
    </r>
    <r>
      <rPr>
        <rFont val="맑은 고딕"/>
        <i/>
        <color rgb="FF7F7F7F"/>
        <sz val="8.0"/>
      </rPr>
      <t>·</t>
    </r>
    <r>
      <rPr>
        <rFont val="Noto Sans CJK SC"/>
        <i/>
        <color rgb="FF7F7F7F"/>
        <sz val="8.0"/>
      </rPr>
      <t>국제</t>
    </r>
    <r>
      <rPr>
        <rFont val="맑은 고딕"/>
        <i/>
        <color rgb="FF7F7F7F"/>
        <sz val="8.0"/>
      </rPr>
      <t xml:space="preserve">) </t>
    </r>
    <r>
      <rPr>
        <rFont val="Noto Sans CJK SC"/>
        <i/>
        <color rgb="FF7F7F7F"/>
        <sz val="8.0"/>
      </rPr>
      <t>매핑 필요</t>
    </r>
  </si>
  <si>
    <r>
      <rPr>
        <rFont val="맑은 고딕"/>
        <b/>
        <color rgb="FF000000"/>
        <sz val="11.0"/>
      </rPr>
      <t xml:space="preserve">AI </t>
    </r>
    <r>
      <rPr>
        <rFont val="Noto Sans CJK SC"/>
        <b/>
        <color rgb="FF000000"/>
        <sz val="11.0"/>
      </rPr>
      <t>프로젝트</t>
    </r>
    <r>
      <rPr>
        <rFont val="맑은 고딕"/>
        <b/>
        <color rgb="FF000000"/>
        <sz val="11.0"/>
      </rPr>
      <t>·</t>
    </r>
    <r>
      <rPr>
        <rFont val="Noto Sans CJK SC"/>
        <b/>
        <color rgb="FF000000"/>
        <sz val="11.0"/>
      </rPr>
      <t>대회</t>
    </r>
  </si>
  <si>
    <r>
      <rPr>
        <rFont val="Noto Sans CJK SC"/>
        <b/>
        <color rgb="FF000000"/>
        <sz val="11.0"/>
      </rPr>
      <t>진로설계</t>
    </r>
    <r>
      <rPr>
        <rFont val="맑은 고딕"/>
        <b/>
        <color rgb="FF000000"/>
        <sz val="11.0"/>
      </rPr>
      <t>·</t>
    </r>
    <r>
      <rPr>
        <rFont val="Noto Sans CJK SC"/>
        <b/>
        <color rgb="FF000000"/>
        <sz val="11.0"/>
      </rPr>
      <t>취업상담</t>
    </r>
  </si>
  <si>
    <r>
      <rPr>
        <rFont val="맑은 고딕"/>
        <i/>
        <color rgb="FF7F7F7F"/>
        <sz val="8.0"/>
      </rPr>
      <t>[</t>
    </r>
    <r>
      <rPr>
        <rFont val="Noto Sans CJK SC"/>
        <i/>
        <color rgb="FF7F7F7F"/>
        <sz val="8.0"/>
      </rPr>
      <t xml:space="preserve">교내 </t>
    </r>
    <r>
      <rPr>
        <rFont val="맑은 고딕"/>
        <i/>
        <color rgb="FF7F7F7F"/>
        <sz val="8.0"/>
      </rPr>
      <t xml:space="preserve">/ </t>
    </r>
    <r>
      <rPr>
        <rFont val="Noto Sans CJK SC"/>
        <i/>
        <color rgb="FF7F7F7F"/>
        <sz val="8.0"/>
      </rPr>
      <t xml:space="preserve">지역 </t>
    </r>
    <r>
      <rPr>
        <rFont val="맑은 고딕"/>
        <i/>
        <color rgb="FF7F7F7F"/>
        <sz val="8.0"/>
      </rPr>
      <t xml:space="preserve">/ </t>
    </r>
    <r>
      <rPr>
        <rFont val="Noto Sans CJK SC"/>
        <i/>
        <color rgb="FF7F7F7F"/>
        <sz val="8.0"/>
      </rPr>
      <t xml:space="preserve">전국 </t>
    </r>
    <r>
      <rPr>
        <rFont val="맑은 고딕"/>
        <i/>
        <color rgb="FF7F7F7F"/>
        <sz val="8.0"/>
      </rPr>
      <t xml:space="preserve">/ </t>
    </r>
    <r>
      <rPr>
        <rFont val="Noto Sans CJK SC"/>
        <i/>
        <color rgb="FF7F7F7F"/>
        <sz val="8.0"/>
      </rPr>
      <t>국제</t>
    </r>
    <r>
      <rPr>
        <rFont val="맑은 고딕"/>
        <i/>
        <color rgb="FF7F7F7F"/>
        <sz val="8.0"/>
      </rPr>
      <t>]</t>
    </r>
  </si>
  <si>
    <r>
      <rPr>
        <rFont val="맑은 고딕"/>
        <i/>
        <color rgb="FF7F7F7F"/>
        <sz val="8.0"/>
      </rPr>
      <t>[</t>
    </r>
    <r>
      <rPr>
        <rFont val="Noto Sans CJK SC"/>
        <i/>
        <color rgb="FF7F7F7F"/>
        <sz val="8.0"/>
      </rPr>
      <t xml:space="preserve">참가 </t>
    </r>
    <r>
      <rPr>
        <rFont val="맑은 고딕"/>
        <i/>
        <color rgb="FF7F7F7F"/>
        <sz val="8.0"/>
      </rPr>
      <t xml:space="preserve">/ </t>
    </r>
    <r>
      <rPr>
        <rFont val="Noto Sans CJK SC"/>
        <i/>
        <color rgb="FF7F7F7F"/>
        <sz val="8.0"/>
      </rPr>
      <t xml:space="preserve">입선 </t>
    </r>
    <r>
      <rPr>
        <rFont val="맑은 고딕"/>
        <i/>
        <color rgb="FF7F7F7F"/>
        <sz val="8.0"/>
      </rPr>
      <t xml:space="preserve">/ </t>
    </r>
    <r>
      <rPr>
        <rFont val="Noto Sans CJK SC"/>
        <i/>
        <color rgb="FF7F7F7F"/>
        <sz val="8.0"/>
      </rPr>
      <t xml:space="preserve">장려 </t>
    </r>
    <r>
      <rPr>
        <rFont val="맑은 고딕"/>
        <i/>
        <color rgb="FF7F7F7F"/>
        <sz val="8.0"/>
      </rPr>
      <t xml:space="preserve">/ </t>
    </r>
    <r>
      <rPr>
        <rFont val="Noto Sans CJK SC"/>
        <i/>
        <color rgb="FF7F7F7F"/>
        <sz val="8.0"/>
      </rPr>
      <t xml:space="preserve">우수 </t>
    </r>
    <r>
      <rPr>
        <rFont val="맑은 고딕"/>
        <i/>
        <color rgb="FF7F7F7F"/>
        <sz val="8.0"/>
      </rPr>
      <t xml:space="preserve">/ </t>
    </r>
    <r>
      <rPr>
        <rFont val="Noto Sans CJK SC"/>
        <i/>
        <color rgb="FF7F7F7F"/>
        <sz val="8.0"/>
      </rPr>
      <t xml:space="preserve">최우수 </t>
    </r>
    <r>
      <rPr>
        <rFont val="맑은 고딕"/>
        <i/>
        <color rgb="FF7F7F7F"/>
        <sz val="8.0"/>
      </rPr>
      <t xml:space="preserve">/ </t>
    </r>
    <r>
      <rPr>
        <rFont val="Noto Sans CJK SC"/>
        <i/>
        <color rgb="FF7F7F7F"/>
        <sz val="8.0"/>
      </rPr>
      <t>대상</t>
    </r>
    <r>
      <rPr>
        <rFont val="맑은 고딕"/>
        <i/>
        <color rgb="FF7F7F7F"/>
        <sz val="8.0"/>
      </rPr>
      <t>]</t>
    </r>
  </si>
  <si>
    <r>
      <rPr>
        <rFont val="맑은 고딕"/>
        <i/>
        <color rgb="FF7F7F7F"/>
        <sz val="8.0"/>
      </rPr>
      <t>[</t>
    </r>
    <r>
      <rPr>
        <rFont val="Noto Sans CJK SC"/>
        <i/>
        <color rgb="FF7F7F7F"/>
        <sz val="8.0"/>
      </rPr>
      <t xml:space="preserve">개인 </t>
    </r>
    <r>
      <rPr>
        <rFont val="맑은 고딕"/>
        <i/>
        <color rgb="FF7F7F7F"/>
        <sz val="8.0"/>
      </rPr>
      <t xml:space="preserve">/ </t>
    </r>
    <r>
      <rPr>
        <rFont val="Noto Sans CJK SC"/>
        <i/>
        <color rgb="FF7F7F7F"/>
        <sz val="8.0"/>
      </rPr>
      <t>팀</t>
    </r>
    <r>
      <rPr>
        <rFont val="맑은 고딕"/>
        <i/>
        <color rgb="FF7F7F7F"/>
        <sz val="8.0"/>
      </rPr>
      <t>]</t>
    </r>
  </si>
  <si>
    <r>
      <rPr>
        <rFont val="Noto Sans CJK SC"/>
        <i/>
        <color rgb="FF7F7F7F"/>
        <sz val="8.0"/>
      </rPr>
      <t>출처</t>
    </r>
    <r>
      <rPr>
        <rFont val="맑은 고딕"/>
        <i/>
        <color rgb="FF7F7F7F"/>
        <sz val="8.0"/>
      </rPr>
      <t xml:space="preserve">: </t>
    </r>
    <r>
      <rPr>
        <rFont val="Noto Sans CJK SC"/>
        <i/>
        <color rgb="FF7F7F7F"/>
        <sz val="8.0"/>
      </rPr>
      <t>학사시스템</t>
    </r>
    <r>
      <rPr>
        <rFont val="맑은 고딕"/>
        <i/>
        <color rgb="FF7F7F7F"/>
        <sz val="8.0"/>
      </rPr>
      <t>(</t>
    </r>
    <r>
      <rPr>
        <rFont val="Noto Sans CJK SC"/>
        <i/>
        <color rgb="FF7F7F7F"/>
        <sz val="8.0"/>
      </rPr>
      <t>수강내역</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탐구력 </t>
    </r>
    <r>
      <rPr>
        <rFont val="맑은 고딕"/>
        <i/>
        <color rgb="FF7F7F7F"/>
        <sz val="8.0"/>
      </rPr>
      <t xml:space="preserve">/ </t>
    </r>
    <r>
      <rPr>
        <rFont val="Noto Sans CJK SC"/>
        <i/>
        <color rgb="FF7F7F7F"/>
        <sz val="8.0"/>
      </rPr>
      <t>종합적사고력</t>
    </r>
    <r>
      <rPr>
        <rFont val="맑은 고딕"/>
        <i/>
        <color rgb="FF7F7F7F"/>
        <sz val="8.0"/>
      </rPr>
      <t>(</t>
    </r>
    <r>
      <rPr>
        <rFont val="Noto Sans CJK SC"/>
        <i/>
        <color rgb="FF7F7F7F"/>
        <sz val="8.0"/>
      </rPr>
      <t>융합적 사고</t>
    </r>
    <r>
      <rPr>
        <rFont val="맑은 고딕"/>
        <i/>
        <color rgb="FF7F7F7F"/>
        <sz val="8.0"/>
      </rPr>
      <t xml:space="preserve">) /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마인드맵의 </t>
    </r>
    <r>
      <rPr>
        <rFont val="맑은 고딕"/>
        <i/>
        <color rgb="FF7F7F7F"/>
        <sz val="8.0"/>
      </rPr>
      <t>'</t>
    </r>
    <r>
      <rPr>
        <rFont val="Noto Sans CJK SC"/>
        <i/>
        <color rgb="FF7F7F7F"/>
        <sz val="8.0"/>
      </rPr>
      <t>융합 전공</t>
    </r>
    <r>
      <rPr>
        <rFont val="맑은 고딕"/>
        <i/>
        <color rgb="FF7F7F7F"/>
        <sz val="8.0"/>
      </rPr>
      <t>'</t>
    </r>
    <r>
      <rPr>
        <rFont val="Noto Sans CJK SC"/>
        <i/>
        <color rgb="FF7F7F7F"/>
        <sz val="8.0"/>
      </rPr>
      <t>은 기존 데이터셋에 없음 → 수강내역에서 도출</t>
    </r>
  </si>
  <si>
    <r>
      <rPr>
        <rFont val="Noto Sans CJK SC"/>
        <color rgb="FF1F3B8A"/>
        <sz val="10.0"/>
      </rPr>
      <t xml:space="preserve">약 </t>
    </r>
    <r>
      <rPr>
        <rFont val="맑은 고딕"/>
        <color rgb="FF1F3B8A"/>
        <sz val="10.0"/>
      </rPr>
      <t>37</t>
    </r>
    <r>
      <rPr>
        <rFont val="Noto Sans CJK SC"/>
        <color rgb="FF1F3B8A"/>
        <sz val="10.0"/>
      </rPr>
      <t>학점</t>
    </r>
  </si>
  <si>
    <r>
      <rPr>
        <rFont val="Noto Sans CJK SC"/>
        <color rgb="FF7F7F7F"/>
        <sz val="9.0"/>
      </rPr>
      <t>예</t>
    </r>
    <r>
      <rPr>
        <rFont val="맑은 고딕"/>
        <color rgb="FF7F7F7F"/>
        <sz val="9.0"/>
      </rPr>
      <t>: 124</t>
    </r>
  </si>
  <si>
    <r>
      <rPr>
        <rFont val="Noto Sans CJK SC"/>
        <color rgb="FF7F7F7F"/>
        <sz val="9.0"/>
      </rPr>
      <t xml:space="preserve">없으면 </t>
    </r>
    <r>
      <rPr>
        <rFont val="맑은 고딕"/>
        <color rgb="FF7F7F7F"/>
        <sz val="9.0"/>
      </rPr>
      <t>0</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</si>
  <si>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3</t>
    </r>
    <r>
      <rPr>
        <rFont val="Noto Sans CJK SC"/>
        <i/>
        <color rgb="FF7F7F7F"/>
        <sz val="8.0"/>
      </rPr>
      <t>품</t>
    </r>
    <r>
      <rPr>
        <rFont val="맑은 고딕"/>
        <i/>
        <color rgb="FF7F7F7F"/>
        <sz val="8.0"/>
      </rPr>
      <t xml:space="preserve">(AI)   |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디지털리터러시</t>
    </r>
    <r>
      <rPr>
        <rFont val="맑은 고딕"/>
        <i/>
        <color rgb="FF7F7F7F"/>
        <sz val="8.0"/>
      </rPr>
      <t xml:space="preserve">(AI </t>
    </r>
    <r>
      <rPr>
        <rFont val="Noto Sans CJK SC"/>
        <i/>
        <color rgb="FF7F7F7F"/>
        <sz val="8.0"/>
      </rPr>
      <t>활용</t>
    </r>
    <r>
      <rPr>
        <rFont val="맑은 고딕"/>
        <i/>
        <color rgb="FF7F7F7F"/>
        <sz val="8.0"/>
      </rPr>
      <t xml:space="preserve">) / </t>
    </r>
    <r>
      <rPr>
        <rFont val="Noto Sans CJK SC"/>
        <i/>
        <color rgb="FF7F7F7F"/>
        <sz val="8.0"/>
      </rPr>
      <t xml:space="preserve">문제해결력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공모전 항목과 중복 가산되지 않게 분리</t>
    </r>
  </si>
  <si>
    <r>
      <rPr>
        <rFont val="맑은 고딕"/>
        <i/>
        <color rgb="FF7F7F7F"/>
        <sz val="8.0"/>
      </rPr>
      <t>[</t>
    </r>
    <r>
      <rPr>
        <rFont val="Noto Sans CJK SC"/>
        <i/>
        <color rgb="FF7F7F7F"/>
        <sz val="8.0"/>
      </rPr>
      <t xml:space="preserve">주전공 </t>
    </r>
    <r>
      <rPr>
        <rFont val="맑은 고딕"/>
        <i/>
        <color rgb="FF7F7F7F"/>
        <sz val="8.0"/>
      </rPr>
      <t xml:space="preserve">/ </t>
    </r>
    <r>
      <rPr>
        <rFont val="Noto Sans CJK SC"/>
        <i/>
        <color rgb="FF7F7F7F"/>
        <sz val="8.0"/>
      </rPr>
      <t xml:space="preserve">복수전공 </t>
    </r>
    <r>
      <rPr>
        <rFont val="맑은 고딕"/>
        <i/>
        <color rgb="FF7F7F7F"/>
        <sz val="8.0"/>
      </rPr>
      <t xml:space="preserve">/ </t>
    </r>
    <r>
      <rPr>
        <rFont val="Noto Sans CJK SC"/>
        <i/>
        <color rgb="FF7F7F7F"/>
        <sz val="8.0"/>
      </rPr>
      <t xml:space="preserve">부전공 </t>
    </r>
    <r>
      <rPr>
        <rFont val="맑은 고딕"/>
        <i/>
        <color rgb="FF7F7F7F"/>
        <sz val="8.0"/>
      </rPr>
      <t xml:space="preserve">/ </t>
    </r>
    <r>
      <rPr>
        <rFont val="Noto Sans CJK SC"/>
        <i/>
        <color rgb="FF7F7F7F"/>
        <sz val="8.0"/>
      </rPr>
      <t xml:space="preserve">연계전공 </t>
    </r>
    <r>
      <rPr>
        <rFont val="맑은 고딕"/>
        <i/>
        <color rgb="FF7F7F7F"/>
        <sz val="8.0"/>
      </rPr>
      <t xml:space="preserve">/ </t>
    </r>
    <r>
      <rPr>
        <rFont val="Noto Sans CJK SC"/>
        <i/>
        <color rgb="FF7F7F7F"/>
        <sz val="8.0"/>
      </rPr>
      <t xml:space="preserve">융합전공 </t>
    </r>
    <r>
      <rPr>
        <rFont val="맑은 고딕"/>
        <i/>
        <color rgb="FF7F7F7F"/>
        <sz val="8.0"/>
      </rPr>
      <t xml:space="preserve">/ </t>
    </r>
    <r>
      <rPr>
        <rFont val="Noto Sans CJK SC"/>
        <i/>
        <color rgb="FF7F7F7F"/>
        <sz val="8.0"/>
      </rPr>
      <t>심화전공</t>
    </r>
    <r>
      <rPr>
        <rFont val="맑은 고딕"/>
        <i/>
        <color rgb="FF7F7F7F"/>
        <sz val="8.0"/>
      </rPr>
      <t>]</t>
    </r>
  </si>
  <si>
    <r>
      <rPr>
        <rFont val="Noto Sans CJK SC"/>
        <b/>
        <color rgb="FF000000"/>
        <sz val="9.0"/>
      </rPr>
      <t>결과</t>
    </r>
    <r>
      <rPr>
        <rFont val="맑은 고딕"/>
        <b/>
        <color rgb="FF000000"/>
        <sz val="9.0"/>
      </rPr>
      <t>·</t>
    </r>
    <r>
      <rPr>
        <rFont val="Noto Sans CJK SC"/>
        <b/>
        <color rgb="FF000000"/>
        <sz val="9.0"/>
      </rPr>
      <t>산출물</t>
    </r>
  </si>
  <si>
    <r>
      <rPr>
        <rFont val="맑은 고딕"/>
        <i/>
        <color rgb="FF7F7F7F"/>
        <sz val="8.0"/>
      </rPr>
      <t>[</t>
    </r>
    <r>
      <rPr>
        <rFont val="Noto Sans CJK SC"/>
        <i/>
        <color rgb="FF7F7F7F"/>
        <sz val="8.0"/>
      </rPr>
      <t xml:space="preserve">신청 </t>
    </r>
    <r>
      <rPr>
        <rFont val="맑은 고딕"/>
        <i/>
        <color rgb="FF7F7F7F"/>
        <sz val="8.0"/>
      </rPr>
      <t xml:space="preserve">/ </t>
    </r>
    <r>
      <rPr>
        <rFont val="Noto Sans CJK SC"/>
        <i/>
        <color rgb="FF7F7F7F"/>
        <sz val="8.0"/>
      </rPr>
      <t xml:space="preserve">이수중 </t>
    </r>
    <r>
      <rPr>
        <rFont val="맑은 고딕"/>
        <i/>
        <color rgb="FF7F7F7F"/>
        <sz val="8.0"/>
      </rPr>
      <t xml:space="preserve">/ </t>
    </r>
    <r>
      <rPr>
        <rFont val="Noto Sans CJK SC"/>
        <i/>
        <color rgb="FF7F7F7F"/>
        <sz val="8.0"/>
      </rPr>
      <t>이수완료</t>
    </r>
    <r>
      <rPr>
        <rFont val="맑은 고딕"/>
        <i/>
        <color rgb="FF7F7F7F"/>
        <sz val="8.0"/>
      </rPr>
      <t>]</t>
    </r>
  </si>
  <si>
    <r>
      <rPr>
        <rFont val="맑은 고딕"/>
        <i/>
        <color rgb="FF7F7F7F"/>
        <sz val="8.0"/>
      </rPr>
      <t>[AI</t>
    </r>
    <r>
      <rPr>
        <rFont val="Noto Sans CJK SC"/>
        <i/>
        <color rgb="FF7F7F7F"/>
        <sz val="8.0"/>
      </rPr>
      <t xml:space="preserve">캡스톤 </t>
    </r>
    <r>
      <rPr>
        <rFont val="맑은 고딕"/>
        <i/>
        <color rgb="FF7F7F7F"/>
        <sz val="8.0"/>
      </rPr>
      <t>/ AI</t>
    </r>
    <r>
      <rPr>
        <rFont val="Noto Sans CJK SC"/>
        <i/>
        <color rgb="FF7F7F7F"/>
        <sz val="8.0"/>
      </rPr>
      <t xml:space="preserve">대회 </t>
    </r>
    <r>
      <rPr>
        <rFont val="맑은 고딕"/>
        <i/>
        <color rgb="FF7F7F7F"/>
        <sz val="8.0"/>
      </rPr>
      <t>/ AI</t>
    </r>
    <r>
      <rPr>
        <rFont val="Noto Sans CJK SC"/>
        <i/>
        <color rgb="FF7F7F7F"/>
        <sz val="8.0"/>
      </rPr>
      <t xml:space="preserve">공모전 </t>
    </r>
    <r>
      <rPr>
        <rFont val="맑은 고딕"/>
        <i/>
        <color rgb="FF7F7F7F"/>
        <sz val="8.0"/>
      </rPr>
      <t>/ AI</t>
    </r>
    <r>
      <rPr>
        <rFont val="Noto Sans CJK SC"/>
        <i/>
        <color rgb="FF7F7F7F"/>
        <sz val="8.0"/>
      </rPr>
      <t>프로젝트</t>
    </r>
    <r>
      <rPr>
        <rFont val="맑은 고딕"/>
        <i/>
        <color rgb="FF7F7F7F"/>
        <sz val="8.0"/>
      </rPr>
      <t>]</t>
    </r>
  </si>
  <si>
    <r>
      <rPr>
        <rFont val="맑은 고딕"/>
        <i/>
        <color rgb="FF7F7F7F"/>
        <sz val="8.0"/>
      </rPr>
      <t>[</t>
    </r>
    <r>
      <rPr>
        <rFont val="Noto Sans CJK SC"/>
        <i/>
        <color rgb="FF7F7F7F"/>
        <sz val="8.0"/>
      </rPr>
      <t xml:space="preserve">교내 </t>
    </r>
    <r>
      <rPr>
        <rFont val="맑은 고딕"/>
        <i/>
        <color rgb="FF7F7F7F"/>
        <sz val="8.0"/>
      </rPr>
      <t xml:space="preserve">/ </t>
    </r>
    <r>
      <rPr>
        <rFont val="Noto Sans CJK SC"/>
        <i/>
        <color rgb="FF7F7F7F"/>
        <sz val="8.0"/>
      </rPr>
      <t xml:space="preserve">지역 </t>
    </r>
    <r>
      <rPr>
        <rFont val="맑은 고딕"/>
        <i/>
        <color rgb="FF7F7F7F"/>
        <sz val="8.0"/>
      </rPr>
      <t xml:space="preserve">/ </t>
    </r>
    <r>
      <rPr>
        <rFont val="Noto Sans CJK SC"/>
        <i/>
        <color rgb="FF7F7F7F"/>
        <sz val="8.0"/>
      </rPr>
      <t xml:space="preserve">전국 </t>
    </r>
    <r>
      <rPr>
        <rFont val="맑은 고딕"/>
        <i/>
        <color rgb="FF7F7F7F"/>
        <sz val="8.0"/>
      </rPr>
      <t xml:space="preserve">/ </t>
    </r>
    <r>
      <rPr>
        <rFont val="Noto Sans CJK SC"/>
        <i/>
        <color rgb="FF7F7F7F"/>
        <sz val="8.0"/>
      </rPr>
      <t>국제</t>
    </r>
    <r>
      <rPr>
        <rFont val="맑은 고딕"/>
        <i/>
        <color rgb="FF7F7F7F"/>
        <sz val="8.0"/>
      </rPr>
      <t>]</t>
    </r>
  </si>
  <si>
    <r>
      <rPr>
        <rFont val="Noto Sans CJK SC"/>
        <i/>
        <color rgb="FF7F7F7F"/>
        <sz val="8.0"/>
      </rPr>
      <t>출처</t>
    </r>
    <r>
      <rPr>
        <rFont val="맑은 고딕"/>
        <i/>
        <color rgb="FF7F7F7F"/>
        <sz val="8.0"/>
      </rPr>
      <t xml:space="preserve">: </t>
    </r>
    <r>
      <rPr>
        <rFont val="Noto Sans CJK SC"/>
        <i/>
        <color rgb="FF7F7F7F"/>
        <sz val="8.0"/>
      </rPr>
      <t xml:space="preserve">경력개발 </t>
    </r>
    <r>
      <rPr>
        <rFont val="맑은 고딕"/>
        <i/>
        <color rgb="FF7F7F7F"/>
        <sz val="8.0"/>
      </rPr>
      <t xml:space="preserve">· </t>
    </r>
    <r>
      <rPr>
        <rFont val="Noto Sans CJK SC"/>
        <i/>
        <color rgb="FF7F7F7F"/>
        <sz val="8.0"/>
      </rPr>
      <t xml:space="preserve">상담 시스템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자기관리</t>
    </r>
    <r>
      <rPr>
        <rFont val="맑은 고딕"/>
        <i/>
        <color rgb="FF7F7F7F"/>
        <sz val="8.0"/>
      </rPr>
      <t>(</t>
    </r>
    <r>
      <rPr>
        <rFont val="Noto Sans CJK SC"/>
        <i/>
        <color rgb="FF7F7F7F"/>
        <sz val="8.0"/>
      </rPr>
      <t>계획 수립</t>
    </r>
    <r>
      <rPr>
        <rFont val="맑은 고딕"/>
        <i/>
        <color rgb="FF7F7F7F"/>
        <sz val="8.0"/>
      </rPr>
      <t xml:space="preserve">) /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t>
    </r>
    <r>
      <rPr>
        <rFont val="Noto Sans CJK SC"/>
        <i/>
        <color rgb="FF7F7F7F"/>
        <sz val="8.0"/>
      </rPr>
      <t>계획 수립 및 실행 능력</t>
    </r>
    <r>
      <rPr>
        <rFont val="맑은 고딕"/>
        <i/>
        <color rgb="FF7F7F7F"/>
        <sz val="8.0"/>
      </rPr>
      <t>'</t>
    </r>
    <r>
      <rPr>
        <rFont val="Noto Sans CJK SC"/>
        <i/>
        <color rgb="FF7F7F7F"/>
        <sz val="8.0"/>
      </rPr>
      <t xml:space="preserve">의 근거가 </t>
    </r>
    <r>
      <rPr>
        <rFont val="맑은 고딕"/>
        <i/>
        <color rgb="FF7F7F7F"/>
        <sz val="8.0"/>
      </rPr>
      <t xml:space="preserve">LMS </t>
    </r>
    <r>
      <rPr>
        <rFont val="Noto Sans CJK SC"/>
        <i/>
        <color rgb="FF7F7F7F"/>
        <sz val="8.0"/>
      </rPr>
      <t>하나뿐인 공백 보완</t>
    </r>
  </si>
  <si>
    <r>
      <rPr>
        <rFont val="Noto Sans CJK SC"/>
        <b/>
        <color rgb="FF000000"/>
        <sz val="10.0"/>
      </rPr>
      <t>진로</t>
    </r>
    <r>
      <rPr>
        <rFont val="맑은 고딕"/>
        <b/>
        <color rgb="FF000000"/>
        <sz val="10.0"/>
      </rPr>
      <t>·</t>
    </r>
    <r>
      <rPr>
        <rFont val="Noto Sans CJK SC"/>
        <b/>
        <color rgb="FF000000"/>
        <sz val="10.0"/>
      </rPr>
      <t>취업 상담 횟수</t>
    </r>
    <r>
      <rPr>
        <rFont val="맑은 고딕"/>
        <b/>
        <color rgb="FF000000"/>
        <sz val="10.0"/>
      </rPr>
      <t>(</t>
    </r>
    <r>
      <rPr>
        <rFont val="Noto Sans CJK SC"/>
        <b/>
        <color rgb="FF000000"/>
        <sz val="10.0"/>
      </rPr>
      <t>누적</t>
    </r>
    <r>
      <rPr>
        <rFont val="맑은 고딕"/>
        <b/>
        <color rgb="FF000000"/>
        <sz val="10.0"/>
      </rPr>
      <t>)</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</si>
  <si>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xml:space="preserve">· </t>
    </r>
    <r>
      <rPr>
        <rFont val="Noto Sans CJK SC"/>
        <i/>
        <color rgb="FF7F7F7F"/>
        <sz val="8.0"/>
      </rPr>
      <t xml:space="preserve">창업지원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창의 </t>
    </r>
    <r>
      <rPr>
        <rFont val="맑은 고딕"/>
        <i/>
        <color rgb="FF7F7F7F"/>
        <sz val="8.0"/>
      </rPr>
      <t xml:space="preserve">/ </t>
    </r>
    <r>
      <rPr>
        <rFont val="Noto Sans CJK SC"/>
        <i/>
        <color rgb="FF7F7F7F"/>
        <sz val="8.0"/>
      </rPr>
      <t>도전정신</t>
    </r>
  </si>
  <si>
    <r>
      <rPr>
        <rFont val="Noto Sans CJK SC"/>
        <b/>
        <color rgb="FF000000"/>
        <sz val="10.0"/>
      </rPr>
      <t>희망 직무</t>
    </r>
    <r>
      <rPr>
        <rFont val="맑은 고딕"/>
        <b/>
        <color rgb="FF000000"/>
        <sz val="10.0"/>
      </rPr>
      <t>·</t>
    </r>
    <r>
      <rPr>
        <rFont val="Noto Sans CJK SC"/>
        <b/>
        <color rgb="FF000000"/>
        <sz val="10.0"/>
      </rPr>
      <t>분야</t>
    </r>
  </si>
  <si>
    <r>
      <rPr>
        <rFont val="맑은 고딕"/>
        <color rgb="FF7F7F7F"/>
        <sz val="9.0"/>
      </rPr>
      <t>1~3</t>
    </r>
    <r>
      <rPr>
        <rFont val="Noto Sans CJK SC"/>
        <color rgb="FF7F7F7F"/>
        <sz val="9.0"/>
      </rPr>
      <t>문장</t>
    </r>
  </si>
  <si>
    <r>
      <rPr>
        <rFont val="Noto Sans CJK SC"/>
        <b/>
        <color rgb="FFFFFFFF"/>
        <sz val="11.0"/>
      </rPr>
      <t>■ 창의</t>
    </r>
    <r>
      <rPr>
        <rFont val="맑은 고딕"/>
        <b/>
        <color rgb="FFFFFFFF"/>
        <sz val="11.0"/>
      </rPr>
      <t>·</t>
    </r>
    <r>
      <rPr>
        <rFont val="Noto Sans CJK SC"/>
        <b/>
        <color rgb="FFFFFFFF"/>
        <sz val="11.0"/>
      </rPr>
      <t>도전</t>
    </r>
  </si>
  <si>
    <r>
      <rPr>
        <rFont val="Noto Sans CJK SC"/>
        <b/>
        <color rgb="FF000000"/>
        <sz val="9.0"/>
      </rPr>
      <t>명칭</t>
    </r>
    <r>
      <rPr>
        <rFont val="맑은 고딕"/>
        <b/>
        <color rgb="FF000000"/>
        <sz val="9.0"/>
      </rPr>
      <t>·</t>
    </r>
    <r>
      <rPr>
        <rFont val="Noto Sans CJK SC"/>
        <b/>
        <color rgb="FF000000"/>
        <sz val="9.0"/>
      </rPr>
      <t>내용</t>
    </r>
  </si>
  <si>
    <r>
      <rPr>
        <rFont val="맑은 고딕"/>
        <i/>
        <color rgb="FF7F7F7F"/>
        <sz val="8.0"/>
      </rPr>
      <t>[</t>
    </r>
    <r>
      <rPr>
        <rFont val="Noto Sans CJK SC"/>
        <i/>
        <color rgb="FF7F7F7F"/>
        <sz val="8.0"/>
      </rPr>
      <t xml:space="preserve">창업교과목 </t>
    </r>
    <r>
      <rPr>
        <rFont val="맑은 고딕"/>
        <i/>
        <color rgb="FF7F7F7F"/>
        <sz val="8.0"/>
      </rPr>
      <t xml:space="preserve">/ </t>
    </r>
    <r>
      <rPr>
        <rFont val="Noto Sans CJK SC"/>
        <i/>
        <color rgb="FF7F7F7F"/>
        <sz val="8.0"/>
      </rPr>
      <t xml:space="preserve">창업경진대회 </t>
    </r>
    <r>
      <rPr>
        <rFont val="맑은 고딕"/>
        <i/>
        <color rgb="FF7F7F7F"/>
        <sz val="8.0"/>
      </rPr>
      <t xml:space="preserve">/ </t>
    </r>
    <r>
      <rPr>
        <rFont val="Noto Sans CJK SC"/>
        <i/>
        <color rgb="FF7F7F7F"/>
        <sz val="8.0"/>
      </rPr>
      <t xml:space="preserve">사업자등록 </t>
    </r>
    <r>
      <rPr>
        <rFont val="맑은 고딕"/>
        <i/>
        <color rgb="FF7F7F7F"/>
        <sz val="8.0"/>
      </rPr>
      <t xml:space="preserve">/ </t>
    </r>
    <r>
      <rPr>
        <rFont val="Noto Sans CJK SC"/>
        <i/>
        <color rgb="FF7F7F7F"/>
        <sz val="8.0"/>
      </rPr>
      <t>창업동아리</t>
    </r>
    <r>
      <rPr>
        <rFont val="맑은 고딕"/>
        <i/>
        <color rgb="FF7F7F7F"/>
        <sz val="8.0"/>
      </rPr>
      <t>]</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</si>
  <si>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공학계열 한정 → 비대상 전공은 </t>
    </r>
    <r>
      <rPr>
        <rFont val="맑은 고딕"/>
        <i/>
        <color rgb="FF7F7F7F"/>
        <sz val="8.0"/>
      </rPr>
      <t>'</t>
    </r>
    <r>
      <rPr>
        <rFont val="Noto Sans CJK SC"/>
        <i/>
        <color rgb="FF7F7F7F"/>
        <sz val="8.0"/>
      </rPr>
      <t>해당 없음</t>
    </r>
    <r>
      <rPr>
        <rFont val="맑은 고딕"/>
        <i/>
        <color rgb="FF7F7F7F"/>
        <sz val="8.0"/>
      </rPr>
      <t xml:space="preserve">' </t>
    </r>
    <r>
      <rPr>
        <rFont val="Noto Sans CJK SC"/>
        <i/>
        <color rgb="FF7F7F7F"/>
        <sz val="8.0"/>
      </rPr>
      <t>처리</t>
    </r>
    <r>
      <rPr>
        <rFont val="맑은 고딕"/>
        <i/>
        <color rgb="FF7F7F7F"/>
        <sz val="8.0"/>
      </rPr>
      <t>(</t>
    </r>
    <r>
      <rPr>
        <rFont val="Noto Sans CJK SC"/>
        <i/>
        <color rgb="FF7F7F7F"/>
        <sz val="8.0"/>
      </rPr>
      <t>불이익 방지</t>
    </r>
    <r>
      <rPr>
        <rFont val="맑은 고딕"/>
        <i/>
        <color rgb="FF7F7F7F"/>
        <sz val="8.0"/>
      </rPr>
      <t>)</t>
    </r>
  </si>
  <si>
    <r>
      <rPr>
        <rFont val="Noto Sans CJK SC"/>
        <b/>
        <color rgb="FF000000"/>
        <sz val="11.0"/>
      </rPr>
      <t>공모전 참가</t>
    </r>
    <r>
      <rPr>
        <rFont val="맑은 고딕"/>
        <b/>
        <color rgb="FF000000"/>
        <sz val="11.0"/>
      </rPr>
      <t>·</t>
    </r>
    <r>
      <rPr>
        <rFont val="Noto Sans CJK SC"/>
        <b/>
        <color rgb="FF000000"/>
        <sz val="11.0"/>
      </rPr>
      <t>수상</t>
    </r>
  </si>
  <si>
    <r>
      <rPr>
        <rFont val="Noto Sans CJK SC"/>
        <color rgb="FF7F7F7F"/>
        <sz val="9.0"/>
      </rPr>
      <t xml:space="preserve">비대상 전공이면 상태를 </t>
    </r>
    <r>
      <rPr>
        <rFont val="맑은 고딕"/>
        <color rgb="FF7F7F7F"/>
        <sz val="9.0"/>
      </rPr>
      <t>'</t>
    </r>
    <r>
      <rPr>
        <rFont val="Noto Sans CJK SC"/>
        <color rgb="FF7F7F7F"/>
        <sz val="9.0"/>
      </rPr>
      <t>해당 없음</t>
    </r>
    <r>
      <rPr>
        <rFont val="맑은 고딕"/>
        <color rgb="FF7F7F7F"/>
        <sz val="9.0"/>
      </rPr>
      <t>'</t>
    </r>
    <r>
      <rPr>
        <rFont val="Noto Sans CJK SC"/>
        <color rgb="FF7F7F7F"/>
        <sz val="9.0"/>
      </rPr>
      <t xml:space="preserve">으로  </t>
    </r>
    <r>
      <rPr>
        <rFont val="맑은 고딕"/>
        <color rgb="FF7F7F7F"/>
        <sz val="9.0"/>
      </rPr>
      <t>[</t>
    </r>
    <r>
      <rPr>
        <rFont val="Noto Sans CJK SC"/>
        <color rgb="FF7F7F7F"/>
        <sz val="9.0"/>
      </rPr>
      <t xml:space="preserve">대상 </t>
    </r>
    <r>
      <rPr>
        <rFont val="맑은 고딕"/>
        <color rgb="FF7F7F7F"/>
        <sz val="9.0"/>
      </rPr>
      <t xml:space="preserve">/ </t>
    </r>
    <r>
      <rPr>
        <rFont val="Noto Sans CJK SC"/>
        <color rgb="FF7F7F7F"/>
        <sz val="9.0"/>
      </rPr>
      <t>비대상</t>
    </r>
    <r>
      <rPr>
        <rFont val="맑은 고딕"/>
        <color rgb="FF7F7F7F"/>
        <sz val="9.0"/>
      </rPr>
      <t>]</t>
    </r>
  </si>
  <si>
    <r>
      <rPr>
        <rFont val="Noto Sans CJK SC"/>
        <color rgb="FF7F7F7F"/>
        <sz val="9.0"/>
      </rPr>
      <t>예</t>
    </r>
    <r>
      <rPr>
        <rFont val="맑은 고딕"/>
        <color rgb="FF7F7F7F"/>
        <sz val="9.0"/>
      </rPr>
      <t xml:space="preserve">: </t>
    </r>
    <r>
      <rPr>
        <rFont val="Noto Sans CJK SC"/>
        <color rgb="FF7F7F7F"/>
        <sz val="9.0"/>
      </rPr>
      <t>기계공학 공학교육인증</t>
    </r>
  </si>
  <si>
    <r>
      <rPr>
        <rFont val="Noto Sans CJK SC"/>
        <b/>
        <color rgb="FF000000"/>
        <sz val="11.0"/>
      </rPr>
      <t>특허출원</t>
    </r>
    <r>
      <rPr>
        <rFont val="맑은 고딕"/>
        <b/>
        <color rgb="FF000000"/>
        <sz val="11.0"/>
      </rPr>
      <t xml:space="preserve">·SW </t>
    </r>
    <r>
      <rPr>
        <rFont val="Noto Sans CJK SC"/>
        <b/>
        <color rgb="FF000000"/>
        <sz val="11.0"/>
      </rPr>
      <t>등록</t>
    </r>
  </si>
  <si>
    <r>
      <rPr>
        <rFont val="맑은 고딕"/>
        <color rgb="FF7F7F7F"/>
        <sz val="9.0"/>
      </rPr>
      <t>[</t>
    </r>
    <r>
      <rPr>
        <rFont val="Noto Sans CJK SC"/>
        <color rgb="FF7F7F7F"/>
        <sz val="9.0"/>
      </rPr>
      <t xml:space="preserve">이수중 </t>
    </r>
    <r>
      <rPr>
        <rFont val="맑은 고딕"/>
        <color rgb="FF7F7F7F"/>
        <sz val="9.0"/>
      </rPr>
      <t xml:space="preserve">/ </t>
    </r>
    <r>
      <rPr>
        <rFont val="Noto Sans CJK SC"/>
        <color rgb="FF7F7F7F"/>
        <sz val="9.0"/>
      </rPr>
      <t xml:space="preserve">이수완료 </t>
    </r>
    <r>
      <rPr>
        <rFont val="맑은 고딕"/>
        <color rgb="FF7F7F7F"/>
        <sz val="9.0"/>
      </rPr>
      <t xml:space="preserve">/ </t>
    </r>
    <r>
      <rPr>
        <rFont val="Noto Sans CJK SC"/>
        <color rgb="FF7F7F7F"/>
        <sz val="9.0"/>
      </rPr>
      <t xml:space="preserve">미이수 </t>
    </r>
    <r>
      <rPr>
        <rFont val="맑은 고딕"/>
        <color rgb="FF7F7F7F"/>
        <sz val="9.0"/>
      </rPr>
      <t xml:space="preserve">/ </t>
    </r>
    <r>
      <rPr>
        <rFont val="Noto Sans CJK SC"/>
        <color rgb="FF7F7F7F"/>
        <sz val="9.0"/>
      </rPr>
      <t>포기</t>
    </r>
    <r>
      <rPr>
        <rFont val="맑은 고딕"/>
        <color rgb="FF7F7F7F"/>
        <sz val="9.0"/>
      </rPr>
      <t>]</t>
    </r>
  </si>
  <si>
    <r>
      <rPr>
        <rFont val="Noto Sans CJK SC"/>
        <b/>
        <color rgb="FFFFFFFF"/>
        <sz val="11.0"/>
      </rPr>
      <t>■ 학습행동</t>
    </r>
    <r>
      <rPr>
        <rFont val="맑은 고딕"/>
        <b/>
        <color rgb="FFFFFFFF"/>
        <sz val="11.0"/>
      </rPr>
      <t>(LMS)</t>
    </r>
  </si>
  <si>
    <r>
      <rPr>
        <rFont val="Noto Sans CJK SC"/>
        <i/>
        <color rgb="FF7F7F7F"/>
        <sz val="8.0"/>
      </rPr>
      <t>출처</t>
    </r>
    <r>
      <rPr>
        <rFont val="맑은 고딕"/>
        <i/>
        <color rgb="FF7F7F7F"/>
        <sz val="8.0"/>
      </rPr>
      <t xml:space="preserve">: </t>
    </r>
    <r>
      <rPr>
        <rFont val="Noto Sans CJK SC"/>
        <i/>
        <color rgb="FF7F7F7F"/>
        <sz val="8.0"/>
      </rPr>
      <t xml:space="preserve">학생 등록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자원</t>
    </r>
    <r>
      <rPr>
        <rFont val="맑은 고딕"/>
        <i/>
        <color rgb="FF7F7F7F"/>
        <sz val="8.0"/>
      </rPr>
      <t>·</t>
    </r>
    <r>
      <rPr>
        <rFont val="Noto Sans CJK SC"/>
        <i/>
        <color rgb="FF7F7F7F"/>
        <sz val="8.0"/>
      </rPr>
      <t xml:space="preserve">정보기술활용 </t>
    </r>
    <r>
      <rPr>
        <rFont val="맑은 고딕"/>
        <i/>
        <color rgb="FF7F7F7F"/>
        <sz val="8.0"/>
      </rPr>
      <t xml:space="preserve">/ </t>
    </r>
    <r>
      <rPr>
        <rFont val="Noto Sans CJK SC"/>
        <i/>
        <color rgb="FF7F7F7F"/>
        <sz val="8.0"/>
      </rPr>
      <t xml:space="preserve">디지털리터러시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자기 서술 위주 → 정성 판단 </t>
    </r>
    <r>
      <rPr>
        <rFont val="맑은 고딕"/>
        <i/>
        <color rgb="FF7F7F7F"/>
        <sz val="8.0"/>
      </rPr>
      <t xml:space="preserve">+ </t>
    </r>
    <r>
      <rPr>
        <rFont val="Noto Sans CJK SC"/>
        <i/>
        <color rgb="FF7F7F7F"/>
        <sz val="8.0"/>
      </rPr>
      <t>낮은 가중치 권장</t>
    </r>
  </si>
  <si>
    <r>
      <rPr>
        <rFont val="맑은 고딕"/>
        <b/>
        <color rgb="FF000000"/>
        <sz val="11.0"/>
      </rPr>
      <t xml:space="preserve">LMS </t>
    </r>
    <r>
      <rPr>
        <rFont val="Noto Sans CJK SC"/>
        <b/>
        <color rgb="FF000000"/>
        <sz val="11.0"/>
      </rPr>
      <t>학습데이터</t>
    </r>
  </si>
  <si>
    <r>
      <rPr>
        <rFont val="Noto Sans CJK SC"/>
        <i/>
        <color rgb="FF7F7F7F"/>
        <sz val="8.0"/>
      </rPr>
      <t>출처</t>
    </r>
    <r>
      <rPr>
        <rFont val="맑은 고딕"/>
        <i/>
        <color rgb="FF7F7F7F"/>
        <sz val="8.0"/>
      </rPr>
      <t xml:space="preserve">: </t>
    </r>
    <r>
      <rPr>
        <rFont val="Noto Sans CJK SC"/>
        <i/>
        <color rgb="FF7F7F7F"/>
        <sz val="8.0"/>
      </rPr>
      <t xml:space="preserve">비교과 시스템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창의 </t>
    </r>
    <r>
      <rPr>
        <rFont val="맑은 고딕"/>
        <i/>
        <color rgb="FF7F7F7F"/>
        <sz val="8.0"/>
      </rPr>
      <t xml:space="preserve">/ </t>
    </r>
    <r>
      <rPr>
        <rFont val="Noto Sans CJK SC"/>
        <i/>
        <color rgb="FF7F7F7F"/>
        <sz val="8.0"/>
      </rPr>
      <t xml:space="preserve">종합적사고력 </t>
    </r>
    <r>
      <rPr>
        <rFont val="맑은 고딕"/>
        <i/>
        <color rgb="FF7F7F7F"/>
        <sz val="8.0"/>
      </rPr>
      <t xml:space="preserve">/ </t>
    </r>
    <r>
      <rPr>
        <rFont val="Noto Sans CJK SC"/>
        <i/>
        <color rgb="FF7F7F7F"/>
        <sz val="8.0"/>
      </rPr>
      <t xml:space="preserve">문제해결력 </t>
    </r>
    <r>
      <rPr>
        <rFont val="맑은 고딕"/>
        <i/>
        <color rgb="FF7F7F7F"/>
        <sz val="8.0"/>
      </rPr>
      <t xml:space="preserve">/ </t>
    </r>
    <r>
      <rPr>
        <rFont val="Noto Sans CJK SC"/>
        <i/>
        <color rgb="FF7F7F7F"/>
        <sz val="8.0"/>
      </rPr>
      <t xml:space="preserve">도전정신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수상 등급 </t>
    </r>
    <r>
      <rPr>
        <rFont val="맑은 고딕"/>
        <i/>
        <color rgb="FF7F7F7F"/>
        <sz val="8.0"/>
      </rPr>
      <t xml:space="preserve">× </t>
    </r>
    <r>
      <rPr>
        <rFont val="Noto Sans CJK SC"/>
        <i/>
        <color rgb="FF7F7F7F"/>
        <sz val="8.0"/>
      </rPr>
      <t>주관 수준</t>
    </r>
    <r>
      <rPr>
        <rFont val="맑은 고딕"/>
        <i/>
        <color rgb="FF7F7F7F"/>
        <sz val="8.0"/>
      </rPr>
      <t>(</t>
    </r>
    <r>
      <rPr>
        <rFont val="Noto Sans CJK SC"/>
        <i/>
        <color rgb="FF7F7F7F"/>
        <sz val="8.0"/>
      </rPr>
      <t>교내</t>
    </r>
    <r>
      <rPr>
        <rFont val="맑은 고딕"/>
        <i/>
        <color rgb="FF7F7F7F"/>
        <sz val="8.0"/>
      </rPr>
      <t>·</t>
    </r>
    <r>
      <rPr>
        <rFont val="Noto Sans CJK SC"/>
        <i/>
        <color rgb="FF7F7F7F"/>
        <sz val="8.0"/>
      </rPr>
      <t>전국</t>
    </r>
    <r>
      <rPr>
        <rFont val="맑은 고딕"/>
        <i/>
        <color rgb="FF7F7F7F"/>
        <sz val="8.0"/>
      </rPr>
      <t>·</t>
    </r>
    <r>
      <rPr>
        <rFont val="Noto Sans CJK SC"/>
        <i/>
        <color rgb="FF7F7F7F"/>
        <sz val="8.0"/>
      </rPr>
      <t>국제</t>
    </r>
    <r>
      <rPr>
        <rFont val="맑은 고딕"/>
        <i/>
        <color rgb="FF7F7F7F"/>
        <sz val="8.0"/>
      </rPr>
      <t xml:space="preserve">) </t>
    </r>
    <r>
      <rPr>
        <rFont val="Noto Sans CJK SC"/>
        <i/>
        <color rgb="FF7F7F7F"/>
        <sz val="8.0"/>
      </rPr>
      <t>매핑 필요</t>
    </r>
  </si>
  <si>
    <r>
      <rPr>
        <rFont val="Noto Sans CJK SC"/>
        <i/>
        <color rgb="FF7F7F7F"/>
        <sz val="8.0"/>
      </rPr>
      <t>출처</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 xml:space="preserve">) </t>
    </r>
    <r>
      <rPr>
        <rFont val="Noto Sans CJK SC"/>
        <i/>
        <color rgb="FF7F7F7F"/>
        <sz val="8.0"/>
      </rPr>
      <t xml:space="preserve">인증 </t>
    </r>
    <r>
      <rPr>
        <rFont val="맑은 고딕"/>
        <i/>
        <color rgb="FF7F7F7F"/>
        <sz val="8.0"/>
      </rPr>
      <t xml:space="preserve">· </t>
    </r>
    <r>
      <rPr>
        <rFont val="Noto Sans CJK SC"/>
        <i/>
        <color rgb="FF7F7F7F"/>
        <sz val="8.0"/>
      </rPr>
      <t xml:space="preserve">학생 등록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창의 </t>
    </r>
    <r>
      <rPr>
        <rFont val="맑은 고딕"/>
        <i/>
        <color rgb="FF7F7F7F"/>
        <sz val="8.0"/>
      </rPr>
      <t xml:space="preserve">/ </t>
    </r>
    <r>
      <rPr>
        <rFont val="Noto Sans CJK SC"/>
        <i/>
        <color rgb="FF7F7F7F"/>
        <sz val="8.0"/>
      </rPr>
      <t xml:space="preserve">도전정신 </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기존 데이터셋에 없는 신규 근거</t>
    </r>
  </si>
  <si>
    <r>
      <rPr>
        <rFont val="맑은 고딕"/>
        <i/>
        <color rgb="FF7F7F7F"/>
        <sz val="8.0"/>
      </rPr>
      <t>[</t>
    </r>
    <r>
      <rPr>
        <rFont val="Noto Sans CJK SC"/>
        <i/>
        <color rgb="FF7F7F7F"/>
        <sz val="8.0"/>
      </rPr>
      <t xml:space="preserve">기초 </t>
    </r>
    <r>
      <rPr>
        <rFont val="맑은 고딕"/>
        <i/>
        <color rgb="FF7F7F7F"/>
        <sz val="8.0"/>
      </rPr>
      <t xml:space="preserve">/ </t>
    </r>
    <r>
      <rPr>
        <rFont val="Noto Sans CJK SC"/>
        <i/>
        <color rgb="FF7F7F7F"/>
        <sz val="8.0"/>
      </rPr>
      <t xml:space="preserve">활용 </t>
    </r>
    <r>
      <rPr>
        <rFont val="맑은 고딕"/>
        <i/>
        <color rgb="FF7F7F7F"/>
        <sz val="8.0"/>
      </rPr>
      <t xml:space="preserve">/ </t>
    </r>
    <r>
      <rPr>
        <rFont val="Noto Sans CJK SC"/>
        <i/>
        <color rgb="FF7F7F7F"/>
        <sz val="8.0"/>
      </rPr>
      <t>능숙</t>
    </r>
    <r>
      <rPr>
        <rFont val="맑은 고딕"/>
        <i/>
        <color rgb="FF7F7F7F"/>
        <sz val="8.0"/>
      </rPr>
      <t>]</t>
    </r>
  </si>
  <si>
    <r>
      <rPr>
        <rFont val="맑은 고딕"/>
        <i/>
        <color rgb="FF7F7F7F"/>
        <sz val="8.0"/>
      </rPr>
      <t>[</t>
    </r>
    <r>
      <rPr>
        <rFont val="Noto Sans CJK SC"/>
        <i/>
        <color rgb="FF7F7F7F"/>
        <sz val="8.0"/>
      </rPr>
      <t xml:space="preserve">교내 </t>
    </r>
    <r>
      <rPr>
        <rFont val="맑은 고딕"/>
        <i/>
        <color rgb="FF7F7F7F"/>
        <sz val="8.0"/>
      </rPr>
      <t xml:space="preserve">/ </t>
    </r>
    <r>
      <rPr>
        <rFont val="Noto Sans CJK SC"/>
        <i/>
        <color rgb="FF7F7F7F"/>
        <sz val="8.0"/>
      </rPr>
      <t xml:space="preserve">지역 </t>
    </r>
    <r>
      <rPr>
        <rFont val="맑은 고딕"/>
        <i/>
        <color rgb="FF7F7F7F"/>
        <sz val="8.0"/>
      </rPr>
      <t xml:space="preserve">/ </t>
    </r>
    <r>
      <rPr>
        <rFont val="Noto Sans CJK SC"/>
        <i/>
        <color rgb="FF7F7F7F"/>
        <sz val="8.0"/>
      </rPr>
      <t xml:space="preserve">전국 </t>
    </r>
    <r>
      <rPr>
        <rFont val="맑은 고딕"/>
        <i/>
        <color rgb="FF7F7F7F"/>
        <sz val="8.0"/>
      </rPr>
      <t xml:space="preserve">/ </t>
    </r>
    <r>
      <rPr>
        <rFont val="Noto Sans CJK SC"/>
        <i/>
        <color rgb="FF7F7F7F"/>
        <sz val="8.0"/>
      </rPr>
      <t>국제</t>
    </r>
    <r>
      <rPr>
        <rFont val="맑은 고딕"/>
        <i/>
        <color rgb="FF7F7F7F"/>
        <sz val="8.0"/>
      </rPr>
      <t>]</t>
    </r>
  </si>
  <si>
    <r>
      <rPr>
        <rFont val="맑은 고딕"/>
        <i/>
        <color rgb="FF7F7F7F"/>
        <sz val="8.0"/>
      </rPr>
      <t>[</t>
    </r>
    <r>
      <rPr>
        <rFont val="Noto Sans CJK SC"/>
        <i/>
        <color rgb="FF7F7F7F"/>
        <sz val="8.0"/>
      </rPr>
      <t xml:space="preserve">참가 </t>
    </r>
    <r>
      <rPr>
        <rFont val="맑은 고딕"/>
        <i/>
        <color rgb="FF7F7F7F"/>
        <sz val="8.0"/>
      </rPr>
      <t xml:space="preserve">/ </t>
    </r>
    <r>
      <rPr>
        <rFont val="Noto Sans CJK SC"/>
        <i/>
        <color rgb="FF7F7F7F"/>
        <sz val="8.0"/>
      </rPr>
      <t xml:space="preserve">입선 </t>
    </r>
    <r>
      <rPr>
        <rFont val="맑은 고딕"/>
        <i/>
        <color rgb="FF7F7F7F"/>
        <sz val="8.0"/>
      </rPr>
      <t xml:space="preserve">/ </t>
    </r>
    <r>
      <rPr>
        <rFont val="Noto Sans CJK SC"/>
        <i/>
        <color rgb="FF7F7F7F"/>
        <sz val="8.0"/>
      </rPr>
      <t xml:space="preserve">장려 </t>
    </r>
    <r>
      <rPr>
        <rFont val="맑은 고딕"/>
        <i/>
        <color rgb="FF7F7F7F"/>
        <sz val="8.0"/>
      </rPr>
      <t xml:space="preserve">/ </t>
    </r>
    <r>
      <rPr>
        <rFont val="Noto Sans CJK SC"/>
        <i/>
        <color rgb="FF7F7F7F"/>
        <sz val="8.0"/>
      </rPr>
      <t xml:space="preserve">우수 </t>
    </r>
    <r>
      <rPr>
        <rFont val="맑은 고딕"/>
        <i/>
        <color rgb="FF7F7F7F"/>
        <sz val="8.0"/>
      </rPr>
      <t xml:space="preserve">/ </t>
    </r>
    <r>
      <rPr>
        <rFont val="Noto Sans CJK SC"/>
        <i/>
        <color rgb="FF7F7F7F"/>
        <sz val="8.0"/>
      </rPr>
      <t xml:space="preserve">최우수 </t>
    </r>
    <r>
      <rPr>
        <rFont val="맑은 고딕"/>
        <i/>
        <color rgb="FF7F7F7F"/>
        <sz val="8.0"/>
      </rPr>
      <t xml:space="preserve">/ </t>
    </r>
    <r>
      <rPr>
        <rFont val="Noto Sans CJK SC"/>
        <i/>
        <color rgb="FF7F7F7F"/>
        <sz val="8.0"/>
      </rPr>
      <t>대상</t>
    </r>
    <r>
      <rPr>
        <rFont val="맑은 고딕"/>
        <i/>
        <color rgb="FF7F7F7F"/>
        <sz val="8.0"/>
      </rPr>
      <t>]</t>
    </r>
  </si>
  <si>
    <r>
      <rPr>
        <rFont val="Noto Sans CJK SC"/>
        <b/>
        <color rgb="FF000000"/>
        <sz val="9.0"/>
      </rPr>
      <t>출원</t>
    </r>
    <r>
      <rPr>
        <rFont val="맑은 고딕"/>
        <b/>
        <color rgb="FF000000"/>
        <sz val="9.0"/>
      </rPr>
      <t>·</t>
    </r>
    <r>
      <rPr>
        <rFont val="Noto Sans CJK SC"/>
        <b/>
        <color rgb="FF000000"/>
        <sz val="9.0"/>
      </rPr>
      <t>등록번호</t>
    </r>
  </si>
  <si>
    <r>
      <rPr>
        <rFont val="맑은 고딕"/>
        <i/>
        <color rgb="FF7F7F7F"/>
        <sz val="8.0"/>
      </rPr>
      <t>[</t>
    </r>
    <r>
      <rPr>
        <rFont val="Noto Sans CJK SC"/>
        <i/>
        <color rgb="FF7F7F7F"/>
        <sz val="8.0"/>
      </rPr>
      <t xml:space="preserve">개인 </t>
    </r>
    <r>
      <rPr>
        <rFont val="맑은 고딕"/>
        <i/>
        <color rgb="FF7F7F7F"/>
        <sz val="8.0"/>
      </rPr>
      <t xml:space="preserve">/ </t>
    </r>
    <r>
      <rPr>
        <rFont val="Noto Sans CJK SC"/>
        <i/>
        <color rgb="FF7F7F7F"/>
        <sz val="8.0"/>
      </rPr>
      <t>팀</t>
    </r>
    <r>
      <rPr>
        <rFont val="맑은 고딕"/>
        <i/>
        <color rgb="FF7F7F7F"/>
        <sz val="8.0"/>
      </rPr>
      <t>]</t>
    </r>
  </si>
  <si>
    <r>
      <rPr>
        <rFont val="Noto Sans CJK SC"/>
        <i/>
        <color rgb="FF7F7F7F"/>
        <sz val="8.0"/>
      </rPr>
      <t>출처</t>
    </r>
    <r>
      <rPr>
        <rFont val="맑은 고딕"/>
        <i/>
        <color rgb="FF7F7F7F"/>
        <sz val="8.0"/>
      </rPr>
      <t xml:space="preserve">: LMS(i-Campus) · </t>
    </r>
    <r>
      <rPr>
        <rFont val="Noto Sans CJK SC"/>
        <i/>
        <color rgb="FF7F7F7F"/>
        <sz val="8.0"/>
      </rPr>
      <t xml:space="preserve">출석앱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자기관리 </t>
    </r>
    <r>
      <rPr>
        <rFont val="맑은 고딕"/>
        <i/>
        <color rgb="FF7F7F7F"/>
        <sz val="8.0"/>
      </rPr>
      <t xml:space="preserve">/ </t>
    </r>
    <r>
      <rPr>
        <rFont val="Noto Sans CJK SC"/>
        <i/>
        <color rgb="FF7F7F7F"/>
        <sz val="8.0"/>
      </rPr>
      <t xml:space="preserve">성실성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마인드맵 </t>
    </r>
    <r>
      <rPr>
        <rFont val="맑은 고딕"/>
        <i/>
        <color rgb="FF7F7F7F"/>
        <sz val="8.0"/>
      </rPr>
      <t>'</t>
    </r>
    <r>
      <rPr>
        <rFont val="Noto Sans CJK SC"/>
        <i/>
        <color rgb="FF7F7F7F"/>
        <sz val="8.0"/>
      </rPr>
      <t>퀴즈 생성 주기</t>
    </r>
    <r>
      <rPr>
        <rFont val="맑은 고딕"/>
        <i/>
        <color rgb="FF7F7F7F"/>
        <sz val="8.0"/>
      </rPr>
      <t xml:space="preserve">' vs </t>
    </r>
    <r>
      <rPr>
        <rFont val="Noto Sans CJK SC"/>
        <i/>
        <color rgb="FF7F7F7F"/>
        <sz val="8.0"/>
      </rPr>
      <t xml:space="preserve">데이터 </t>
    </r>
    <r>
      <rPr>
        <rFont val="맑은 고딕"/>
        <i/>
        <color rgb="FF7F7F7F"/>
        <sz val="8.0"/>
      </rPr>
      <t>'</t>
    </r>
    <r>
      <rPr>
        <rFont val="Noto Sans CJK SC"/>
        <i/>
        <color rgb="FF7F7F7F"/>
        <sz val="8.0"/>
      </rPr>
      <t>퀴즈풀이횟수</t>
    </r>
    <r>
      <rPr>
        <rFont val="맑은 고딕"/>
        <i/>
        <color rgb="FF7F7F7F"/>
        <sz val="8.0"/>
      </rPr>
      <t xml:space="preserve">' </t>
    </r>
    <r>
      <rPr>
        <rFont val="Noto Sans CJK SC"/>
        <i/>
        <color rgb="FF7F7F7F"/>
        <sz val="8.0"/>
      </rPr>
      <t>용어 통일 필요</t>
    </r>
  </si>
  <si>
    <r>
      <rPr>
        <rFont val="맑은 고딕"/>
        <i/>
        <color rgb="FF7F7F7F"/>
        <sz val="8.0"/>
      </rPr>
      <t>[</t>
    </r>
    <r>
      <rPr>
        <rFont val="Noto Sans CJK SC"/>
        <i/>
        <color rgb="FF7F7F7F"/>
        <sz val="8.0"/>
      </rPr>
      <t xml:space="preserve">특허 </t>
    </r>
    <r>
      <rPr>
        <rFont val="맑은 고딕"/>
        <i/>
        <color rgb="FF7F7F7F"/>
        <sz val="8.0"/>
      </rPr>
      <t xml:space="preserve">/ </t>
    </r>
    <r>
      <rPr>
        <rFont val="Noto Sans CJK SC"/>
        <i/>
        <color rgb="FF7F7F7F"/>
        <sz val="8.0"/>
      </rPr>
      <t xml:space="preserve">실용신안 </t>
    </r>
    <r>
      <rPr>
        <rFont val="맑은 고딕"/>
        <i/>
        <color rgb="FF7F7F7F"/>
        <sz val="8.0"/>
      </rPr>
      <t xml:space="preserve">/ </t>
    </r>
    <r>
      <rPr>
        <rFont val="Noto Sans CJK SC"/>
        <i/>
        <color rgb="FF7F7F7F"/>
        <sz val="8.0"/>
      </rPr>
      <t xml:space="preserve">디자인 </t>
    </r>
    <r>
      <rPr>
        <rFont val="맑은 고딕"/>
        <i/>
        <color rgb="FF7F7F7F"/>
        <sz val="8.0"/>
      </rPr>
      <t>/ SW</t>
    </r>
    <r>
      <rPr>
        <rFont val="Noto Sans CJK SC"/>
        <i/>
        <color rgb="FF7F7F7F"/>
        <sz val="8.0"/>
      </rPr>
      <t>등록</t>
    </r>
    <r>
      <rPr>
        <rFont val="맑은 고딕"/>
        <i/>
        <color rgb="FF7F7F7F"/>
        <sz val="8.0"/>
      </rPr>
      <t>]</t>
    </r>
  </si>
  <si>
    <t>이번 학기</t>
  </si>
  <si>
    <r>
      <rPr>
        <rFont val="맑은 고딕"/>
        <i/>
        <color rgb="FF7F7F7F"/>
        <sz val="8.0"/>
      </rPr>
      <t>[</t>
    </r>
    <r>
      <rPr>
        <rFont val="Noto Sans CJK SC"/>
        <i/>
        <color rgb="FF7F7F7F"/>
        <sz val="8.0"/>
      </rPr>
      <t xml:space="preserve">출원 </t>
    </r>
    <r>
      <rPr>
        <rFont val="맑은 고딕"/>
        <i/>
        <color rgb="FF7F7F7F"/>
        <sz val="8.0"/>
      </rPr>
      <t xml:space="preserve">/ </t>
    </r>
    <r>
      <rPr>
        <rFont val="Noto Sans CJK SC"/>
        <i/>
        <color rgb="FF7F7F7F"/>
        <sz val="8.0"/>
      </rPr>
      <t>등록</t>
    </r>
    <r>
      <rPr>
        <rFont val="맑은 고딕"/>
        <i/>
        <color rgb="FF7F7F7F"/>
        <sz val="8.0"/>
      </rPr>
      <t>]</t>
    </r>
  </si>
  <si>
    <r>
      <rPr>
        <rFont val="Noto Sans CJK SC"/>
        <color rgb="FF1F3B8A"/>
        <sz val="10.0"/>
      </rPr>
      <t>학생회 회의록</t>
    </r>
    <r>
      <rPr>
        <rFont val="맑은 고딕"/>
        <color rgb="FF1F3B8A"/>
        <sz val="10.0"/>
      </rPr>
      <t>·</t>
    </r>
    <r>
      <rPr>
        <rFont val="Noto Sans CJK SC"/>
        <color rgb="FF1F3B8A"/>
        <sz val="10.0"/>
      </rPr>
      <t>일정 관리</t>
    </r>
  </si>
  <si>
    <r>
      <rPr>
        <rFont val="Noto Sans CJK SC"/>
        <color rgb="FF7F7F7F"/>
        <sz val="9.0"/>
      </rPr>
      <t>예</t>
    </r>
    <r>
      <rPr>
        <rFont val="맑은 고딕"/>
        <color rgb="FF7F7F7F"/>
        <sz val="9.0"/>
      </rPr>
      <t>: 2026-1</t>
    </r>
    <r>
      <rPr>
        <rFont val="Noto Sans CJK SC"/>
        <color rgb="FF7F7F7F"/>
        <sz val="9.0"/>
      </rPr>
      <t>학기</t>
    </r>
  </si>
  <si>
    <r>
      <rPr>
        <rFont val="맑은 고딕"/>
        <i/>
        <color rgb="FF7F7F7F"/>
        <sz val="8.0"/>
      </rPr>
      <t>[</t>
    </r>
    <r>
      <rPr>
        <rFont val="Noto Sans CJK SC"/>
        <i/>
        <color rgb="FF7F7F7F"/>
        <sz val="8.0"/>
      </rPr>
      <t xml:space="preserve">단독 </t>
    </r>
    <r>
      <rPr>
        <rFont val="맑은 고딕"/>
        <i/>
        <color rgb="FF7F7F7F"/>
        <sz val="8.0"/>
      </rPr>
      <t xml:space="preserve">/ </t>
    </r>
    <r>
      <rPr>
        <rFont val="Noto Sans CJK SC"/>
        <i/>
        <color rgb="FF7F7F7F"/>
        <sz val="8.0"/>
      </rPr>
      <t>공동</t>
    </r>
    <r>
      <rPr>
        <rFont val="맑은 고딕"/>
        <i/>
        <color rgb="FF7F7F7F"/>
        <sz val="8.0"/>
      </rPr>
      <t>]</t>
    </r>
  </si>
  <si>
    <r>
      <rPr>
        <rFont val="Noto Sans CJK SC"/>
        <b/>
        <color rgb="FF000000"/>
        <sz val="10.0"/>
      </rPr>
      <t>출석률</t>
    </r>
    <r>
      <rPr>
        <rFont val="맑은 고딕"/>
        <b/>
        <color rgb="FF000000"/>
        <sz val="10.0"/>
      </rPr>
      <t>(%)</t>
    </r>
  </si>
  <si>
    <r>
      <rPr>
        <rFont val="Noto Sans CJK SC"/>
        <color rgb="FF7F7F7F"/>
        <sz val="9.0"/>
      </rPr>
      <t xml:space="preserve">숫자 </t>
    </r>
    <r>
      <rPr>
        <rFont val="맑은 고딕"/>
        <color rgb="FF7F7F7F"/>
        <sz val="9.0"/>
      </rPr>
      <t>0~100</t>
    </r>
  </si>
  <si>
    <r>
      <rPr>
        <rFont val="맑은 고딕"/>
        <color rgb="FF7F7F7F"/>
        <sz val="9.0"/>
      </rPr>
      <t xml:space="preserve">% </t>
    </r>
    <r>
      <rPr>
        <rFont val="Noto Sans CJK SC"/>
        <color rgb="FF7F7F7F"/>
        <sz val="9.0"/>
      </rPr>
      <t>기호 없이 숫자만</t>
    </r>
  </si>
  <si>
    <r>
      <rPr>
        <rFont val="Noto Sans CJK SC"/>
        <b/>
        <color rgb="FF000000"/>
        <sz val="10.0"/>
      </rPr>
      <t>과제 기한 준수율</t>
    </r>
    <r>
      <rPr>
        <rFont val="맑은 고딕"/>
        <b/>
        <color rgb="FF000000"/>
        <sz val="10.0"/>
      </rPr>
      <t>(%)</t>
    </r>
  </si>
  <si>
    <r>
      <rPr>
        <rFont val="Noto Sans CJK SC"/>
        <color rgb="FF7F7F7F"/>
        <sz val="9.0"/>
      </rPr>
      <t xml:space="preserve">숫자 </t>
    </r>
    <r>
      <rPr>
        <rFont val="맑은 고딕"/>
        <color rgb="FF7F7F7F"/>
        <sz val="9.0"/>
      </rPr>
      <t>0~100</t>
    </r>
  </si>
  <si>
    <r>
      <rPr>
        <rFont val="맑은 고딕"/>
        <color rgb="FF7F7F7F"/>
        <sz val="9.0"/>
      </rPr>
      <t xml:space="preserve">% </t>
    </r>
    <r>
      <rPr>
        <rFont val="Noto Sans CJK SC"/>
        <color rgb="FF7F7F7F"/>
        <sz val="9.0"/>
      </rPr>
      <t>기호 없이 숫자만</t>
    </r>
  </si>
  <si>
    <t>자주 접속</t>
  </si>
  <si>
    <r>
      <rPr>
        <rFont val="Noto Sans CJK SC"/>
        <color rgb="FF7F7F7F"/>
        <sz val="9.0"/>
      </rPr>
      <t>회</t>
    </r>
    <r>
      <rPr>
        <rFont val="맑은 고딕"/>
        <color rgb="FF7F7F7F"/>
        <sz val="9.0"/>
      </rPr>
      <t>/</t>
    </r>
    <r>
      <rPr>
        <rFont val="Noto Sans CJK SC"/>
        <color rgb="FF7F7F7F"/>
        <sz val="9.0"/>
      </rPr>
      <t>주</t>
    </r>
  </si>
  <si>
    <r>
      <rPr>
        <rFont val="Noto Sans CJK SC"/>
        <b/>
        <color rgb="FF000000"/>
        <sz val="10.0"/>
      </rPr>
      <t>퀴즈 풀이 횟수</t>
    </r>
    <r>
      <rPr>
        <rFont val="맑은 고딕"/>
        <b/>
        <color rgb="FF000000"/>
        <sz val="10.0"/>
      </rPr>
      <t>(</t>
    </r>
    <r>
      <rPr>
        <rFont val="Noto Sans CJK SC"/>
        <b/>
        <color rgb="FF000000"/>
        <sz val="10.0"/>
      </rPr>
      <t>누적</t>
    </r>
    <r>
      <rPr>
        <rFont val="맑은 고딕"/>
        <b/>
        <color rgb="FF000000"/>
        <sz val="10.0"/>
      </rPr>
      <t>)</t>
    </r>
  </si>
  <si>
    <r>
      <rPr>
        <rFont val="Noto Sans CJK SC"/>
        <b/>
        <color rgb="FFFFFFFF"/>
        <sz val="11.0"/>
      </rPr>
      <t>■ 공동체</t>
    </r>
    <r>
      <rPr>
        <rFont val="맑은 고딕"/>
        <b/>
        <color rgb="FFFFFFFF"/>
        <sz val="11.0"/>
      </rPr>
      <t>·</t>
    </r>
    <r>
      <rPr>
        <rFont val="Noto Sans CJK SC"/>
        <b/>
        <color rgb="FFFFFFFF"/>
        <sz val="11.0"/>
      </rPr>
      <t>리더십</t>
    </r>
  </si>
  <si>
    <r>
      <rPr>
        <rFont val="Noto Sans CJK SC"/>
        <b/>
        <color rgb="FF000000"/>
        <sz val="10.0"/>
      </rPr>
      <t>학습계획 달성률</t>
    </r>
    <r>
      <rPr>
        <rFont val="맑은 고딕"/>
        <b/>
        <color rgb="FF000000"/>
        <sz val="10.0"/>
      </rPr>
      <t>(%)</t>
    </r>
  </si>
  <si>
    <r>
      <rPr>
        <rFont val="Noto Sans CJK SC"/>
        <color rgb="FF7F7F7F"/>
        <sz val="9.0"/>
      </rPr>
      <t xml:space="preserve">숫자 </t>
    </r>
    <r>
      <rPr>
        <rFont val="맑은 고딕"/>
        <color rgb="FF7F7F7F"/>
        <sz val="9.0"/>
      </rPr>
      <t>0~100</t>
    </r>
  </si>
  <si>
    <r>
      <rPr>
        <rFont val="Noto Sans CJK SC"/>
        <b/>
        <color rgb="FF000000"/>
        <sz val="11.0"/>
      </rPr>
      <t>교환학생</t>
    </r>
    <r>
      <rPr>
        <rFont val="맑은 고딕"/>
        <b/>
        <color rgb="FF000000"/>
        <sz val="11.0"/>
      </rPr>
      <t>·</t>
    </r>
    <r>
      <rPr>
        <rFont val="Noto Sans CJK SC"/>
        <b/>
        <color rgb="FF000000"/>
        <sz val="11.0"/>
      </rPr>
      <t>해외경험</t>
    </r>
  </si>
  <si>
    <r>
      <rPr>
        <rFont val="Noto Sans CJK SC"/>
        <b/>
        <color rgb="FF000000"/>
        <sz val="11.0"/>
      </rPr>
      <t>교수면담</t>
    </r>
    <r>
      <rPr>
        <rFont val="맑은 고딕"/>
        <b/>
        <color rgb="FF000000"/>
        <sz val="11.0"/>
      </rPr>
      <t>·</t>
    </r>
    <r>
      <rPr>
        <rFont val="Noto Sans CJK SC"/>
        <b/>
        <color rgb="FF000000"/>
        <sz val="11.0"/>
      </rPr>
      <t>학업상담</t>
    </r>
  </si>
  <si>
    <r>
      <rPr>
        <rFont val="Noto Sans CJK SC"/>
        <b/>
        <color rgb="FF000000"/>
        <sz val="11.0"/>
      </rPr>
      <t>동아리</t>
    </r>
    <r>
      <rPr>
        <rFont val="맑은 고딕"/>
        <b/>
        <color rgb="FF000000"/>
        <sz val="11.0"/>
      </rPr>
      <t>·</t>
    </r>
    <r>
      <rPr>
        <rFont val="Noto Sans CJK SC"/>
        <b/>
        <color rgb="FF000000"/>
        <sz val="11.0"/>
      </rPr>
      <t>학생회 활동</t>
    </r>
  </si>
  <si>
    <r>
      <rPr>
        <rFont val="Noto Sans CJK SC"/>
        <i/>
        <color rgb="FF7F7F7F"/>
        <sz val="8.0"/>
      </rPr>
      <t>출처</t>
    </r>
    <r>
      <rPr>
        <rFont val="맑은 고딕"/>
        <i/>
        <color rgb="FF7F7F7F"/>
        <sz val="8.0"/>
      </rPr>
      <t xml:space="preserve">: </t>
    </r>
    <r>
      <rPr>
        <rFont val="Noto Sans CJK SC"/>
        <i/>
        <color rgb="FF7F7F7F"/>
        <sz val="8.0"/>
      </rPr>
      <t xml:space="preserve">국제처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글로벌</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글로벌</t>
    </r>
    <r>
      <rPr>
        <rFont val="맑은 고딕"/>
        <i/>
        <color rgb="FF7F7F7F"/>
        <sz val="8.0"/>
      </rPr>
      <t>(</t>
    </r>
    <r>
      <rPr>
        <rFont val="Noto Sans CJK SC"/>
        <i/>
        <color rgb="FF7F7F7F"/>
        <sz val="8.0"/>
      </rPr>
      <t>문화적 수용능력</t>
    </r>
    <r>
      <rPr>
        <rFont val="맑은 고딕"/>
        <i/>
        <color rgb="FF7F7F7F"/>
        <sz val="8.0"/>
      </rPr>
      <t xml:space="preserve">)   |   </t>
    </r>
    <r>
      <rPr>
        <rFont val="Noto Sans CJK SC"/>
        <i/>
        <color rgb="FF7F7F7F"/>
        <sz val="8.0"/>
      </rPr>
      <t>비고</t>
    </r>
    <r>
      <rPr>
        <rFont val="맑은 고딕"/>
        <i/>
        <color rgb="FF7F7F7F"/>
        <sz val="8.0"/>
      </rPr>
      <t xml:space="preserve">: [C] </t>
    </r>
    <r>
      <rPr>
        <rFont val="Noto Sans CJK SC"/>
        <i/>
        <color rgb="FF7F7F7F"/>
        <sz val="8.0"/>
      </rPr>
      <t>국제연구</t>
    </r>
    <r>
      <rPr>
        <rFont val="맑은 고딕"/>
        <i/>
        <color rgb="FF7F7F7F"/>
        <sz val="8.0"/>
      </rPr>
      <t>·</t>
    </r>
    <r>
      <rPr>
        <rFont val="Noto Sans CJK SC"/>
        <i/>
        <color rgb="FF7F7F7F"/>
        <sz val="8.0"/>
      </rPr>
      <t>국제문화체험 항목 추가</t>
    </r>
  </si>
  <si>
    <r>
      <rPr>
        <rFont val="Noto Sans CJK SC"/>
        <b/>
        <color rgb="FF000000"/>
        <sz val="9.0"/>
      </rPr>
      <t>기관</t>
    </r>
    <r>
      <rPr>
        <rFont val="맑은 고딕"/>
        <b/>
        <color rgb="FF000000"/>
        <sz val="9.0"/>
      </rPr>
      <t>·</t>
    </r>
    <r>
      <rPr>
        <rFont val="Noto Sans CJK SC"/>
        <b/>
        <color rgb="FF000000"/>
        <sz val="9.0"/>
      </rPr>
      <t>프로그램명</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</si>
  <si>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xml:space="preserve">· </t>
    </r>
    <r>
      <rPr>
        <rFont val="Noto Sans CJK SC"/>
        <i/>
        <color rgb="FF7F7F7F"/>
        <sz val="8.0"/>
      </rPr>
      <t xml:space="preserve">창업지원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창의 </t>
    </r>
    <r>
      <rPr>
        <rFont val="맑은 고딕"/>
        <i/>
        <color rgb="FF7F7F7F"/>
        <sz val="8.0"/>
      </rPr>
      <t xml:space="preserve">/ </t>
    </r>
    <r>
      <rPr>
        <rFont val="Noto Sans CJK SC"/>
        <i/>
        <color rgb="FF7F7F7F"/>
        <sz val="8.0"/>
      </rPr>
      <t>도전정신</t>
    </r>
  </si>
  <si>
    <r>
      <rPr>
        <rFont val="Noto Sans CJK SC"/>
        <b/>
        <color rgb="FF000000"/>
        <sz val="9.0"/>
      </rPr>
      <t>기간</t>
    </r>
    <r>
      <rPr>
        <rFont val="맑은 고딕"/>
        <b/>
        <color rgb="FF000000"/>
        <sz val="9.0"/>
      </rPr>
      <t>(</t>
    </r>
    <r>
      <rPr>
        <rFont val="Noto Sans CJK SC"/>
        <b/>
        <color rgb="FF000000"/>
        <sz val="9.0"/>
      </rPr>
      <t>주</t>
    </r>
    <r>
      <rPr>
        <rFont val="맑은 고딕"/>
        <b/>
        <color rgb="FF000000"/>
        <sz val="9.0"/>
      </rPr>
      <t>)</t>
    </r>
  </si>
  <si>
    <r>
      <rPr>
        <rFont val="맑은 고딕"/>
        <b/>
        <color rgb="FF000000"/>
        <sz val="9.0"/>
      </rPr>
      <t>3</t>
    </r>
    <r>
      <rPr>
        <rFont val="Noto Sans CJK SC"/>
        <b/>
        <color rgb="FF000000"/>
        <sz val="9.0"/>
      </rPr>
      <t>품 인정</t>
    </r>
  </si>
  <si>
    <r>
      <rPr>
        <rFont val="맑은 고딕"/>
        <i/>
        <color rgb="FF7F7F7F"/>
        <sz val="8.0"/>
      </rPr>
      <t>[</t>
    </r>
    <r>
      <rPr>
        <rFont val="Noto Sans CJK SC"/>
        <i/>
        <color rgb="FF7F7F7F"/>
        <sz val="8.0"/>
      </rPr>
      <t xml:space="preserve">교환학생 </t>
    </r>
    <r>
      <rPr>
        <rFont val="맑은 고딕"/>
        <i/>
        <color rgb="FF7F7F7F"/>
        <sz val="8.0"/>
      </rPr>
      <t xml:space="preserve">/ </t>
    </r>
    <r>
      <rPr>
        <rFont val="Noto Sans CJK SC"/>
        <i/>
        <color rgb="FF7F7F7F"/>
        <sz val="8.0"/>
      </rPr>
      <t xml:space="preserve">어학연수 </t>
    </r>
    <r>
      <rPr>
        <rFont val="맑은 고딕"/>
        <i/>
        <color rgb="FF7F7F7F"/>
        <sz val="8.0"/>
      </rPr>
      <t xml:space="preserve">/ </t>
    </r>
    <r>
      <rPr>
        <rFont val="Noto Sans CJK SC"/>
        <i/>
        <color rgb="FF7F7F7F"/>
        <sz val="8.0"/>
      </rPr>
      <t xml:space="preserve">해외봉사 </t>
    </r>
    <r>
      <rPr>
        <rFont val="맑은 고딕"/>
        <i/>
        <color rgb="FF7F7F7F"/>
        <sz val="8.0"/>
      </rPr>
      <t xml:space="preserve">/ </t>
    </r>
    <r>
      <rPr>
        <rFont val="Noto Sans CJK SC"/>
        <i/>
        <color rgb="FF7F7F7F"/>
        <sz val="8.0"/>
      </rPr>
      <t xml:space="preserve">국제연구 </t>
    </r>
    <r>
      <rPr>
        <rFont val="맑은 고딕"/>
        <i/>
        <color rgb="FF7F7F7F"/>
        <sz val="8.0"/>
      </rPr>
      <t xml:space="preserve">/ </t>
    </r>
    <r>
      <rPr>
        <rFont val="Noto Sans CJK SC"/>
        <i/>
        <color rgb="FF7F7F7F"/>
        <sz val="8.0"/>
      </rPr>
      <t xml:space="preserve">국제문화체험 </t>
    </r>
    <r>
      <rPr>
        <rFont val="맑은 고딕"/>
        <i/>
        <color rgb="FF7F7F7F"/>
        <sz val="8.0"/>
      </rPr>
      <t xml:space="preserve">/ </t>
    </r>
    <r>
      <rPr>
        <rFont val="Noto Sans CJK SC"/>
        <i/>
        <color rgb="FF7F7F7F"/>
        <sz val="8.0"/>
      </rPr>
      <t>해외학습</t>
    </r>
    <r>
      <rPr>
        <rFont val="맑은 고딕"/>
        <i/>
        <color rgb="FF7F7F7F"/>
        <sz val="8.0"/>
      </rPr>
      <t>]</t>
    </r>
  </si>
  <si>
    <r>
      <rPr>
        <rFont val="Noto Sans CJK SC"/>
        <b/>
        <color rgb="FF000000"/>
        <sz val="9.0"/>
      </rPr>
      <t>명칭</t>
    </r>
    <r>
      <rPr>
        <rFont val="맑은 고딕"/>
        <b/>
        <color rgb="FF000000"/>
        <sz val="9.0"/>
      </rPr>
      <t>·</t>
    </r>
    <r>
      <rPr>
        <rFont val="Noto Sans CJK SC"/>
        <b/>
        <color rgb="FF000000"/>
        <sz val="9.0"/>
      </rPr>
      <t>내용</t>
    </r>
  </si>
  <si>
    <r>
      <rPr>
        <rFont val="맑은 고딕"/>
        <i/>
        <color rgb="FF7F7F7F"/>
        <sz val="8.0"/>
      </rPr>
      <t>[</t>
    </r>
    <r>
      <rPr>
        <rFont val="Noto Sans CJK SC"/>
        <i/>
        <color rgb="FF7F7F7F"/>
        <sz val="8.0"/>
      </rPr>
      <t xml:space="preserve">창업교과목 </t>
    </r>
    <r>
      <rPr>
        <rFont val="맑은 고딕"/>
        <i/>
        <color rgb="FF7F7F7F"/>
        <sz val="8.0"/>
      </rPr>
      <t xml:space="preserve">/ </t>
    </r>
    <r>
      <rPr>
        <rFont val="Noto Sans CJK SC"/>
        <i/>
        <color rgb="FF7F7F7F"/>
        <sz val="8.0"/>
      </rPr>
      <t xml:space="preserve">창업경진대회 </t>
    </r>
    <r>
      <rPr>
        <rFont val="맑은 고딕"/>
        <i/>
        <color rgb="FF7F7F7F"/>
        <sz val="8.0"/>
      </rPr>
      <t xml:space="preserve">/ </t>
    </r>
    <r>
      <rPr>
        <rFont val="Noto Sans CJK SC"/>
        <i/>
        <color rgb="FF7F7F7F"/>
        <sz val="8.0"/>
      </rPr>
      <t xml:space="preserve">사업자등록 </t>
    </r>
    <r>
      <rPr>
        <rFont val="맑은 고딕"/>
        <i/>
        <color rgb="FF7F7F7F"/>
        <sz val="8.0"/>
      </rPr>
      <t xml:space="preserve">/ </t>
    </r>
    <r>
      <rPr>
        <rFont val="Noto Sans CJK SC"/>
        <i/>
        <color rgb="FF7F7F7F"/>
        <sz val="8.0"/>
      </rPr>
      <t>창업동아리</t>
    </r>
    <r>
      <rPr>
        <rFont val="맑은 고딕"/>
        <i/>
        <color rgb="FF7F7F7F"/>
        <sz val="8.0"/>
      </rPr>
      <t>]</t>
    </r>
  </si>
  <si>
    <r>
      <rPr>
        <rFont val="Noto Sans CJK SC"/>
        <i/>
        <color rgb="FF7F7F7F"/>
        <sz val="8.0"/>
      </rPr>
      <t>출처</t>
    </r>
    <r>
      <rPr>
        <rFont val="맑은 고딕"/>
        <i/>
        <color rgb="FF7F7F7F"/>
        <sz val="8.0"/>
      </rPr>
      <t xml:space="preserve">: </t>
    </r>
    <r>
      <rPr>
        <rFont val="Noto Sans CJK SC"/>
        <i/>
        <color rgb="FF7F7F7F"/>
        <sz val="8.0"/>
      </rPr>
      <t xml:space="preserve">상담 기록 시스템 </t>
    </r>
    <r>
      <rPr>
        <rFont val="맑은 고딕"/>
        <i/>
        <color rgb="FF7F7F7F"/>
        <sz val="8.0"/>
      </rPr>
      <t xml:space="preserve">· LMS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성실성</t>
    </r>
    <r>
      <rPr>
        <rFont val="맑은 고딕"/>
        <i/>
        <color rgb="FF7F7F7F"/>
        <sz val="8.0"/>
      </rPr>
      <t>(</t>
    </r>
    <r>
      <rPr>
        <rFont val="Noto Sans CJK SC"/>
        <i/>
        <color rgb="FF7F7F7F"/>
        <sz val="8.0"/>
      </rPr>
      <t>수업참여도</t>
    </r>
    <r>
      <rPr>
        <rFont val="맑은 고딕"/>
        <i/>
        <color rgb="FF7F7F7F"/>
        <sz val="8.0"/>
      </rPr>
      <t xml:space="preserve">) / </t>
    </r>
    <r>
      <rPr>
        <rFont val="Noto Sans CJK SC"/>
        <i/>
        <color rgb="FF7F7F7F"/>
        <sz val="8.0"/>
      </rPr>
      <t xml:space="preserve">소통능력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기존 데이터셋에선 </t>
    </r>
    <r>
      <rPr>
        <rFont val="맑은 고딕"/>
        <i/>
        <color rgb="FF7F7F7F"/>
        <sz val="8.0"/>
      </rPr>
      <t xml:space="preserve">LMS </t>
    </r>
    <r>
      <rPr>
        <rFont val="Noto Sans CJK SC"/>
        <i/>
        <color rgb="FF7F7F7F"/>
        <sz val="8.0"/>
      </rPr>
      <t>항목 안에 섞여 있어 분리</t>
    </r>
  </si>
  <si>
    <r>
      <rPr>
        <rFont val="Noto Sans CJK SC"/>
        <color rgb="FF7F7F7F"/>
        <sz val="9.0"/>
      </rPr>
      <t>예</t>
    </r>
    <r>
      <rPr>
        <rFont val="맑은 고딕"/>
        <color rgb="FF7F7F7F"/>
        <sz val="9.0"/>
      </rPr>
      <t xml:space="preserve">: </t>
    </r>
    <r>
      <rPr>
        <rFont val="Noto Sans CJK SC"/>
        <color rgb="FF7F7F7F"/>
        <sz val="9.0"/>
      </rPr>
      <t>입학</t>
    </r>
    <r>
      <rPr>
        <rFont val="맑은 고딕"/>
        <color rgb="FF7F7F7F"/>
        <sz val="9.0"/>
      </rPr>
      <t>~2026-1</t>
    </r>
  </si>
  <si>
    <r>
      <rPr>
        <rFont val="Noto Sans CJK SC"/>
        <b/>
        <color rgb="FF000000"/>
        <sz val="10.0"/>
      </rPr>
      <t>교수 면담 횟수</t>
    </r>
    <r>
      <rPr>
        <rFont val="맑은 고딕"/>
        <b/>
        <color rgb="FF000000"/>
        <sz val="10.0"/>
      </rPr>
      <t>(</t>
    </r>
    <r>
      <rPr>
        <rFont val="Noto Sans CJK SC"/>
        <b/>
        <color rgb="FF000000"/>
        <sz val="10.0"/>
      </rPr>
      <t>누적</t>
    </r>
    <r>
      <rPr>
        <rFont val="맑은 고딕"/>
        <b/>
        <color rgb="FF000000"/>
        <sz val="10.0"/>
      </rPr>
      <t>)</t>
    </r>
  </si>
  <si>
    <r>
      <rPr>
        <rFont val="Noto Sans CJK SC"/>
        <i/>
        <color rgb="FF7F7F7F"/>
        <sz val="8.0"/>
      </rPr>
      <t>출처</t>
    </r>
    <r>
      <rPr>
        <rFont val="맑은 고딕"/>
        <i/>
        <color rgb="FF7F7F7F"/>
        <sz val="8.0"/>
      </rPr>
      <t xml:space="preserve">: </t>
    </r>
    <r>
      <rPr>
        <rFont val="Noto Sans CJK SC"/>
        <i/>
        <color rgb="FF7F7F7F"/>
        <sz val="8.0"/>
      </rPr>
      <t xml:space="preserve">비교과 시스템 </t>
    </r>
    <r>
      <rPr>
        <rFont val="맑은 고딕"/>
        <i/>
        <color rgb="FF7F7F7F"/>
        <sz val="8.0"/>
      </rPr>
      <t xml:space="preserve">· </t>
    </r>
    <r>
      <rPr>
        <rFont val="Noto Sans CJK SC"/>
        <i/>
        <color rgb="FF7F7F7F"/>
        <sz val="8.0"/>
      </rPr>
      <t xml:space="preserve">학생 등록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대인관계 </t>
    </r>
    <r>
      <rPr>
        <rFont val="맑은 고딕"/>
        <i/>
        <color rgb="FF7F7F7F"/>
        <sz val="8.0"/>
      </rPr>
      <t xml:space="preserve">/ </t>
    </r>
    <r>
      <rPr>
        <rFont val="Noto Sans CJK SC"/>
        <i/>
        <color rgb="FF7F7F7F"/>
        <sz val="8.0"/>
      </rPr>
      <t xml:space="preserve">리더십 </t>
    </r>
    <r>
      <rPr>
        <rFont val="맑은 고딕"/>
        <i/>
        <color rgb="FF7F7F7F"/>
        <sz val="8.0"/>
      </rPr>
      <t xml:space="preserve">/ </t>
    </r>
    <r>
      <rPr>
        <rFont val="Noto Sans CJK SC"/>
        <i/>
        <color rgb="FF7F7F7F"/>
        <sz val="8.0"/>
      </rPr>
      <t xml:space="preserve">커뮤니케이션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직책</t>
    </r>
    <r>
      <rPr>
        <rFont val="맑은 고딕"/>
        <i/>
        <color rgb="FF7F7F7F"/>
        <sz val="8.0"/>
      </rPr>
      <t>(</t>
    </r>
    <r>
      <rPr>
        <rFont val="Noto Sans CJK SC"/>
        <i/>
        <color rgb="FF7F7F7F"/>
        <sz val="8.0"/>
      </rPr>
      <t>회장</t>
    </r>
    <r>
      <rPr>
        <rFont val="맑은 고딕"/>
        <i/>
        <color rgb="FF7F7F7F"/>
        <sz val="8.0"/>
      </rPr>
      <t>·</t>
    </r>
    <r>
      <rPr>
        <rFont val="Noto Sans CJK SC"/>
        <i/>
        <color rgb="FF7F7F7F"/>
        <sz val="8.0"/>
      </rPr>
      <t>부장</t>
    </r>
    <r>
      <rPr>
        <rFont val="맑은 고딕"/>
        <i/>
        <color rgb="FF7F7F7F"/>
        <sz val="8.0"/>
      </rPr>
      <t>·</t>
    </r>
    <r>
      <rPr>
        <rFont val="Noto Sans CJK SC"/>
        <i/>
        <color rgb="FF7F7F7F"/>
        <sz val="8.0"/>
      </rPr>
      <t>총무</t>
    </r>
    <r>
      <rPr>
        <rFont val="맑은 고딕"/>
        <i/>
        <color rgb="FF7F7F7F"/>
        <sz val="8.0"/>
      </rPr>
      <t>·</t>
    </r>
    <r>
      <rPr>
        <rFont val="Noto Sans CJK SC"/>
        <i/>
        <color rgb="FF7F7F7F"/>
        <sz val="8.0"/>
      </rPr>
      <t>부원</t>
    </r>
    <r>
      <rPr>
        <rFont val="맑은 고딕"/>
        <i/>
        <color rgb="FF7F7F7F"/>
        <sz val="8.0"/>
      </rPr>
      <t xml:space="preserve">) × </t>
    </r>
    <r>
      <rPr>
        <rFont val="Noto Sans CJK SC"/>
        <i/>
        <color rgb="FF7F7F7F"/>
        <sz val="8.0"/>
      </rPr>
      <t>기간으로 정량화</t>
    </r>
  </si>
  <si>
    <r>
      <rPr>
        <rFont val="맑은 고딕"/>
        <color rgb="FF1F3B8A"/>
        <sz val="10.0"/>
      </rPr>
      <t>2~3</t>
    </r>
    <r>
      <rPr>
        <rFont val="Noto Sans CJK SC"/>
        <color rgb="FF1F3B8A"/>
        <sz val="10.0"/>
      </rPr>
      <t>번</t>
    </r>
  </si>
  <si>
    <r>
      <rPr>
        <rFont val="Noto Sans CJK SC"/>
        <b/>
        <color rgb="FF000000"/>
        <sz val="10.0"/>
      </rPr>
      <t>학업상담 횟수</t>
    </r>
    <r>
      <rPr>
        <rFont val="맑은 고딕"/>
        <b/>
        <color rgb="FF000000"/>
        <sz val="10.0"/>
      </rPr>
      <t>(</t>
    </r>
    <r>
      <rPr>
        <rFont val="Noto Sans CJK SC"/>
        <b/>
        <color rgb="FF000000"/>
        <sz val="10.0"/>
      </rPr>
      <t>누적</t>
    </r>
    <r>
      <rPr>
        <rFont val="맑은 고딕"/>
        <b/>
        <color rgb="FF000000"/>
        <sz val="10.0"/>
      </rPr>
      <t>)</t>
    </r>
  </si>
  <si>
    <r>
      <rPr>
        <rFont val="Noto Sans CJK SC"/>
        <b/>
        <color rgb="FF000000"/>
        <sz val="11.0"/>
      </rPr>
      <t>특허출원</t>
    </r>
    <r>
      <rPr>
        <rFont val="맑은 고딕"/>
        <b/>
        <color rgb="FF000000"/>
        <sz val="11.0"/>
      </rPr>
      <t xml:space="preserve">·SW </t>
    </r>
    <r>
      <rPr>
        <rFont val="Noto Sans CJK SC"/>
        <b/>
        <color rgb="FF000000"/>
        <sz val="11.0"/>
      </rPr>
      <t>등록</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</si>
  <si>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</si>
  <si>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Noto Sans CJK SC"/>
        <b/>
        <color rgb="FF000000"/>
        <sz val="11.0"/>
      </rPr>
      <t>토론</t>
    </r>
    <r>
      <rPr>
        <rFont val="맑은 고딕"/>
        <b/>
        <color rgb="FF000000"/>
        <sz val="11.0"/>
      </rPr>
      <t>·</t>
    </r>
    <r>
      <rPr>
        <rFont val="Noto Sans CJK SC"/>
        <b/>
        <color rgb="FF000000"/>
        <sz val="11.0"/>
      </rPr>
      <t>게시판 참여</t>
    </r>
  </si>
  <si>
    <r>
      <rPr>
        <rFont val="Noto Sans CJK SC"/>
        <b/>
        <color rgb="FF000000"/>
        <sz val="9.0"/>
      </rPr>
      <t>단체 규모</t>
    </r>
    <r>
      <rPr>
        <rFont val="맑은 고딕"/>
        <b/>
        <color rgb="FF000000"/>
        <sz val="9.0"/>
      </rPr>
      <t>(</t>
    </r>
    <r>
      <rPr>
        <rFont val="Noto Sans CJK SC"/>
        <b/>
        <color rgb="FF000000"/>
        <sz val="9.0"/>
      </rPr>
      <t>명</t>
    </r>
    <r>
      <rPr>
        <rFont val="맑은 고딕"/>
        <b/>
        <color rgb="FF000000"/>
        <sz val="9.0"/>
      </rPr>
      <t>)</t>
    </r>
  </si>
  <si>
    <r>
      <rPr>
        <rFont val="Noto Sans CJK SC"/>
        <b/>
        <color rgb="FF000000"/>
        <sz val="9.0"/>
      </rPr>
      <t>주요 활동</t>
    </r>
    <r>
      <rPr>
        <rFont val="맑은 고딕"/>
        <b/>
        <color rgb="FF000000"/>
        <sz val="9.0"/>
      </rPr>
      <t>·</t>
    </r>
    <r>
      <rPr>
        <rFont val="Noto Sans CJK SC"/>
        <b/>
        <color rgb="FF000000"/>
        <sz val="9.0"/>
      </rPr>
      <t>성과</t>
    </r>
  </si>
  <si>
    <r>
      <rPr>
        <rFont val="맑은 고딕"/>
        <i/>
        <color rgb="FF7F7F7F"/>
        <sz val="8.0"/>
      </rPr>
      <t>[</t>
    </r>
    <r>
      <rPr>
        <rFont val="Noto Sans CJK SC"/>
        <i/>
        <color rgb="FF7F7F7F"/>
        <sz val="8.0"/>
      </rPr>
      <t xml:space="preserve">동아리 </t>
    </r>
    <r>
      <rPr>
        <rFont val="맑은 고딕"/>
        <i/>
        <color rgb="FF7F7F7F"/>
        <sz val="8.0"/>
      </rPr>
      <t xml:space="preserve">/ </t>
    </r>
    <r>
      <rPr>
        <rFont val="Noto Sans CJK SC"/>
        <i/>
        <color rgb="FF7F7F7F"/>
        <sz val="8.0"/>
      </rPr>
      <t xml:space="preserve">학생회 </t>
    </r>
    <r>
      <rPr>
        <rFont val="맑은 고딕"/>
        <i/>
        <color rgb="FF7F7F7F"/>
        <sz val="8.0"/>
      </rPr>
      <t xml:space="preserve">/ </t>
    </r>
    <r>
      <rPr>
        <rFont val="Noto Sans CJK SC"/>
        <i/>
        <color rgb="FF7F7F7F"/>
        <sz val="8.0"/>
      </rPr>
      <t xml:space="preserve">학회 </t>
    </r>
    <r>
      <rPr>
        <rFont val="맑은 고딕"/>
        <i/>
        <color rgb="FF7F7F7F"/>
        <sz val="8.0"/>
      </rPr>
      <t xml:space="preserve">/ </t>
    </r>
    <r>
      <rPr>
        <rFont val="Noto Sans CJK SC"/>
        <i/>
        <color rgb="FF7F7F7F"/>
        <sz val="8.0"/>
      </rPr>
      <t>기타단체</t>
    </r>
    <r>
      <rPr>
        <rFont val="맑은 고딕"/>
        <i/>
        <color rgb="FF7F7F7F"/>
        <sz val="8.0"/>
      </rPr>
      <t>]</t>
    </r>
  </si>
  <si>
    <r>
      <rPr>
        <rFont val="맑은 고딕"/>
        <i/>
        <color rgb="FF7F7F7F"/>
        <sz val="8.0"/>
      </rPr>
      <t>[</t>
    </r>
    <r>
      <rPr>
        <rFont val="Noto Sans CJK SC"/>
        <i/>
        <color rgb="FF7F7F7F"/>
        <sz val="8.0"/>
      </rPr>
      <t xml:space="preserve">회장 </t>
    </r>
    <r>
      <rPr>
        <rFont val="맑은 고딕"/>
        <i/>
        <color rgb="FF7F7F7F"/>
        <sz val="8.0"/>
      </rPr>
      <t xml:space="preserve">/ </t>
    </r>
    <r>
      <rPr>
        <rFont val="Noto Sans CJK SC"/>
        <i/>
        <color rgb="FF7F7F7F"/>
        <sz val="8.0"/>
      </rPr>
      <t xml:space="preserve">부회장 </t>
    </r>
    <r>
      <rPr>
        <rFont val="맑은 고딕"/>
        <i/>
        <color rgb="FF7F7F7F"/>
        <sz val="8.0"/>
      </rPr>
      <t xml:space="preserve">/ </t>
    </r>
    <r>
      <rPr>
        <rFont val="Noto Sans CJK SC"/>
        <i/>
        <color rgb="FF7F7F7F"/>
        <sz val="8.0"/>
      </rPr>
      <t xml:space="preserve">부장 </t>
    </r>
    <r>
      <rPr>
        <rFont val="맑은 고딕"/>
        <i/>
        <color rgb="FF7F7F7F"/>
        <sz val="8.0"/>
      </rPr>
      <t xml:space="preserve">/ </t>
    </r>
    <r>
      <rPr>
        <rFont val="Noto Sans CJK SC"/>
        <i/>
        <color rgb="FF7F7F7F"/>
        <sz val="8.0"/>
      </rPr>
      <t xml:space="preserve">총무 </t>
    </r>
    <r>
      <rPr>
        <rFont val="맑은 고딕"/>
        <i/>
        <color rgb="FF7F7F7F"/>
        <sz val="8.0"/>
      </rPr>
      <t xml:space="preserve">/ </t>
    </r>
    <r>
      <rPr>
        <rFont val="Noto Sans CJK SC"/>
        <i/>
        <color rgb="FF7F7F7F"/>
        <sz val="8.0"/>
      </rPr>
      <t>부원</t>
    </r>
    <r>
      <rPr>
        <rFont val="맑은 고딕"/>
        <i/>
        <color rgb="FF7F7F7F"/>
        <sz val="8.0"/>
      </rPr>
      <t>]</t>
    </r>
  </si>
  <si>
    <r>
      <rPr>
        <rFont val="맑은 고딕"/>
        <i/>
        <color rgb="FF7F7F7F"/>
        <sz val="8.0"/>
      </rPr>
      <t xml:space="preserve">YYYY-MM / </t>
    </r>
    <r>
      <rPr>
        <rFont val="Noto Sans CJK SC"/>
        <i/>
        <color rgb="FF7F7F7F"/>
        <sz val="8.0"/>
      </rPr>
      <t>진행중</t>
    </r>
  </si>
  <si>
    <r>
      <rPr>
        <rFont val="Noto Sans CJK SC"/>
        <i/>
        <color rgb="FF7F7F7F"/>
        <sz val="8.0"/>
      </rPr>
      <t>출처</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 xml:space="preserve">) </t>
    </r>
    <r>
      <rPr>
        <rFont val="Noto Sans CJK SC"/>
        <i/>
        <color rgb="FF7F7F7F"/>
        <sz val="8.0"/>
      </rPr>
      <t xml:space="preserve">인증 </t>
    </r>
    <r>
      <rPr>
        <rFont val="맑은 고딕"/>
        <i/>
        <color rgb="FF7F7F7F"/>
        <sz val="8.0"/>
      </rPr>
      <t xml:space="preserve">· </t>
    </r>
    <r>
      <rPr>
        <rFont val="Noto Sans CJK SC"/>
        <i/>
        <color rgb="FF7F7F7F"/>
        <sz val="8.0"/>
      </rPr>
      <t xml:space="preserve">학생 등록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창의 </t>
    </r>
    <r>
      <rPr>
        <rFont val="맑은 고딕"/>
        <i/>
        <color rgb="FF7F7F7F"/>
        <sz val="8.0"/>
      </rPr>
      <t xml:space="preserve">/ </t>
    </r>
    <r>
      <rPr>
        <rFont val="Noto Sans CJK SC"/>
        <i/>
        <color rgb="FF7F7F7F"/>
        <sz val="8.0"/>
      </rPr>
      <t xml:space="preserve">도전정신 </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기존 데이터셋에 없는 신규 근거</t>
    </r>
  </si>
  <si>
    <t>학생회</t>
  </si>
  <si>
    <r>
      <rPr>
        <rFont val="Noto Sans CJK SC"/>
        <b/>
        <color rgb="FF000000"/>
        <sz val="9.0"/>
      </rPr>
      <t>출원</t>
    </r>
    <r>
      <rPr>
        <rFont val="맑은 고딕"/>
        <b/>
        <color rgb="FF000000"/>
        <sz val="9.0"/>
      </rPr>
      <t>·</t>
    </r>
    <r>
      <rPr>
        <rFont val="Noto Sans CJK SC"/>
        <b/>
        <color rgb="FF000000"/>
        <sz val="9.0"/>
      </rPr>
      <t>등록번호</t>
    </r>
  </si>
  <si>
    <t>경영대학 학생회</t>
  </si>
  <si>
    <r>
      <rPr>
        <rFont val="맑은 고딕"/>
        <i/>
        <color rgb="FF7F7F7F"/>
        <sz val="8.0"/>
      </rPr>
      <t>[</t>
    </r>
    <r>
      <rPr>
        <rFont val="Noto Sans CJK SC"/>
        <i/>
        <color rgb="FF7F7F7F"/>
        <sz val="8.0"/>
      </rPr>
      <t xml:space="preserve">특허 </t>
    </r>
    <r>
      <rPr>
        <rFont val="맑은 고딕"/>
        <i/>
        <color rgb="FF7F7F7F"/>
        <sz val="8.0"/>
      </rPr>
      <t xml:space="preserve">/ </t>
    </r>
    <r>
      <rPr>
        <rFont val="Noto Sans CJK SC"/>
        <i/>
        <color rgb="FF7F7F7F"/>
        <sz val="8.0"/>
      </rPr>
      <t xml:space="preserve">실용신안 </t>
    </r>
    <r>
      <rPr>
        <rFont val="맑은 고딕"/>
        <i/>
        <color rgb="FF7F7F7F"/>
        <sz val="8.0"/>
      </rPr>
      <t xml:space="preserve">/ </t>
    </r>
    <r>
      <rPr>
        <rFont val="Noto Sans CJK SC"/>
        <i/>
        <color rgb="FF7F7F7F"/>
        <sz val="8.0"/>
      </rPr>
      <t xml:space="preserve">디자인 </t>
    </r>
    <r>
      <rPr>
        <rFont val="맑은 고딕"/>
        <i/>
        <color rgb="FF7F7F7F"/>
        <sz val="8.0"/>
      </rPr>
      <t>/ SW</t>
    </r>
    <r>
      <rPr>
        <rFont val="Noto Sans CJK SC"/>
        <i/>
        <color rgb="FF7F7F7F"/>
        <sz val="8.0"/>
      </rPr>
      <t>등록</t>
    </r>
    <r>
      <rPr>
        <rFont val="맑은 고딕"/>
        <i/>
        <color rgb="FF7F7F7F"/>
        <sz val="8.0"/>
      </rPr>
      <t>]</t>
    </r>
  </si>
  <si>
    <r>
      <rPr>
        <rFont val="맑은 고딕"/>
        <i/>
        <color rgb="FF7F7F7F"/>
        <sz val="8.0"/>
      </rPr>
      <t>[</t>
    </r>
    <r>
      <rPr>
        <rFont val="Noto Sans CJK SC"/>
        <i/>
        <color rgb="FF7F7F7F"/>
        <sz val="8.0"/>
      </rPr>
      <t xml:space="preserve">출원 </t>
    </r>
    <r>
      <rPr>
        <rFont val="맑은 고딕"/>
        <i/>
        <color rgb="FF7F7F7F"/>
        <sz val="8.0"/>
      </rPr>
      <t xml:space="preserve">/ </t>
    </r>
    <r>
      <rPr>
        <rFont val="Noto Sans CJK SC"/>
        <i/>
        <color rgb="FF7F7F7F"/>
        <sz val="8.0"/>
      </rPr>
      <t>등록</t>
    </r>
    <r>
      <rPr>
        <rFont val="맑은 고딕"/>
        <i/>
        <color rgb="FF7F7F7F"/>
        <sz val="8.0"/>
      </rPr>
      <t>]</t>
    </r>
  </si>
  <si>
    <r>
      <rPr>
        <rFont val="맑은 고딕"/>
        <i/>
        <color rgb="FF7F7F7F"/>
        <sz val="8.0"/>
      </rPr>
      <t>[</t>
    </r>
    <r>
      <rPr>
        <rFont val="Noto Sans CJK SC"/>
        <i/>
        <color rgb="FF7F7F7F"/>
        <sz val="8.0"/>
      </rPr>
      <t xml:space="preserve">단독 </t>
    </r>
    <r>
      <rPr>
        <rFont val="맑은 고딕"/>
        <i/>
        <color rgb="FF7F7F7F"/>
        <sz val="8.0"/>
      </rPr>
      <t xml:space="preserve">/ </t>
    </r>
    <r>
      <rPr>
        <rFont val="Noto Sans CJK SC"/>
        <i/>
        <color rgb="FF7F7F7F"/>
        <sz val="8.0"/>
      </rPr>
      <t>공동</t>
    </r>
    <r>
      <rPr>
        <rFont val="맑은 고딕"/>
        <i/>
        <color rgb="FF7F7F7F"/>
        <sz val="8.0"/>
      </rPr>
      <t>]</t>
    </r>
  </si>
  <si>
    <r>
      <rPr>
        <rFont val="Noto Sans CJK SC"/>
        <i/>
        <color rgb="FF7F7F7F"/>
        <sz val="8.0"/>
      </rPr>
      <t>출처</t>
    </r>
    <r>
      <rPr>
        <rFont val="맑은 고딕"/>
        <i/>
        <color rgb="FF7F7F7F"/>
        <sz val="8.0"/>
      </rPr>
      <t xml:space="preserve">: LMS(i-Campus)   |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소통능력 </t>
    </r>
    <r>
      <rPr>
        <rFont val="맑은 고딕"/>
        <i/>
        <color rgb="FF7F7F7F"/>
        <sz val="8.0"/>
      </rPr>
      <t xml:space="preserve">/ </t>
    </r>
    <r>
      <rPr>
        <rFont val="Noto Sans CJK SC"/>
        <i/>
        <color rgb="FF7F7F7F"/>
        <sz val="8.0"/>
      </rPr>
      <t xml:space="preserve">수업참여도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교수 관심 </t>
    </r>
    <r>
      <rPr>
        <rFont val="맑은 고딕"/>
        <i/>
        <color rgb="FF7F7F7F"/>
        <sz val="8.0"/>
      </rPr>
      <t>'</t>
    </r>
    <r>
      <rPr>
        <rFont val="Noto Sans CJK SC"/>
        <i/>
        <color rgb="FF7F7F7F"/>
        <sz val="8.0"/>
      </rPr>
      <t>소통능력</t>
    </r>
    <r>
      <rPr>
        <rFont val="맑은 고딕"/>
        <i/>
        <color rgb="FF7F7F7F"/>
        <sz val="8.0"/>
      </rPr>
      <t>'</t>
    </r>
    <r>
      <rPr>
        <rFont val="Noto Sans CJK SC"/>
        <i/>
        <color rgb="FF7F7F7F"/>
        <sz val="8.0"/>
      </rPr>
      <t>의 정량 근거 보강</t>
    </r>
  </si>
  <si>
    <r>
      <rPr>
        <rFont val="Noto Sans CJK SC"/>
        <i/>
        <color rgb="FF7F7F7F"/>
        <sz val="8.0"/>
      </rPr>
      <t>출처</t>
    </r>
    <r>
      <rPr>
        <rFont val="맑은 고딕"/>
        <i/>
        <color rgb="FF7F7F7F"/>
        <sz val="8.0"/>
      </rPr>
      <t xml:space="preserve">: </t>
    </r>
    <r>
      <rPr>
        <rFont val="Noto Sans CJK SC"/>
        <i/>
        <color rgb="FF7F7F7F"/>
        <sz val="8.0"/>
      </rPr>
      <t>학사시스템</t>
    </r>
    <r>
      <rPr>
        <rFont val="맑은 고딕"/>
        <i/>
        <color rgb="FF7F7F7F"/>
        <sz val="8.0"/>
      </rPr>
      <t>(</t>
    </r>
    <r>
      <rPr>
        <rFont val="Noto Sans CJK SC"/>
        <i/>
        <color rgb="FF7F7F7F"/>
        <sz val="8.0"/>
      </rPr>
      <t>수강내역</t>
    </r>
    <r>
      <rPr>
        <rFont val="맑은 고딕"/>
        <i/>
        <color rgb="FF7F7F7F"/>
        <sz val="8.0"/>
      </rPr>
      <t xml:space="preserve">)   |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글로벌</t>
    </r>
    <r>
      <rPr>
        <rFont val="맑은 고딕"/>
        <i/>
        <color rgb="FF7F7F7F"/>
        <sz val="8.0"/>
      </rPr>
      <t>(</t>
    </r>
    <r>
      <rPr>
        <rFont val="Noto Sans CJK SC"/>
        <i/>
        <color rgb="FF7F7F7F"/>
        <sz val="8.0"/>
      </rPr>
      <t>외국어 능력</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마인드맵</t>
    </r>
    <r>
      <rPr>
        <rFont val="맑은 고딕"/>
        <i/>
        <color rgb="FF7F7F7F"/>
        <sz val="8.0"/>
      </rPr>
      <t>(</t>
    </r>
    <r>
      <rPr>
        <rFont val="Noto Sans CJK SC"/>
        <i/>
        <color rgb="FF7F7F7F"/>
        <sz val="8.0"/>
      </rPr>
      <t>기업 관심</t>
    </r>
    <r>
      <rPr>
        <rFont val="맑은 고딕"/>
        <i/>
        <color rgb="FF7F7F7F"/>
        <sz val="8.0"/>
      </rPr>
      <t>-</t>
    </r>
    <r>
      <rPr>
        <rFont val="Noto Sans CJK SC"/>
        <i/>
        <color rgb="FF7F7F7F"/>
        <sz val="8.0"/>
      </rPr>
      <t>글로벌</t>
    </r>
    <r>
      <rPr>
        <rFont val="맑은 고딕"/>
        <i/>
        <color rgb="FF7F7F7F"/>
        <sz val="8.0"/>
      </rPr>
      <t>)</t>
    </r>
    <r>
      <rPr>
        <rFont val="Noto Sans CJK SC"/>
        <i/>
        <color rgb="FF7F7F7F"/>
        <sz val="8.0"/>
      </rPr>
      <t>에 있으나 기존 데이터셋에 없음</t>
    </r>
  </si>
  <si>
    <t>행사 운영 지원</t>
  </si>
  <si>
    <r>
      <rPr>
        <rFont val="Noto Sans CJK SC"/>
        <color rgb="FF7F7F7F"/>
        <sz val="9.0"/>
      </rPr>
      <t>예</t>
    </r>
    <r>
      <rPr>
        <rFont val="맑은 고딕"/>
        <color rgb="FF7F7F7F"/>
        <sz val="9.0"/>
      </rPr>
      <t>: 2026-1</t>
    </r>
    <r>
      <rPr>
        <rFont val="Noto Sans CJK SC"/>
        <color rgb="FF7F7F7F"/>
        <sz val="9.0"/>
      </rPr>
      <t>학기</t>
    </r>
  </si>
  <si>
    <r>
      <rPr>
        <rFont val="Noto Sans CJK SC"/>
        <color rgb="FF7F7F7F"/>
        <sz val="9.0"/>
      </rPr>
      <t xml:space="preserve">없으면 </t>
    </r>
    <r>
      <rPr>
        <rFont val="맑은 고딕"/>
        <color rgb="FF7F7F7F"/>
        <sz val="9.0"/>
      </rPr>
      <t>0</t>
    </r>
  </si>
  <si>
    <t>댄스 동아리</t>
  </si>
  <si>
    <t>총무</t>
  </si>
  <si>
    <r>
      <rPr>
        <rFont val="Noto Sans CJK SC"/>
        <b/>
        <color rgb="FFFFFFFF"/>
        <sz val="11.0"/>
      </rPr>
      <t>■ 연구</t>
    </r>
    <r>
      <rPr>
        <rFont val="맑은 고딕"/>
        <b/>
        <color rgb="FFFFFFFF"/>
        <sz val="11.0"/>
      </rPr>
      <t>·</t>
    </r>
    <r>
      <rPr>
        <rFont val="Noto Sans CJK SC"/>
        <b/>
        <color rgb="FFFFFFFF"/>
        <sz val="11.0"/>
      </rPr>
      <t>학술</t>
    </r>
  </si>
  <si>
    <r>
      <rPr>
        <rFont val="Noto Sans CJK SC"/>
        <color rgb="FF7F7F7F"/>
        <sz val="9.0"/>
      </rPr>
      <t>예</t>
    </r>
    <r>
      <rPr>
        <rFont val="맑은 고딕"/>
        <color rgb="FF7F7F7F"/>
        <sz val="9.0"/>
      </rPr>
      <t xml:space="preserve">: </t>
    </r>
    <r>
      <rPr>
        <rFont val="Noto Sans CJK SC"/>
        <color rgb="FF7F7F7F"/>
        <sz val="9.0"/>
      </rPr>
      <t>영어</t>
    </r>
  </si>
  <si>
    <r>
      <rPr>
        <rFont val="Noto Sans CJK SC"/>
        <b/>
        <color rgb="FF000000"/>
        <sz val="11.0"/>
      </rPr>
      <t>교환학생</t>
    </r>
    <r>
      <rPr>
        <rFont val="맑은 고딕"/>
        <b/>
        <color rgb="FF000000"/>
        <sz val="11.0"/>
      </rPr>
      <t>·</t>
    </r>
    <r>
      <rPr>
        <rFont val="Noto Sans CJK SC"/>
        <b/>
        <color rgb="FF000000"/>
        <sz val="11.0"/>
      </rPr>
      <t>해외경험</t>
    </r>
  </si>
  <si>
    <r>
      <rPr>
        <rFont val="Noto Sans CJK SC"/>
        <b/>
        <color rgb="FFFFFFFF"/>
        <sz val="11.0"/>
      </rPr>
      <t>■ 디지털</t>
    </r>
    <r>
      <rPr>
        <rFont val="맑은 고딕"/>
        <b/>
        <color rgb="FFFFFFFF"/>
        <sz val="11.0"/>
      </rPr>
      <t>·AI</t>
    </r>
  </si>
  <si>
    <r>
      <rPr>
        <rFont val="Noto Sans CJK SC"/>
        <color rgb="FF1F3B8A"/>
        <sz val="10.0"/>
      </rPr>
      <t>회비</t>
    </r>
    <r>
      <rPr>
        <rFont val="맑은 고딕"/>
        <color rgb="FF1F3B8A"/>
        <sz val="10.0"/>
      </rPr>
      <t>·</t>
    </r>
    <r>
      <rPr>
        <rFont val="Noto Sans CJK SC"/>
        <color rgb="FF1F3B8A"/>
        <sz val="10.0"/>
      </rPr>
      <t>대관 관리</t>
    </r>
  </si>
  <si>
    <r>
      <rPr>
        <rFont val="Noto Sans CJK SC"/>
        <b/>
        <color rgb="FF000000"/>
        <sz val="11.0"/>
      </rPr>
      <t>학회</t>
    </r>
    <r>
      <rPr>
        <rFont val="맑은 고딕"/>
        <b/>
        <color rgb="FF000000"/>
        <sz val="11.0"/>
      </rPr>
      <t>·</t>
    </r>
    <r>
      <rPr>
        <rFont val="Noto Sans CJK SC"/>
        <b/>
        <color rgb="FF000000"/>
        <sz val="11.0"/>
      </rPr>
      <t>연구활동</t>
    </r>
  </si>
  <si>
    <r>
      <rPr>
        <rFont val="맑은 고딕"/>
        <b/>
        <color rgb="FF000000"/>
        <sz val="11.0"/>
      </rPr>
      <t>AI</t>
    </r>
    <r>
      <rPr>
        <rFont val="Noto Sans CJK SC"/>
        <b/>
        <color rgb="FF000000"/>
        <sz val="11.0"/>
      </rPr>
      <t>교육 이수내역</t>
    </r>
  </si>
  <si>
    <r>
      <rPr>
        <rFont val="Noto Sans CJK SC"/>
        <i/>
        <color rgb="FF7F7F7F"/>
        <sz val="8.0"/>
      </rPr>
      <t>출처</t>
    </r>
    <r>
      <rPr>
        <rFont val="맑은 고딕"/>
        <i/>
        <color rgb="FF7F7F7F"/>
        <sz val="8.0"/>
      </rPr>
      <t xml:space="preserve">: </t>
    </r>
    <r>
      <rPr>
        <rFont val="Noto Sans CJK SC"/>
        <i/>
        <color rgb="FF7F7F7F"/>
        <sz val="8.0"/>
      </rPr>
      <t xml:space="preserve">국제처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글로벌</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글로벌</t>
    </r>
    <r>
      <rPr>
        <rFont val="맑은 고딕"/>
        <i/>
        <color rgb="FF7F7F7F"/>
        <sz val="8.0"/>
      </rPr>
      <t>(</t>
    </r>
    <r>
      <rPr>
        <rFont val="Noto Sans CJK SC"/>
        <i/>
        <color rgb="FF7F7F7F"/>
        <sz val="8.0"/>
      </rPr>
      <t>문화적 수용능력</t>
    </r>
    <r>
      <rPr>
        <rFont val="맑은 고딕"/>
        <i/>
        <color rgb="FF7F7F7F"/>
        <sz val="8.0"/>
      </rPr>
      <t xml:space="preserve">)   |   </t>
    </r>
    <r>
      <rPr>
        <rFont val="Noto Sans CJK SC"/>
        <i/>
        <color rgb="FF7F7F7F"/>
        <sz val="8.0"/>
      </rPr>
      <t>비고</t>
    </r>
    <r>
      <rPr>
        <rFont val="맑은 고딕"/>
        <i/>
        <color rgb="FF7F7F7F"/>
        <sz val="8.0"/>
      </rPr>
      <t xml:space="preserve">: [C] </t>
    </r>
    <r>
      <rPr>
        <rFont val="Noto Sans CJK SC"/>
        <i/>
        <color rgb="FF7F7F7F"/>
        <sz val="8.0"/>
      </rPr>
      <t>국제연구</t>
    </r>
    <r>
      <rPr>
        <rFont val="맑은 고딕"/>
        <i/>
        <color rgb="FF7F7F7F"/>
        <sz val="8.0"/>
      </rPr>
      <t>·</t>
    </r>
    <r>
      <rPr>
        <rFont val="Noto Sans CJK SC"/>
        <i/>
        <color rgb="FF7F7F7F"/>
        <sz val="8.0"/>
      </rPr>
      <t>국제문화체험 항목 추가</t>
    </r>
  </si>
  <si>
    <r>
      <rPr>
        <rFont val="Noto Sans CJK SC"/>
        <b/>
        <color rgb="FF000000"/>
        <sz val="9.0"/>
      </rPr>
      <t>기관</t>
    </r>
    <r>
      <rPr>
        <rFont val="맑은 고딕"/>
        <b/>
        <color rgb="FF000000"/>
        <sz val="9.0"/>
      </rPr>
      <t>·</t>
    </r>
    <r>
      <rPr>
        <rFont val="Noto Sans CJK SC"/>
        <b/>
        <color rgb="FF000000"/>
        <sz val="9.0"/>
      </rPr>
      <t>프로그램명</t>
    </r>
  </si>
  <si>
    <r>
      <rPr>
        <rFont val="Noto Sans CJK SC"/>
        <b/>
        <color rgb="FF000000"/>
        <sz val="9.0"/>
      </rPr>
      <t>기간</t>
    </r>
    <r>
      <rPr>
        <rFont val="맑은 고딕"/>
        <b/>
        <color rgb="FF000000"/>
        <sz val="9.0"/>
      </rPr>
      <t>(</t>
    </r>
    <r>
      <rPr>
        <rFont val="Noto Sans CJK SC"/>
        <b/>
        <color rgb="FF000000"/>
        <sz val="9.0"/>
      </rPr>
      <t>주</t>
    </r>
    <r>
      <rPr>
        <rFont val="맑은 고딕"/>
        <b/>
        <color rgb="FF000000"/>
        <sz val="9.0"/>
      </rPr>
      <t>)</t>
    </r>
  </si>
  <si>
    <r>
      <rPr>
        <rFont val="맑은 고딕"/>
        <b/>
        <color rgb="FF000000"/>
        <sz val="9.0"/>
      </rPr>
      <t>3</t>
    </r>
    <r>
      <rPr>
        <rFont val="Noto Sans CJK SC"/>
        <b/>
        <color rgb="FF000000"/>
        <sz val="9.0"/>
      </rPr>
      <t>품 인정</t>
    </r>
  </si>
  <si>
    <r>
      <rPr>
        <rFont val="Noto Sans CJK SC"/>
        <i/>
        <color rgb="FF7F7F7F"/>
        <sz val="8.0"/>
      </rPr>
      <t>출처</t>
    </r>
    <r>
      <rPr>
        <rFont val="맑은 고딕"/>
        <i/>
        <color rgb="FF7F7F7F"/>
        <sz val="8.0"/>
      </rPr>
      <t xml:space="preserve">: </t>
    </r>
    <r>
      <rPr>
        <rFont val="Noto Sans CJK SC"/>
        <i/>
        <color rgb="FF7F7F7F"/>
        <sz val="8.0"/>
      </rPr>
      <t>비교과</t>
    </r>
    <r>
      <rPr>
        <rFont val="맑은 고딕"/>
        <i/>
        <color rgb="FF7F7F7F"/>
        <sz val="8.0"/>
      </rPr>
      <t>·</t>
    </r>
    <r>
      <rPr>
        <rFont val="Noto Sans CJK SC"/>
        <i/>
        <color rgb="FF7F7F7F"/>
        <sz val="8.0"/>
      </rPr>
      <t xml:space="preserve">연구지원 시스템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탐구력 </t>
    </r>
    <r>
      <rPr>
        <rFont val="맑은 고딕"/>
        <i/>
        <color rgb="FF7F7F7F"/>
        <sz val="8.0"/>
      </rPr>
      <t xml:space="preserve">/ </t>
    </r>
    <r>
      <rPr>
        <rFont val="Noto Sans CJK SC"/>
        <i/>
        <color rgb="FF7F7F7F"/>
        <sz val="8.0"/>
      </rPr>
      <t xml:space="preserve">문제해결력   </t>
    </r>
    <r>
      <rPr>
        <rFont val="맑은 고딕"/>
        <i/>
        <color rgb="FF7F7F7F"/>
        <sz val="8.0"/>
      </rPr>
      <t xml:space="preserve">|   </t>
    </r>
    <r>
      <rPr>
        <rFont val="Noto Sans CJK SC"/>
        <i/>
        <color rgb="FF7F7F7F"/>
        <sz val="8.0"/>
      </rPr>
      <t>비고</t>
    </r>
    <r>
      <rPr>
        <rFont val="맑은 고딕"/>
        <i/>
        <color rgb="FF7F7F7F"/>
        <sz val="8.0"/>
      </rPr>
      <t xml:space="preserve">: [B] </t>
    </r>
    <r>
      <rPr>
        <rFont val="Noto Sans CJK SC"/>
        <i/>
        <color rgb="FF7F7F7F"/>
        <sz val="8.0"/>
      </rPr>
      <t>학회</t>
    </r>
    <r>
      <rPr>
        <rFont val="맑은 고딕"/>
        <i/>
        <color rgb="FF7F7F7F"/>
        <sz val="8.0"/>
      </rPr>
      <t>·</t>
    </r>
    <r>
      <rPr>
        <rFont val="Noto Sans CJK SC"/>
        <i/>
        <color rgb="FF7F7F7F"/>
        <sz val="8.0"/>
      </rPr>
      <t xml:space="preserve">연구 </t>
    </r>
    <r>
      <rPr>
        <rFont val="맑은 고딕"/>
        <i/>
        <color rgb="FF7F7F7F"/>
        <sz val="8.0"/>
      </rPr>
      <t>+ [C] URP·</t>
    </r>
    <r>
      <rPr>
        <rFont val="Noto Sans CJK SC"/>
        <i/>
        <color rgb="FF7F7F7F"/>
        <sz val="8.0"/>
      </rPr>
      <t>팀연구프로젝트 통합</t>
    </r>
  </si>
  <si>
    <r>
      <rPr>
        <rFont val="맑은 고딕"/>
        <i/>
        <color rgb="FF7F7F7F"/>
        <sz val="8.0"/>
      </rPr>
      <t>[</t>
    </r>
    <r>
      <rPr>
        <rFont val="Noto Sans CJK SC"/>
        <i/>
        <color rgb="FF7F7F7F"/>
        <sz val="8.0"/>
      </rPr>
      <t xml:space="preserve">교환학생 </t>
    </r>
    <r>
      <rPr>
        <rFont val="맑은 고딕"/>
        <i/>
        <color rgb="FF7F7F7F"/>
        <sz val="8.0"/>
      </rPr>
      <t xml:space="preserve">/ </t>
    </r>
    <r>
      <rPr>
        <rFont val="Noto Sans CJK SC"/>
        <i/>
        <color rgb="FF7F7F7F"/>
        <sz val="8.0"/>
      </rPr>
      <t xml:space="preserve">어학연수 </t>
    </r>
    <r>
      <rPr>
        <rFont val="맑은 고딕"/>
        <i/>
        <color rgb="FF7F7F7F"/>
        <sz val="8.0"/>
      </rPr>
      <t xml:space="preserve">/ </t>
    </r>
    <r>
      <rPr>
        <rFont val="Noto Sans CJK SC"/>
        <i/>
        <color rgb="FF7F7F7F"/>
        <sz val="8.0"/>
      </rPr>
      <t xml:space="preserve">해외봉사 </t>
    </r>
    <r>
      <rPr>
        <rFont val="맑은 고딕"/>
        <i/>
        <color rgb="FF7F7F7F"/>
        <sz val="8.0"/>
      </rPr>
      <t xml:space="preserve">/ </t>
    </r>
    <r>
      <rPr>
        <rFont val="Noto Sans CJK SC"/>
        <i/>
        <color rgb="FF7F7F7F"/>
        <sz val="8.0"/>
      </rPr>
      <t xml:space="preserve">국제연구 </t>
    </r>
    <r>
      <rPr>
        <rFont val="맑은 고딕"/>
        <i/>
        <color rgb="FF7F7F7F"/>
        <sz val="8.0"/>
      </rPr>
      <t xml:space="preserve">/ </t>
    </r>
    <r>
      <rPr>
        <rFont val="Noto Sans CJK SC"/>
        <i/>
        <color rgb="FF7F7F7F"/>
        <sz val="8.0"/>
      </rPr>
      <t xml:space="preserve">국제문화체험 </t>
    </r>
    <r>
      <rPr>
        <rFont val="맑은 고딕"/>
        <i/>
        <color rgb="FF7F7F7F"/>
        <sz val="8.0"/>
      </rPr>
      <t xml:space="preserve">/ </t>
    </r>
    <r>
      <rPr>
        <rFont val="Noto Sans CJK SC"/>
        <i/>
        <color rgb="FF7F7F7F"/>
        <sz val="8.0"/>
      </rPr>
      <t>해외학습</t>
    </r>
    <r>
      <rPr>
        <rFont val="맑은 고딕"/>
        <i/>
        <color rgb="FF7F7F7F"/>
        <sz val="8.0"/>
      </rPr>
      <t>]</t>
    </r>
  </si>
  <si>
    <r>
      <rPr>
        <rFont val="Noto Sans CJK SC"/>
        <b/>
        <color rgb="FF000000"/>
        <sz val="9.0"/>
      </rPr>
      <t>활동명</t>
    </r>
    <r>
      <rPr>
        <rFont val="맑은 고딕"/>
        <b/>
        <color rgb="FF000000"/>
        <sz val="9.0"/>
      </rPr>
      <t>·</t>
    </r>
    <r>
      <rPr>
        <rFont val="Noto Sans CJK SC"/>
        <b/>
        <color rgb="FF000000"/>
        <sz val="9.0"/>
      </rPr>
      <t>소속</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</si>
  <si>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</si>
  <si>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맑은 고딕"/>
        <i/>
        <color rgb="FF7F7F7F"/>
        <sz val="8.0"/>
      </rPr>
      <t>[</t>
    </r>
    <r>
      <rPr>
        <rFont val="Noto Sans CJK SC"/>
        <i/>
        <color rgb="FF7F7F7F"/>
        <sz val="8.0"/>
      </rPr>
      <t xml:space="preserve">학부연구생 </t>
    </r>
    <r>
      <rPr>
        <rFont val="맑은 고딕"/>
        <i/>
        <color rgb="FF7F7F7F"/>
        <sz val="8.0"/>
      </rPr>
      <t xml:space="preserve">/ URP / </t>
    </r>
    <r>
      <rPr>
        <rFont val="Noto Sans CJK SC"/>
        <i/>
        <color rgb="FF7F7F7F"/>
        <sz val="8.0"/>
      </rPr>
      <t xml:space="preserve">학회 </t>
    </r>
    <r>
      <rPr>
        <rFont val="맑은 고딕"/>
        <i/>
        <color rgb="FF7F7F7F"/>
        <sz val="8.0"/>
      </rPr>
      <t xml:space="preserve">/ </t>
    </r>
    <r>
      <rPr>
        <rFont val="Noto Sans CJK SC"/>
        <i/>
        <color rgb="FF7F7F7F"/>
        <sz val="8.0"/>
      </rPr>
      <t xml:space="preserve">연구실 인턴 </t>
    </r>
    <r>
      <rPr>
        <rFont val="맑은 고딕"/>
        <i/>
        <color rgb="FF7F7F7F"/>
        <sz val="8.0"/>
      </rPr>
      <t xml:space="preserve">/ </t>
    </r>
    <r>
      <rPr>
        <rFont val="Noto Sans CJK SC"/>
        <i/>
        <color rgb="FF7F7F7F"/>
        <sz val="8.0"/>
      </rPr>
      <t>팀연구프로젝트</t>
    </r>
    <r>
      <rPr>
        <rFont val="맑은 고딕"/>
        <i/>
        <color rgb="FF7F7F7F"/>
        <sz val="8.0"/>
      </rPr>
      <t>]</t>
    </r>
  </si>
  <si>
    <r>
      <rPr>
        <rFont val="Noto Sans CJK SC"/>
        <i/>
        <color rgb="FF7F7F7F"/>
        <sz val="8.0"/>
      </rPr>
      <t>연구실</t>
    </r>
    <r>
      <rPr>
        <rFont val="맑은 고딕"/>
        <i/>
        <color rgb="FF7F7F7F"/>
        <sz val="8.0"/>
      </rPr>
      <t>/</t>
    </r>
    <r>
      <rPr>
        <rFont val="Noto Sans CJK SC"/>
        <i/>
        <color rgb="FF7F7F7F"/>
        <sz val="8.0"/>
      </rPr>
      <t>학회명</t>
    </r>
  </si>
  <si>
    <r>
      <rPr>
        <rFont val="맑은 고딕"/>
        <i/>
        <color rgb="FF7F7F7F"/>
        <sz val="8.0"/>
      </rPr>
      <t xml:space="preserve">YYYY-MM / </t>
    </r>
    <r>
      <rPr>
        <rFont val="Noto Sans CJK SC"/>
        <i/>
        <color rgb="FF7F7F7F"/>
        <sz val="8.0"/>
      </rPr>
      <t>진행중</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</si>
  <si>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xml:space="preserve">· </t>
    </r>
    <r>
      <rPr>
        <rFont val="Noto Sans CJK SC"/>
        <i/>
        <color rgb="FF7F7F7F"/>
        <sz val="8.0"/>
      </rPr>
      <t xml:space="preserve">비교과 </t>
    </r>
    <r>
      <rPr>
        <rFont val="맑은 고딕"/>
        <i/>
        <color rgb="FF7F7F7F"/>
        <sz val="8.0"/>
      </rPr>
      <t>· 3</t>
    </r>
    <r>
      <rPr>
        <rFont val="Noto Sans CJK SC"/>
        <i/>
        <color rgb="FF7F7F7F"/>
        <sz val="8.0"/>
      </rPr>
      <t>품</t>
    </r>
    <r>
      <rPr>
        <rFont val="맑은 고딕"/>
        <i/>
        <color rgb="FF7F7F7F"/>
        <sz val="8.0"/>
      </rPr>
      <t xml:space="preserve">(AI)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자원</t>
    </r>
    <r>
      <rPr>
        <rFont val="맑은 고딕"/>
        <i/>
        <color rgb="FF7F7F7F"/>
        <sz val="8.0"/>
      </rPr>
      <t>·</t>
    </r>
    <r>
      <rPr>
        <rFont val="Noto Sans CJK SC"/>
        <i/>
        <color rgb="FF7F7F7F"/>
        <sz val="8.0"/>
      </rPr>
      <t xml:space="preserve">정보기술활용 </t>
    </r>
    <r>
      <rPr>
        <rFont val="맑은 고딕"/>
        <i/>
        <color rgb="FF7F7F7F"/>
        <sz val="8.0"/>
      </rPr>
      <t xml:space="preserve">/ </t>
    </r>
    <r>
      <rPr>
        <rFont val="Noto Sans CJK SC"/>
        <i/>
        <color rgb="FF7F7F7F"/>
        <sz val="8.0"/>
      </rPr>
      <t xml:space="preserve">디지털리터러시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이수 </t>
    </r>
    <r>
      <rPr>
        <rFont val="맑은 고딕"/>
        <i/>
        <color rgb="FF7F7F7F"/>
        <sz val="8.0"/>
      </rPr>
      <t>'</t>
    </r>
    <r>
      <rPr>
        <rFont val="Noto Sans CJK SC"/>
        <i/>
        <color rgb="FF7F7F7F"/>
        <sz val="8.0"/>
      </rPr>
      <t>시간</t>
    </r>
    <r>
      <rPr>
        <rFont val="맑은 고딕"/>
        <i/>
        <color rgb="FF7F7F7F"/>
        <sz val="8.0"/>
      </rPr>
      <t>'</t>
    </r>
    <r>
      <rPr>
        <rFont val="Noto Sans CJK SC"/>
        <i/>
        <color rgb="FF7F7F7F"/>
        <sz val="8.0"/>
      </rPr>
      <t>까지 받으면 정량화 쉬워짐</t>
    </r>
  </si>
  <si>
    <r>
      <rPr>
        <rFont val="Noto Sans CJK SC"/>
        <b/>
        <color rgb="FF000000"/>
        <sz val="9.0"/>
      </rPr>
      <t>이수 시간</t>
    </r>
    <r>
      <rPr>
        <rFont val="맑은 고딕"/>
        <b/>
        <color rgb="FF000000"/>
        <sz val="9.0"/>
      </rPr>
      <t>(h)</t>
    </r>
  </si>
  <si>
    <r>
      <rPr>
        <rFont val="맑은 고딕"/>
        <i/>
        <color rgb="FF7F7F7F"/>
        <sz val="8.0"/>
      </rPr>
      <t>[</t>
    </r>
    <r>
      <rPr>
        <rFont val="Noto Sans CJK SC"/>
        <i/>
        <color rgb="FF7F7F7F"/>
        <sz val="8.0"/>
      </rPr>
      <t xml:space="preserve">교과 </t>
    </r>
    <r>
      <rPr>
        <rFont val="맑은 고딕"/>
        <i/>
        <color rgb="FF7F7F7F"/>
        <sz val="8.0"/>
      </rPr>
      <t xml:space="preserve">/ </t>
    </r>
    <r>
      <rPr>
        <rFont val="Noto Sans CJK SC"/>
        <i/>
        <color rgb="FF7F7F7F"/>
        <sz val="8.0"/>
      </rPr>
      <t xml:space="preserve">비교과 </t>
    </r>
    <r>
      <rPr>
        <rFont val="맑은 고딕"/>
        <i/>
        <color rgb="FF7F7F7F"/>
        <sz val="8.0"/>
      </rPr>
      <t>/ 3</t>
    </r>
    <r>
      <rPr>
        <rFont val="Noto Sans CJK SC"/>
        <i/>
        <color rgb="FF7F7F7F"/>
        <sz val="8.0"/>
      </rPr>
      <t>품</t>
    </r>
    <r>
      <rPr>
        <rFont val="맑은 고딕"/>
        <i/>
        <color rgb="FF7F7F7F"/>
        <sz val="8.0"/>
      </rPr>
      <t>(AI)]</t>
    </r>
  </si>
  <si>
    <r>
      <rPr>
        <rFont val="Noto Sans CJK SC"/>
        <b/>
        <color rgb="FF000000"/>
        <sz val="11.0"/>
      </rPr>
      <t>정보탐색 결과물</t>
    </r>
    <r>
      <rPr>
        <rFont val="맑은 고딕"/>
        <b/>
        <color rgb="FF000000"/>
        <sz val="11.0"/>
      </rPr>
      <t>(</t>
    </r>
    <r>
      <rPr>
        <rFont val="Noto Sans CJK SC"/>
        <b/>
        <color rgb="FF000000"/>
        <sz val="11.0"/>
      </rPr>
      <t>논문</t>
    </r>
    <r>
      <rPr>
        <rFont val="맑은 고딕"/>
        <b/>
        <color rgb="FF000000"/>
        <sz val="11.0"/>
      </rPr>
      <t>·</t>
    </r>
    <r>
      <rPr>
        <rFont val="Noto Sans CJK SC"/>
        <b/>
        <color rgb="FF000000"/>
        <sz val="11.0"/>
      </rPr>
      <t>보고서</t>
    </r>
    <r>
      <rPr>
        <rFont val="맑은 고딕"/>
        <b/>
        <color rgb="FF000000"/>
        <sz val="11.0"/>
      </rPr>
      <t>)</t>
    </r>
  </si>
  <si>
    <r>
      <rPr>
        <rFont val="맑은 고딕"/>
        <i/>
        <color rgb="FF7F7F7F"/>
        <sz val="8.0"/>
      </rPr>
      <t>[</t>
    </r>
    <r>
      <rPr>
        <rFont val="Noto Sans CJK SC"/>
        <i/>
        <color rgb="FF7F7F7F"/>
        <sz val="8.0"/>
      </rPr>
      <t xml:space="preserve">이수 </t>
    </r>
    <r>
      <rPr>
        <rFont val="맑은 고딕"/>
        <i/>
        <color rgb="FF7F7F7F"/>
        <sz val="8.0"/>
      </rPr>
      <t xml:space="preserve">/ </t>
    </r>
    <r>
      <rPr>
        <rFont val="Noto Sans CJK SC"/>
        <i/>
        <color rgb="FF7F7F7F"/>
        <sz val="8.0"/>
      </rPr>
      <t xml:space="preserve">수강중 </t>
    </r>
    <r>
      <rPr>
        <rFont val="맑은 고딕"/>
        <i/>
        <color rgb="FF7F7F7F"/>
        <sz val="8.0"/>
      </rPr>
      <t xml:space="preserve">/ </t>
    </r>
    <r>
      <rPr>
        <rFont val="Noto Sans CJK SC"/>
        <i/>
        <color rgb="FF7F7F7F"/>
        <sz val="8.0"/>
      </rPr>
      <t>미이수</t>
    </r>
    <r>
      <rPr>
        <rFont val="맑은 고딕"/>
        <i/>
        <color rgb="FF7F7F7F"/>
        <sz val="8.0"/>
      </rPr>
      <t>]</t>
    </r>
  </si>
  <si>
    <r>
      <rPr>
        <rFont val="맑은 고딕"/>
        <b/>
        <color rgb="FF000000"/>
        <sz val="11.0"/>
      </rPr>
      <t xml:space="preserve">AI </t>
    </r>
    <r>
      <rPr>
        <rFont val="Noto Sans CJK SC"/>
        <b/>
        <color rgb="FF000000"/>
        <sz val="11.0"/>
      </rPr>
      <t>프로젝트</t>
    </r>
    <r>
      <rPr>
        <rFont val="맑은 고딕"/>
        <b/>
        <color rgb="FF000000"/>
        <sz val="11.0"/>
      </rPr>
      <t>·</t>
    </r>
    <r>
      <rPr>
        <rFont val="Noto Sans CJK SC"/>
        <b/>
        <color rgb="FF000000"/>
        <sz val="11.0"/>
      </rPr>
      <t>대회</t>
    </r>
  </si>
  <si>
    <r>
      <rPr>
        <rFont val="Noto Sans CJK SC"/>
        <i/>
        <color rgb="FF7F7F7F"/>
        <sz val="8.0"/>
      </rPr>
      <t>출처</t>
    </r>
    <r>
      <rPr>
        <rFont val="맑은 고딕"/>
        <i/>
        <color rgb="FF7F7F7F"/>
        <sz val="8.0"/>
      </rPr>
      <t>: 1365 · 3</t>
    </r>
    <r>
      <rPr>
        <rFont val="Noto Sans CJK SC"/>
        <i/>
        <color rgb="FF7F7F7F"/>
        <sz val="8.0"/>
      </rPr>
      <t>품</t>
    </r>
    <r>
      <rPr>
        <rFont val="맑은 고딕"/>
        <i/>
        <color rgb="FF7F7F7F"/>
        <sz val="8.0"/>
      </rPr>
      <t>(</t>
    </r>
    <r>
      <rPr>
        <rFont val="Noto Sans CJK SC"/>
        <i/>
        <color rgb="FF7F7F7F"/>
        <sz val="8.0"/>
      </rPr>
      <t>인성</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대인관계 </t>
    </r>
    <r>
      <rPr>
        <rFont val="맑은 고딕"/>
        <i/>
        <color rgb="FF7F7F7F"/>
        <sz val="8.0"/>
      </rPr>
      <t xml:space="preserve">/ </t>
    </r>
    <r>
      <rPr>
        <rFont val="Noto Sans CJK SC"/>
        <i/>
        <color rgb="FF7F7F7F"/>
        <sz val="8.0"/>
      </rPr>
      <t xml:space="preserve">리더십 </t>
    </r>
    <r>
      <rPr>
        <rFont val="맑은 고딕"/>
        <i/>
        <color rgb="FF7F7F7F"/>
        <sz val="8.0"/>
      </rPr>
      <t xml:space="preserve">/ </t>
    </r>
    <r>
      <rPr>
        <rFont val="Noto Sans CJK SC"/>
        <i/>
        <color rgb="FF7F7F7F"/>
        <sz val="8.0"/>
      </rPr>
      <t xml:space="preserve">문화적수용능력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학년 보정</t>
    </r>
    <r>
      <rPr>
        <rFont val="맑은 고딕"/>
        <i/>
        <color rgb="FF7F7F7F"/>
        <sz val="8.0"/>
      </rPr>
      <t>(</t>
    </r>
    <r>
      <rPr>
        <rFont val="Noto Sans CJK SC"/>
        <i/>
        <color rgb="FF7F7F7F"/>
        <sz val="8.0"/>
      </rPr>
      <t>학기당 시간</t>
    </r>
    <r>
      <rPr>
        <rFont val="맑은 고딕"/>
        <i/>
        <color rgb="FF7F7F7F"/>
        <sz val="8.0"/>
      </rPr>
      <t xml:space="preserve">) </t>
    </r>
    <r>
      <rPr>
        <rFont val="Noto Sans CJK SC"/>
        <i/>
        <color rgb="FF7F7F7F"/>
        <sz val="8.0"/>
      </rPr>
      <t>필요</t>
    </r>
  </si>
  <si>
    <r>
      <rPr>
        <rFont val="Noto Sans CJK SC"/>
        <b/>
        <color rgb="FF000000"/>
        <sz val="10.0"/>
      </rPr>
      <t>총 봉사시간</t>
    </r>
    <r>
      <rPr>
        <rFont val="맑은 고딕"/>
        <b/>
        <color rgb="FF000000"/>
        <sz val="10.0"/>
      </rPr>
      <t>(h)</t>
    </r>
  </si>
  <si>
    <r>
      <rPr>
        <rFont val="맑은 고딕"/>
        <color rgb="FF7F7F7F"/>
        <sz val="9.0"/>
      </rPr>
      <t xml:space="preserve">1365 </t>
    </r>
    <r>
      <rPr>
        <rFont val="Noto Sans CJK SC"/>
        <color rgb="FF7F7F7F"/>
        <sz val="9.0"/>
      </rPr>
      <t>등 인증 시간 합계</t>
    </r>
  </si>
  <si>
    <r>
      <rPr>
        <rFont val="Noto Sans CJK SC"/>
        <b/>
        <color rgb="FF000000"/>
        <sz val="9.0"/>
      </rPr>
      <t>기관</t>
    </r>
    <r>
      <rPr>
        <rFont val="맑은 고딕"/>
        <b/>
        <color rgb="FF000000"/>
        <sz val="9.0"/>
      </rPr>
      <t>·</t>
    </r>
    <r>
      <rPr>
        <rFont val="Noto Sans CJK SC"/>
        <b/>
        <color rgb="FF000000"/>
        <sz val="9.0"/>
      </rPr>
      <t>내용</t>
    </r>
  </si>
  <si>
    <r>
      <rPr>
        <rFont val="Noto Sans CJK SC"/>
        <i/>
        <color rgb="FF7F7F7F"/>
        <sz val="8.0"/>
      </rPr>
      <t>출처</t>
    </r>
    <r>
      <rPr>
        <rFont val="맑은 고딕"/>
        <i/>
        <color rgb="FF7F7F7F"/>
        <sz val="8.0"/>
      </rPr>
      <t xml:space="preserve">: </t>
    </r>
    <r>
      <rPr>
        <rFont val="Noto Sans CJK SC"/>
        <i/>
        <color rgb="FF7F7F7F"/>
        <sz val="8.0"/>
      </rPr>
      <t>학사시스템</t>
    </r>
    <r>
      <rPr>
        <rFont val="맑은 고딕"/>
        <i/>
        <color rgb="FF7F7F7F"/>
        <sz val="8.0"/>
      </rPr>
      <t>(</t>
    </r>
    <r>
      <rPr>
        <rFont val="Noto Sans CJK SC"/>
        <i/>
        <color rgb="FF7F7F7F"/>
        <sz val="8.0"/>
      </rPr>
      <t>수강내역</t>
    </r>
    <r>
      <rPr>
        <rFont val="맑은 고딕"/>
        <i/>
        <color rgb="FF7F7F7F"/>
        <sz val="8.0"/>
      </rPr>
      <t xml:space="preserve">)   |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글로벌</t>
    </r>
    <r>
      <rPr>
        <rFont val="맑은 고딕"/>
        <i/>
        <color rgb="FF7F7F7F"/>
        <sz val="8.0"/>
      </rPr>
      <t>(</t>
    </r>
    <r>
      <rPr>
        <rFont val="Noto Sans CJK SC"/>
        <i/>
        <color rgb="FF7F7F7F"/>
        <sz val="8.0"/>
      </rPr>
      <t>외국어 능력</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마인드맵</t>
    </r>
    <r>
      <rPr>
        <rFont val="맑은 고딕"/>
        <i/>
        <color rgb="FF7F7F7F"/>
        <sz val="8.0"/>
      </rPr>
      <t>(</t>
    </r>
    <r>
      <rPr>
        <rFont val="Noto Sans CJK SC"/>
        <i/>
        <color rgb="FF7F7F7F"/>
        <sz val="8.0"/>
      </rPr>
      <t>기업 관심</t>
    </r>
    <r>
      <rPr>
        <rFont val="맑은 고딕"/>
        <i/>
        <color rgb="FF7F7F7F"/>
        <sz val="8.0"/>
      </rPr>
      <t>-</t>
    </r>
    <r>
      <rPr>
        <rFont val="Noto Sans CJK SC"/>
        <i/>
        <color rgb="FF7F7F7F"/>
        <sz val="8.0"/>
      </rPr>
      <t>글로벌</t>
    </r>
    <r>
      <rPr>
        <rFont val="맑은 고딕"/>
        <i/>
        <color rgb="FF7F7F7F"/>
        <sz val="8.0"/>
      </rPr>
      <t>)</t>
    </r>
    <r>
      <rPr>
        <rFont val="Noto Sans CJK SC"/>
        <i/>
        <color rgb="FF7F7F7F"/>
        <sz val="8.0"/>
      </rPr>
      <t>에 있으나 기존 데이터셋에 없음</t>
    </r>
  </si>
  <si>
    <r>
      <rPr>
        <rFont val="Noto Sans CJK SC"/>
        <b/>
        <color rgb="FF000000"/>
        <sz val="9.0"/>
      </rPr>
      <t>시간</t>
    </r>
    <r>
      <rPr>
        <rFont val="맑은 고딕"/>
        <b/>
        <color rgb="FF000000"/>
        <sz val="9.0"/>
      </rPr>
      <t>(h)</t>
    </r>
  </si>
  <si>
    <r>
      <rPr>
        <rFont val="Noto Sans CJK SC"/>
        <i/>
        <color rgb="FF7F7F7F"/>
        <sz val="8.0"/>
      </rPr>
      <t>출처</t>
    </r>
    <r>
      <rPr>
        <rFont val="맑은 고딕"/>
        <i/>
        <color rgb="FF7F7F7F"/>
        <sz val="8.0"/>
      </rPr>
      <t xml:space="preserve">: </t>
    </r>
    <r>
      <rPr>
        <rFont val="Noto Sans CJK SC"/>
        <i/>
        <color rgb="FF7F7F7F"/>
        <sz val="8.0"/>
      </rPr>
      <t>학생 등록</t>
    </r>
    <r>
      <rPr>
        <rFont val="맑은 고딕"/>
        <i/>
        <color rgb="FF7F7F7F"/>
        <sz val="8.0"/>
      </rPr>
      <t>(</t>
    </r>
    <r>
      <rPr>
        <rFont val="Noto Sans CJK SC"/>
        <i/>
        <color rgb="FF7F7F7F"/>
        <sz val="8.0"/>
      </rPr>
      <t>포트폴리오</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자원</t>
    </r>
    <r>
      <rPr>
        <rFont val="맑은 고딕"/>
        <i/>
        <color rgb="FF7F7F7F"/>
        <sz val="8.0"/>
      </rPr>
      <t>·</t>
    </r>
    <r>
      <rPr>
        <rFont val="Noto Sans CJK SC"/>
        <i/>
        <color rgb="FF7F7F7F"/>
        <sz val="8.0"/>
      </rPr>
      <t>정보기술활용</t>
    </r>
    <r>
      <rPr>
        <rFont val="맑은 고딕"/>
        <i/>
        <color rgb="FF7F7F7F"/>
        <sz val="8.0"/>
      </rPr>
      <t>(</t>
    </r>
    <r>
      <rPr>
        <rFont val="Noto Sans CJK SC"/>
        <i/>
        <color rgb="FF7F7F7F"/>
        <sz val="8.0"/>
      </rPr>
      <t>정보탐색</t>
    </r>
    <r>
      <rPr>
        <rFont val="맑은 고딕"/>
        <i/>
        <color rgb="FF7F7F7F"/>
        <sz val="8.0"/>
      </rPr>
      <t xml:space="preserve">) / </t>
    </r>
    <r>
      <rPr>
        <rFont val="Noto Sans CJK SC"/>
        <i/>
        <color rgb="FF7F7F7F"/>
        <sz val="8.0"/>
      </rPr>
      <t xml:space="preserve">논리적사고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게재 수준</t>
    </r>
    <r>
      <rPr>
        <rFont val="맑은 고딕"/>
        <i/>
        <color rgb="FF7F7F7F"/>
        <sz val="8.0"/>
      </rPr>
      <t>(</t>
    </r>
    <r>
      <rPr>
        <rFont val="Noto Sans CJK SC"/>
        <i/>
        <color rgb="FF7F7F7F"/>
        <sz val="8.0"/>
      </rPr>
      <t>학술지</t>
    </r>
    <r>
      <rPr>
        <rFont val="맑은 고딕"/>
        <i/>
        <color rgb="FF7F7F7F"/>
        <sz val="8.0"/>
      </rPr>
      <t>·</t>
    </r>
    <r>
      <rPr>
        <rFont val="Noto Sans CJK SC"/>
        <i/>
        <color rgb="FF7F7F7F"/>
        <sz val="8.0"/>
      </rPr>
      <t>학회</t>
    </r>
    <r>
      <rPr>
        <rFont val="맑은 고딕"/>
        <i/>
        <color rgb="FF7F7F7F"/>
        <sz val="8.0"/>
      </rPr>
      <t>·</t>
    </r>
    <r>
      <rPr>
        <rFont val="Noto Sans CJK SC"/>
        <i/>
        <color rgb="FF7F7F7F"/>
        <sz val="8.0"/>
      </rPr>
      <t>교내</t>
    </r>
    <r>
      <rPr>
        <rFont val="맑은 고딕"/>
        <i/>
        <color rgb="FF7F7F7F"/>
        <sz val="8.0"/>
      </rPr>
      <t xml:space="preserve">) </t>
    </r>
    <r>
      <rPr>
        <rFont val="Noto Sans CJK SC"/>
        <i/>
        <color rgb="FF7F7F7F"/>
        <sz val="8.0"/>
      </rPr>
      <t>구분 기준 필요</t>
    </r>
  </si>
  <si>
    <r>
      <rPr>
        <rFont val="맑은 고딕"/>
        <i/>
        <color rgb="FF7F7F7F"/>
        <sz val="8.0"/>
      </rPr>
      <t>[</t>
    </r>
    <r>
      <rPr>
        <rFont val="Noto Sans CJK SC"/>
        <i/>
        <color rgb="FF7F7F7F"/>
        <sz val="8.0"/>
      </rPr>
      <t xml:space="preserve">교내 </t>
    </r>
    <r>
      <rPr>
        <rFont val="맑은 고딕"/>
        <i/>
        <color rgb="FF7F7F7F"/>
        <sz val="8.0"/>
      </rPr>
      <t xml:space="preserve">/ </t>
    </r>
    <r>
      <rPr>
        <rFont val="Noto Sans CJK SC"/>
        <i/>
        <color rgb="FF7F7F7F"/>
        <sz val="8.0"/>
      </rPr>
      <t>교외</t>
    </r>
    <r>
      <rPr>
        <rFont val="맑은 고딕"/>
        <i/>
        <color rgb="FF7F7F7F"/>
        <sz val="8.0"/>
      </rPr>
      <t>(</t>
    </r>
    <r>
      <rPr>
        <rFont val="Noto Sans CJK SC"/>
        <i/>
        <color rgb="FF7F7F7F"/>
        <sz val="8.0"/>
      </rPr>
      <t>국내</t>
    </r>
    <r>
      <rPr>
        <rFont val="맑은 고딕"/>
        <i/>
        <color rgb="FF7F7F7F"/>
        <sz val="8.0"/>
      </rPr>
      <t xml:space="preserve">) / </t>
    </r>
    <r>
      <rPr>
        <rFont val="Noto Sans CJK SC"/>
        <i/>
        <color rgb="FF7F7F7F"/>
        <sz val="8.0"/>
      </rPr>
      <t xml:space="preserve">국외 </t>
    </r>
    <r>
      <rPr>
        <rFont val="맑은 고딕"/>
        <i/>
        <color rgb="FF7F7F7F"/>
        <sz val="8.0"/>
      </rPr>
      <t xml:space="preserve">/ </t>
    </r>
    <r>
      <rPr>
        <rFont val="Noto Sans CJK SC"/>
        <i/>
        <color rgb="FF7F7F7F"/>
        <sz val="8.0"/>
      </rPr>
      <t>유학생 봉사</t>
    </r>
    <r>
      <rPr>
        <rFont val="맑은 고딕"/>
        <i/>
        <color rgb="FF7F7F7F"/>
        <sz val="8.0"/>
      </rPr>
      <t>]</t>
    </r>
  </si>
  <si>
    <r>
      <rPr>
        <rFont val="Noto Sans CJK SC"/>
        <color rgb="FF7F7F7F"/>
        <sz val="9.0"/>
      </rPr>
      <t xml:space="preserve">없으면 </t>
    </r>
    <r>
      <rPr>
        <rFont val="맑은 고딕"/>
        <color rgb="FF7F7F7F"/>
        <sz val="9.0"/>
      </rPr>
      <t>0</t>
    </r>
  </si>
  <si>
    <r>
      <rPr>
        <rFont val="Noto Sans CJK SC"/>
        <color rgb="FF1F3B8A"/>
        <sz val="10.0"/>
      </rPr>
      <t>교외</t>
    </r>
    <r>
      <rPr>
        <rFont val="맑은 고딕"/>
        <color rgb="FF1F3B8A"/>
        <sz val="10.0"/>
      </rPr>
      <t>(</t>
    </r>
    <r>
      <rPr>
        <rFont val="Noto Sans CJK SC"/>
        <color rgb="FF1F3B8A"/>
        <sz val="10.0"/>
      </rPr>
      <t>국내</t>
    </r>
    <r>
      <rPr>
        <rFont val="맑은 고딕"/>
        <color rgb="FF1F3B8A"/>
        <sz val="10.0"/>
      </rPr>
      <t>)</t>
    </r>
  </si>
  <si>
    <t>유기견 보호소 봉사</t>
  </si>
  <si>
    <r>
      <rPr>
        <rFont val="Noto Sans CJK SC"/>
        <b/>
        <color rgb="FF000000"/>
        <sz val="9.0"/>
      </rPr>
      <t>발표</t>
    </r>
    <r>
      <rPr>
        <rFont val="맑은 고딕"/>
        <b/>
        <color rgb="FF000000"/>
        <sz val="9.0"/>
      </rPr>
      <t>·</t>
    </r>
    <r>
      <rPr>
        <rFont val="Noto Sans CJK SC"/>
        <b/>
        <color rgb="FF000000"/>
        <sz val="9.0"/>
      </rPr>
      <t>게재 연월</t>
    </r>
  </si>
  <si>
    <r>
      <rPr>
        <rFont val="맑은 고딕"/>
        <i/>
        <color rgb="FF7F7F7F"/>
        <sz val="8.0"/>
      </rPr>
      <t>[</t>
    </r>
    <r>
      <rPr>
        <rFont val="Noto Sans CJK SC"/>
        <i/>
        <color rgb="FF7F7F7F"/>
        <sz val="8.0"/>
      </rPr>
      <t xml:space="preserve">논문 </t>
    </r>
    <r>
      <rPr>
        <rFont val="맑은 고딕"/>
        <i/>
        <color rgb="FF7F7F7F"/>
        <sz val="8.0"/>
      </rPr>
      <t xml:space="preserve">/ </t>
    </r>
    <r>
      <rPr>
        <rFont val="Noto Sans CJK SC"/>
        <i/>
        <color rgb="FF7F7F7F"/>
        <sz val="8.0"/>
      </rPr>
      <t xml:space="preserve">보고서 </t>
    </r>
    <r>
      <rPr>
        <rFont val="맑은 고딕"/>
        <i/>
        <color rgb="FF7F7F7F"/>
        <sz val="8.0"/>
      </rPr>
      <t xml:space="preserve">/ </t>
    </r>
    <r>
      <rPr>
        <rFont val="Noto Sans CJK SC"/>
        <i/>
        <color rgb="FF7F7F7F"/>
        <sz val="8.0"/>
      </rPr>
      <t>학술발표자료</t>
    </r>
    <r>
      <rPr>
        <rFont val="맑은 고딕"/>
        <i/>
        <color rgb="FF7F7F7F"/>
        <sz val="8.0"/>
      </rPr>
      <t>]</t>
    </r>
  </si>
  <si>
    <r>
      <rPr>
        <rFont val="Noto Sans CJK SC"/>
        <color rgb="FF7F7F7F"/>
        <sz val="9.0"/>
      </rPr>
      <t>예</t>
    </r>
    <r>
      <rPr>
        <rFont val="맑은 고딕"/>
        <color rgb="FF7F7F7F"/>
        <sz val="9.0"/>
      </rPr>
      <t xml:space="preserve">: </t>
    </r>
    <r>
      <rPr>
        <rFont val="Noto Sans CJK SC"/>
        <color rgb="FF7F7F7F"/>
        <sz val="9.0"/>
      </rPr>
      <t>영어</t>
    </r>
  </si>
  <si>
    <r>
      <rPr>
        <rFont val="맑은 고딕"/>
        <i/>
        <color rgb="FF7F7F7F"/>
        <sz val="8.0"/>
      </rPr>
      <t>[</t>
    </r>
    <r>
      <rPr>
        <rFont val="Noto Sans CJK SC"/>
        <i/>
        <color rgb="FF7F7F7F"/>
        <sz val="8.0"/>
      </rPr>
      <t xml:space="preserve">국제학술지 </t>
    </r>
    <r>
      <rPr>
        <rFont val="맑은 고딕"/>
        <i/>
        <color rgb="FF7F7F7F"/>
        <sz val="8.0"/>
      </rPr>
      <t xml:space="preserve">/ </t>
    </r>
    <r>
      <rPr>
        <rFont val="Noto Sans CJK SC"/>
        <i/>
        <color rgb="FF7F7F7F"/>
        <sz val="8.0"/>
      </rPr>
      <t xml:space="preserve">국내학술지 </t>
    </r>
    <r>
      <rPr>
        <rFont val="맑은 고딕"/>
        <i/>
        <color rgb="FF7F7F7F"/>
        <sz val="8.0"/>
      </rPr>
      <t xml:space="preserve">/ </t>
    </r>
    <r>
      <rPr>
        <rFont val="Noto Sans CJK SC"/>
        <i/>
        <color rgb="FF7F7F7F"/>
        <sz val="8.0"/>
      </rPr>
      <t xml:space="preserve">국제학술대회 </t>
    </r>
    <r>
      <rPr>
        <rFont val="맑은 고딕"/>
        <i/>
        <color rgb="FF7F7F7F"/>
        <sz val="8.0"/>
      </rPr>
      <t xml:space="preserve">/ </t>
    </r>
    <r>
      <rPr>
        <rFont val="Noto Sans CJK SC"/>
        <i/>
        <color rgb="FF7F7F7F"/>
        <sz val="8.0"/>
      </rPr>
      <t xml:space="preserve">국내학술대회 </t>
    </r>
    <r>
      <rPr>
        <rFont val="맑은 고딕"/>
        <i/>
        <color rgb="FF7F7F7F"/>
        <sz val="8.0"/>
      </rPr>
      <t xml:space="preserve">/ </t>
    </r>
    <r>
      <rPr>
        <rFont val="Noto Sans CJK SC"/>
        <i/>
        <color rgb="FF7F7F7F"/>
        <sz val="8.0"/>
      </rPr>
      <t>교내</t>
    </r>
    <r>
      <rPr>
        <rFont val="맑은 고딕"/>
        <i/>
        <color rgb="FF7F7F7F"/>
        <sz val="8.0"/>
      </rPr>
      <t>]</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</si>
  <si>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3</t>
    </r>
    <r>
      <rPr>
        <rFont val="Noto Sans CJK SC"/>
        <i/>
        <color rgb="FF7F7F7F"/>
        <sz val="8.0"/>
      </rPr>
      <t>품</t>
    </r>
    <r>
      <rPr>
        <rFont val="맑은 고딕"/>
        <i/>
        <color rgb="FF7F7F7F"/>
        <sz val="8.0"/>
      </rPr>
      <t xml:space="preserve">(AI)   |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디지털리터러시</t>
    </r>
    <r>
      <rPr>
        <rFont val="맑은 고딕"/>
        <i/>
        <color rgb="FF7F7F7F"/>
        <sz val="8.0"/>
      </rPr>
      <t xml:space="preserve">(AI </t>
    </r>
    <r>
      <rPr>
        <rFont val="Noto Sans CJK SC"/>
        <i/>
        <color rgb="FF7F7F7F"/>
        <sz val="8.0"/>
      </rPr>
      <t>활용</t>
    </r>
    <r>
      <rPr>
        <rFont val="맑은 고딕"/>
        <i/>
        <color rgb="FF7F7F7F"/>
        <sz val="8.0"/>
      </rPr>
      <t xml:space="preserve">) / </t>
    </r>
    <r>
      <rPr>
        <rFont val="Noto Sans CJK SC"/>
        <i/>
        <color rgb="FF7F7F7F"/>
        <sz val="8.0"/>
      </rPr>
      <t xml:space="preserve">문제해결력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공모전 항목과 중복 가산되지 않게 분리</t>
    </r>
  </si>
  <si>
    <r>
      <rPr>
        <rFont val="Noto Sans CJK SC"/>
        <b/>
        <color rgb="FF000000"/>
        <sz val="11.0"/>
      </rPr>
      <t>멘토링</t>
    </r>
    <r>
      <rPr>
        <rFont val="맑은 고딕"/>
        <b/>
        <color rgb="FF000000"/>
        <sz val="11.0"/>
      </rPr>
      <t>·</t>
    </r>
    <r>
      <rPr>
        <rFont val="Noto Sans CJK SC"/>
        <b/>
        <color rgb="FF000000"/>
        <sz val="11.0"/>
      </rPr>
      <t>학습공동체</t>
    </r>
  </si>
  <si>
    <r>
      <rPr>
        <rFont val="맑은 고딕"/>
        <i/>
        <color rgb="FF7F7F7F"/>
        <sz val="8.0"/>
      </rPr>
      <t>[</t>
    </r>
    <r>
      <rPr>
        <rFont val="Noto Sans CJK SC"/>
        <i/>
        <color rgb="FF7F7F7F"/>
        <sz val="8.0"/>
      </rPr>
      <t xml:space="preserve">게재 </t>
    </r>
    <r>
      <rPr>
        <rFont val="맑은 고딕"/>
        <i/>
        <color rgb="FF7F7F7F"/>
        <sz val="8.0"/>
      </rPr>
      <t xml:space="preserve">/ </t>
    </r>
    <r>
      <rPr>
        <rFont val="Noto Sans CJK SC"/>
        <i/>
        <color rgb="FF7F7F7F"/>
        <sz val="8.0"/>
      </rPr>
      <t xml:space="preserve">게재승인 </t>
    </r>
    <r>
      <rPr>
        <rFont val="맑은 고딕"/>
        <i/>
        <color rgb="FF7F7F7F"/>
        <sz val="8.0"/>
      </rPr>
      <t xml:space="preserve">/ </t>
    </r>
    <r>
      <rPr>
        <rFont val="Noto Sans CJK SC"/>
        <i/>
        <color rgb="FF7F7F7F"/>
        <sz val="8.0"/>
      </rPr>
      <t xml:space="preserve">투고 </t>
    </r>
    <r>
      <rPr>
        <rFont val="맑은 고딕"/>
        <i/>
        <color rgb="FF7F7F7F"/>
        <sz val="8.0"/>
      </rPr>
      <t xml:space="preserve">/ </t>
    </r>
    <r>
      <rPr>
        <rFont val="Noto Sans CJK SC"/>
        <i/>
        <color rgb="FF7F7F7F"/>
        <sz val="8.0"/>
      </rPr>
      <t>작성중</t>
    </r>
    <r>
      <rPr>
        <rFont val="맑은 고딕"/>
        <i/>
        <color rgb="FF7F7F7F"/>
        <sz val="8.0"/>
      </rPr>
      <t>]</t>
    </r>
  </si>
  <si>
    <r>
      <rPr>
        <rFont val="Noto Sans CJK SC"/>
        <b/>
        <color rgb="FFFFFFFF"/>
        <sz val="11.0"/>
      </rPr>
      <t>■ 디지털</t>
    </r>
    <r>
      <rPr>
        <rFont val="맑은 고딕"/>
        <b/>
        <color rgb="FFFFFFFF"/>
        <sz val="11.0"/>
      </rPr>
      <t>·AI</t>
    </r>
  </si>
  <si>
    <r>
      <rPr>
        <rFont val="맑은 고딕"/>
        <i/>
        <color rgb="FF7F7F7F"/>
        <sz val="8.0"/>
      </rPr>
      <t>[</t>
    </r>
    <r>
      <rPr>
        <rFont val="Noto Sans CJK SC"/>
        <i/>
        <color rgb="FF7F7F7F"/>
        <sz val="8.0"/>
      </rPr>
      <t xml:space="preserve">단독 </t>
    </r>
    <r>
      <rPr>
        <rFont val="맑은 고딕"/>
        <i/>
        <color rgb="FF7F7F7F"/>
        <sz val="8.0"/>
      </rPr>
      <t xml:space="preserve">/ </t>
    </r>
    <r>
      <rPr>
        <rFont val="Noto Sans CJK SC"/>
        <i/>
        <color rgb="FF7F7F7F"/>
        <sz val="8.0"/>
      </rPr>
      <t>제</t>
    </r>
    <r>
      <rPr>
        <rFont val="맑은 고딕"/>
        <i/>
        <color rgb="FF7F7F7F"/>
        <sz val="8.0"/>
      </rPr>
      <t>1</t>
    </r>
    <r>
      <rPr>
        <rFont val="Noto Sans CJK SC"/>
        <i/>
        <color rgb="FF7F7F7F"/>
        <sz val="8.0"/>
      </rPr>
      <t xml:space="preserve">저자 </t>
    </r>
    <r>
      <rPr>
        <rFont val="맑은 고딕"/>
        <i/>
        <color rgb="FF7F7F7F"/>
        <sz val="8.0"/>
      </rPr>
      <t xml:space="preserve">/ </t>
    </r>
    <r>
      <rPr>
        <rFont val="Noto Sans CJK SC"/>
        <i/>
        <color rgb="FF7F7F7F"/>
        <sz val="8.0"/>
      </rPr>
      <t>공동저자</t>
    </r>
    <r>
      <rPr>
        <rFont val="맑은 고딕"/>
        <i/>
        <color rgb="FF7F7F7F"/>
        <sz val="8.0"/>
      </rPr>
      <t>]</t>
    </r>
  </si>
  <si>
    <r>
      <rPr>
        <rFont val="Noto Sans CJK SC"/>
        <b/>
        <color rgb="FF000000"/>
        <sz val="9.0"/>
      </rPr>
      <t>결과</t>
    </r>
    <r>
      <rPr>
        <rFont val="맑은 고딕"/>
        <b/>
        <color rgb="FF000000"/>
        <sz val="9.0"/>
      </rPr>
      <t>·</t>
    </r>
    <r>
      <rPr>
        <rFont val="Noto Sans CJK SC"/>
        <b/>
        <color rgb="FF000000"/>
        <sz val="9.0"/>
      </rPr>
      <t>산출물</t>
    </r>
  </si>
  <si>
    <r>
      <rPr>
        <rFont val="맑은 고딕"/>
        <b/>
        <color rgb="FF000000"/>
        <sz val="11.0"/>
      </rPr>
      <t>AI</t>
    </r>
    <r>
      <rPr>
        <rFont val="Noto Sans CJK SC"/>
        <b/>
        <color rgb="FF000000"/>
        <sz val="11.0"/>
      </rPr>
      <t>교육 이수내역</t>
    </r>
  </si>
  <si>
    <r>
      <rPr>
        <rFont val="맑은 고딕"/>
        <i/>
        <color rgb="FF7F7F7F"/>
        <sz val="8.0"/>
      </rPr>
      <t>[AI</t>
    </r>
    <r>
      <rPr>
        <rFont val="Noto Sans CJK SC"/>
        <i/>
        <color rgb="FF7F7F7F"/>
        <sz val="8.0"/>
      </rPr>
      <t xml:space="preserve">캡스톤 </t>
    </r>
    <r>
      <rPr>
        <rFont val="맑은 고딕"/>
        <i/>
        <color rgb="FF7F7F7F"/>
        <sz val="8.0"/>
      </rPr>
      <t>/ AI</t>
    </r>
    <r>
      <rPr>
        <rFont val="Noto Sans CJK SC"/>
        <i/>
        <color rgb="FF7F7F7F"/>
        <sz val="8.0"/>
      </rPr>
      <t xml:space="preserve">대회 </t>
    </r>
    <r>
      <rPr>
        <rFont val="맑은 고딕"/>
        <i/>
        <color rgb="FF7F7F7F"/>
        <sz val="8.0"/>
      </rPr>
      <t>/ AI</t>
    </r>
    <r>
      <rPr>
        <rFont val="Noto Sans CJK SC"/>
        <i/>
        <color rgb="FF7F7F7F"/>
        <sz val="8.0"/>
      </rPr>
      <t xml:space="preserve">공모전 </t>
    </r>
    <r>
      <rPr>
        <rFont val="맑은 고딕"/>
        <i/>
        <color rgb="FF7F7F7F"/>
        <sz val="8.0"/>
      </rPr>
      <t>/ AI</t>
    </r>
    <r>
      <rPr>
        <rFont val="Noto Sans CJK SC"/>
        <i/>
        <color rgb="FF7F7F7F"/>
        <sz val="8.0"/>
      </rPr>
      <t>프로젝트</t>
    </r>
    <r>
      <rPr>
        <rFont val="맑은 고딕"/>
        <i/>
        <color rgb="FF7F7F7F"/>
        <sz val="8.0"/>
      </rPr>
      <t>]</t>
    </r>
  </si>
  <si>
    <r>
      <rPr>
        <rFont val="맑은 고딕"/>
        <i/>
        <color rgb="FF7F7F7F"/>
        <sz val="8.0"/>
      </rPr>
      <t>[</t>
    </r>
    <r>
      <rPr>
        <rFont val="Noto Sans CJK SC"/>
        <i/>
        <color rgb="FF7F7F7F"/>
        <sz val="8.0"/>
      </rPr>
      <t xml:space="preserve">교내 </t>
    </r>
    <r>
      <rPr>
        <rFont val="맑은 고딕"/>
        <i/>
        <color rgb="FF7F7F7F"/>
        <sz val="8.0"/>
      </rPr>
      <t xml:space="preserve">/ </t>
    </r>
    <r>
      <rPr>
        <rFont val="Noto Sans CJK SC"/>
        <i/>
        <color rgb="FF7F7F7F"/>
        <sz val="8.0"/>
      </rPr>
      <t xml:space="preserve">지역 </t>
    </r>
    <r>
      <rPr>
        <rFont val="맑은 고딕"/>
        <i/>
        <color rgb="FF7F7F7F"/>
        <sz val="8.0"/>
      </rPr>
      <t xml:space="preserve">/ </t>
    </r>
    <r>
      <rPr>
        <rFont val="Noto Sans CJK SC"/>
        <i/>
        <color rgb="FF7F7F7F"/>
        <sz val="8.0"/>
      </rPr>
      <t xml:space="preserve">전국 </t>
    </r>
    <r>
      <rPr>
        <rFont val="맑은 고딕"/>
        <i/>
        <color rgb="FF7F7F7F"/>
        <sz val="8.0"/>
      </rPr>
      <t xml:space="preserve">/ </t>
    </r>
    <r>
      <rPr>
        <rFont val="Noto Sans CJK SC"/>
        <i/>
        <color rgb="FF7F7F7F"/>
        <sz val="8.0"/>
      </rPr>
      <t>국제</t>
    </r>
    <r>
      <rPr>
        <rFont val="맑은 고딕"/>
        <i/>
        <color rgb="FF7F7F7F"/>
        <sz val="8.0"/>
      </rPr>
      <t>]</t>
    </r>
  </si>
  <si>
    <r>
      <rPr>
        <rFont val="맑은 고딕"/>
        <b/>
        <color rgb="FF000000"/>
        <sz val="11.0"/>
      </rPr>
      <t xml:space="preserve">TA </t>
    </r>
    <r>
      <rPr>
        <rFont val="Noto Sans CJK SC"/>
        <b/>
        <color rgb="FF000000"/>
        <sz val="11.0"/>
      </rPr>
      <t>활동</t>
    </r>
  </si>
  <si>
    <r>
      <rPr>
        <rFont val="Noto Sans CJK SC"/>
        <i/>
        <color rgb="FF7F7F7F"/>
        <sz val="8.0"/>
      </rPr>
      <t>출처</t>
    </r>
    <r>
      <rPr>
        <rFont val="맑은 고딕"/>
        <i/>
        <color rgb="FF7F7F7F"/>
        <sz val="8.0"/>
      </rPr>
      <t xml:space="preserve">: </t>
    </r>
    <r>
      <rPr>
        <rFont val="Noto Sans CJK SC"/>
        <i/>
        <color rgb="FF7F7F7F"/>
        <sz val="8.0"/>
      </rPr>
      <t xml:space="preserve">교수학습센터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소통능력 </t>
    </r>
    <r>
      <rPr>
        <rFont val="맑은 고딕"/>
        <i/>
        <color rgb="FF7F7F7F"/>
        <sz val="8.0"/>
      </rPr>
      <t xml:space="preserve">/ </t>
    </r>
    <r>
      <rPr>
        <rFont val="Noto Sans CJK SC"/>
        <i/>
        <color rgb="FF7F7F7F"/>
        <sz val="8.0"/>
      </rPr>
      <t xml:space="preserve">대인관계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교수 관심 </t>
    </r>
    <r>
      <rPr>
        <rFont val="맑은 고딕"/>
        <i/>
        <color rgb="FF7F7F7F"/>
        <sz val="8.0"/>
      </rPr>
      <t>'</t>
    </r>
    <r>
      <rPr>
        <rFont val="Noto Sans CJK SC"/>
        <i/>
        <color rgb="FF7F7F7F"/>
        <sz val="8.0"/>
      </rPr>
      <t>소통능력</t>
    </r>
    <r>
      <rPr>
        <rFont val="맑은 고딕"/>
        <i/>
        <color rgb="FF7F7F7F"/>
        <sz val="8.0"/>
      </rPr>
      <t>'</t>
    </r>
    <r>
      <rPr>
        <rFont val="Noto Sans CJK SC"/>
        <i/>
        <color rgb="FF7F7F7F"/>
        <sz val="8.0"/>
      </rPr>
      <t xml:space="preserve">의 </t>
    </r>
    <r>
      <rPr>
        <rFont val="맑은 고딕"/>
        <i/>
        <color rgb="FF7F7F7F"/>
        <sz val="8.0"/>
      </rPr>
      <t>'</t>
    </r>
    <r>
      <rPr>
        <rFont val="Noto Sans CJK SC"/>
        <i/>
        <color rgb="FF7F7F7F"/>
        <sz val="8.0"/>
      </rPr>
      <t>스터디 참여</t>
    </r>
    <r>
      <rPr>
        <rFont val="맑은 고딕"/>
        <i/>
        <color rgb="FF7F7F7F"/>
        <sz val="8.0"/>
      </rPr>
      <t xml:space="preserve">' </t>
    </r>
    <r>
      <rPr>
        <rFont val="Noto Sans CJK SC"/>
        <i/>
        <color rgb="FF7F7F7F"/>
        <sz val="8.0"/>
      </rPr>
      <t>근거 확보</t>
    </r>
  </si>
  <si>
    <r>
      <rPr>
        <rFont val="Noto Sans CJK SC"/>
        <b/>
        <color rgb="FF000000"/>
        <sz val="9.0"/>
      </rPr>
      <t>역할</t>
    </r>
    <r>
      <rPr>
        <rFont val="맑은 고딕"/>
        <b/>
        <color rgb="FF000000"/>
        <sz val="9.0"/>
      </rPr>
      <t>·</t>
    </r>
    <r>
      <rPr>
        <rFont val="Noto Sans CJK SC"/>
        <b/>
        <color rgb="FF000000"/>
        <sz val="9.0"/>
      </rPr>
      <t>내용</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</si>
  <si>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</si>
  <si>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맑은 고딕"/>
        <i/>
        <color rgb="FF7F7F7F"/>
        <sz val="8.0"/>
      </rPr>
      <t>[</t>
    </r>
    <r>
      <rPr>
        <rFont val="Noto Sans CJK SC"/>
        <i/>
        <color rgb="FF7F7F7F"/>
        <sz val="8.0"/>
      </rPr>
      <t xml:space="preserve">튜터 </t>
    </r>
    <r>
      <rPr>
        <rFont val="맑은 고딕"/>
        <i/>
        <color rgb="FF7F7F7F"/>
        <sz val="8.0"/>
      </rPr>
      <t xml:space="preserve">/ </t>
    </r>
    <r>
      <rPr>
        <rFont val="Noto Sans CJK SC"/>
        <i/>
        <color rgb="FF7F7F7F"/>
        <sz val="8.0"/>
      </rPr>
      <t xml:space="preserve">튜티 </t>
    </r>
    <r>
      <rPr>
        <rFont val="맑은 고딕"/>
        <i/>
        <color rgb="FF7F7F7F"/>
        <sz val="8.0"/>
      </rPr>
      <t xml:space="preserve">/ </t>
    </r>
    <r>
      <rPr>
        <rFont val="Noto Sans CJK SC"/>
        <i/>
        <color rgb="FF7F7F7F"/>
        <sz val="8.0"/>
      </rPr>
      <t xml:space="preserve">멘토 </t>
    </r>
    <r>
      <rPr>
        <rFont val="맑은 고딕"/>
        <i/>
        <color rgb="FF7F7F7F"/>
        <sz val="8.0"/>
      </rPr>
      <t xml:space="preserve">/ </t>
    </r>
    <r>
      <rPr>
        <rFont val="Noto Sans CJK SC"/>
        <i/>
        <color rgb="FF7F7F7F"/>
        <sz val="8.0"/>
      </rPr>
      <t xml:space="preserve">멘티 </t>
    </r>
    <r>
      <rPr>
        <rFont val="맑은 고딕"/>
        <i/>
        <color rgb="FF7F7F7F"/>
        <sz val="8.0"/>
      </rPr>
      <t xml:space="preserve">/ </t>
    </r>
    <r>
      <rPr>
        <rFont val="Noto Sans CJK SC"/>
        <i/>
        <color rgb="FF7F7F7F"/>
        <sz val="8.0"/>
      </rPr>
      <t xml:space="preserve">스터디 </t>
    </r>
    <r>
      <rPr>
        <rFont val="맑은 고딕"/>
        <i/>
        <color rgb="FF7F7F7F"/>
        <sz val="8.0"/>
      </rPr>
      <t xml:space="preserve">/ </t>
    </r>
    <r>
      <rPr>
        <rFont val="Noto Sans CJK SC"/>
        <i/>
        <color rgb="FF7F7F7F"/>
        <sz val="8.0"/>
      </rPr>
      <t>학습공동체</t>
    </r>
    <r>
      <rPr>
        <rFont val="맑은 고딕"/>
        <i/>
        <color rgb="FF7F7F7F"/>
        <sz val="8.0"/>
      </rPr>
      <t>]</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</si>
  <si>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xml:space="preserve">· </t>
    </r>
    <r>
      <rPr>
        <rFont val="Noto Sans CJK SC"/>
        <i/>
        <color rgb="FF7F7F7F"/>
        <sz val="8.0"/>
      </rPr>
      <t xml:space="preserve">비교과 </t>
    </r>
    <r>
      <rPr>
        <rFont val="맑은 고딕"/>
        <i/>
        <color rgb="FF7F7F7F"/>
        <sz val="8.0"/>
      </rPr>
      <t>· 3</t>
    </r>
    <r>
      <rPr>
        <rFont val="Noto Sans CJK SC"/>
        <i/>
        <color rgb="FF7F7F7F"/>
        <sz val="8.0"/>
      </rPr>
      <t>품</t>
    </r>
    <r>
      <rPr>
        <rFont val="맑은 고딕"/>
        <i/>
        <color rgb="FF7F7F7F"/>
        <sz val="8.0"/>
      </rPr>
      <t xml:space="preserve">(AI)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자원</t>
    </r>
    <r>
      <rPr>
        <rFont val="맑은 고딕"/>
        <i/>
        <color rgb="FF7F7F7F"/>
        <sz val="8.0"/>
      </rPr>
      <t>·</t>
    </r>
    <r>
      <rPr>
        <rFont val="Noto Sans CJK SC"/>
        <i/>
        <color rgb="FF7F7F7F"/>
        <sz val="8.0"/>
      </rPr>
      <t xml:space="preserve">정보기술활용 </t>
    </r>
    <r>
      <rPr>
        <rFont val="맑은 고딕"/>
        <i/>
        <color rgb="FF7F7F7F"/>
        <sz val="8.0"/>
      </rPr>
      <t xml:space="preserve">/ </t>
    </r>
    <r>
      <rPr>
        <rFont val="Noto Sans CJK SC"/>
        <i/>
        <color rgb="FF7F7F7F"/>
        <sz val="8.0"/>
      </rPr>
      <t xml:space="preserve">디지털리터러시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이수 </t>
    </r>
    <r>
      <rPr>
        <rFont val="맑은 고딕"/>
        <i/>
        <color rgb="FF7F7F7F"/>
        <sz val="8.0"/>
      </rPr>
      <t>'</t>
    </r>
    <r>
      <rPr>
        <rFont val="Noto Sans CJK SC"/>
        <i/>
        <color rgb="FF7F7F7F"/>
        <sz val="8.0"/>
      </rPr>
      <t>시간</t>
    </r>
    <r>
      <rPr>
        <rFont val="맑은 고딕"/>
        <i/>
        <color rgb="FF7F7F7F"/>
        <sz val="8.0"/>
      </rPr>
      <t>'</t>
    </r>
    <r>
      <rPr>
        <rFont val="Noto Sans CJK SC"/>
        <i/>
        <color rgb="FF7F7F7F"/>
        <sz val="8.0"/>
      </rPr>
      <t>까지 받으면 정량화 쉬워짐</t>
    </r>
  </si>
  <si>
    <r>
      <rPr>
        <rFont val="Noto Sans CJK SC"/>
        <b/>
        <color rgb="FF000000"/>
        <sz val="9.0"/>
      </rPr>
      <t>이수 시간</t>
    </r>
    <r>
      <rPr>
        <rFont val="맑은 고딕"/>
        <b/>
        <color rgb="FF000000"/>
        <sz val="9.0"/>
      </rPr>
      <t>(h)</t>
    </r>
  </si>
  <si>
    <r>
      <rPr>
        <rFont val="맑은 고딕"/>
        <i/>
        <color rgb="FF7F7F7F"/>
        <sz val="8.0"/>
      </rPr>
      <t>[</t>
    </r>
    <r>
      <rPr>
        <rFont val="Noto Sans CJK SC"/>
        <i/>
        <color rgb="FF7F7F7F"/>
        <sz val="8.0"/>
      </rPr>
      <t xml:space="preserve">교과 </t>
    </r>
    <r>
      <rPr>
        <rFont val="맑은 고딕"/>
        <i/>
        <color rgb="FF7F7F7F"/>
        <sz val="8.0"/>
      </rPr>
      <t xml:space="preserve">/ </t>
    </r>
    <r>
      <rPr>
        <rFont val="Noto Sans CJK SC"/>
        <i/>
        <color rgb="FF7F7F7F"/>
        <sz val="8.0"/>
      </rPr>
      <t xml:space="preserve">비교과 </t>
    </r>
    <r>
      <rPr>
        <rFont val="맑은 고딕"/>
        <i/>
        <color rgb="FF7F7F7F"/>
        <sz val="8.0"/>
      </rPr>
      <t>/ 3</t>
    </r>
    <r>
      <rPr>
        <rFont val="Noto Sans CJK SC"/>
        <i/>
        <color rgb="FF7F7F7F"/>
        <sz val="8.0"/>
      </rPr>
      <t>품</t>
    </r>
    <r>
      <rPr>
        <rFont val="맑은 고딕"/>
        <i/>
        <color rgb="FF7F7F7F"/>
        <sz val="8.0"/>
      </rPr>
      <t>(AI)]</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</si>
  <si>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xml:space="preserve">· </t>
    </r>
    <r>
      <rPr>
        <rFont val="Noto Sans CJK SC"/>
        <i/>
        <color rgb="FF7F7F7F"/>
        <sz val="8.0"/>
      </rPr>
      <t xml:space="preserve">교수학습센터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 xml:space="preserve">커뮤니케이션 </t>
    </r>
    <r>
      <rPr>
        <rFont val="맑은 고딕"/>
        <i/>
        <color rgb="FF7F7F7F"/>
        <sz val="8.0"/>
      </rPr>
      <t xml:space="preserve">/ </t>
    </r>
    <r>
      <rPr>
        <rFont val="Noto Sans CJK SC"/>
        <i/>
        <color rgb="FF7F7F7F"/>
        <sz val="8.0"/>
      </rPr>
      <t xml:space="preserve">책임감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기존 데이터셋에 없는 신규 근거</t>
    </r>
  </si>
  <si>
    <r>
      <rPr>
        <rFont val="맑은 고딕"/>
        <i/>
        <color rgb="FF7F7F7F"/>
        <sz val="8.0"/>
      </rPr>
      <t>[</t>
    </r>
    <r>
      <rPr>
        <rFont val="Noto Sans CJK SC"/>
        <i/>
        <color rgb="FF7F7F7F"/>
        <sz val="8.0"/>
      </rPr>
      <t xml:space="preserve">이수 </t>
    </r>
    <r>
      <rPr>
        <rFont val="맑은 고딕"/>
        <i/>
        <color rgb="FF7F7F7F"/>
        <sz val="8.0"/>
      </rPr>
      <t xml:space="preserve">/ </t>
    </r>
    <r>
      <rPr>
        <rFont val="Noto Sans CJK SC"/>
        <i/>
        <color rgb="FF7F7F7F"/>
        <sz val="8.0"/>
      </rPr>
      <t xml:space="preserve">수강중 </t>
    </r>
    <r>
      <rPr>
        <rFont val="맑은 고딕"/>
        <i/>
        <color rgb="FF7F7F7F"/>
        <sz val="8.0"/>
      </rPr>
      <t xml:space="preserve">/ </t>
    </r>
    <r>
      <rPr>
        <rFont val="Noto Sans CJK SC"/>
        <i/>
        <color rgb="FF7F7F7F"/>
        <sz val="8.0"/>
      </rPr>
      <t>미이수</t>
    </r>
    <r>
      <rPr>
        <rFont val="맑은 고딕"/>
        <i/>
        <color rgb="FF7F7F7F"/>
        <sz val="8.0"/>
      </rPr>
      <t>]</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</si>
  <si>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</si>
  <si>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Noto Sans CJK SC"/>
        <i/>
        <color rgb="FF7F7F7F"/>
        <sz val="8.0"/>
      </rPr>
      <t>출처</t>
    </r>
    <r>
      <rPr>
        <rFont val="맑은 고딕"/>
        <i/>
        <color rgb="FF7F7F7F"/>
        <sz val="8.0"/>
      </rPr>
      <t xml:space="preserve">: </t>
    </r>
    <r>
      <rPr>
        <rFont val="Noto Sans CJK SC"/>
        <i/>
        <color rgb="FF7F7F7F"/>
        <sz val="8.0"/>
      </rPr>
      <t xml:space="preserve">학생 등록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자원</t>
    </r>
    <r>
      <rPr>
        <rFont val="맑은 고딕"/>
        <i/>
        <color rgb="FF7F7F7F"/>
        <sz val="8.0"/>
      </rPr>
      <t>·</t>
    </r>
    <r>
      <rPr>
        <rFont val="Noto Sans CJK SC"/>
        <i/>
        <color rgb="FF7F7F7F"/>
        <sz val="8.0"/>
      </rPr>
      <t xml:space="preserve">정보기술활용 </t>
    </r>
    <r>
      <rPr>
        <rFont val="맑은 고딕"/>
        <i/>
        <color rgb="FF7F7F7F"/>
        <sz val="8.0"/>
      </rPr>
      <t xml:space="preserve">/ </t>
    </r>
    <r>
      <rPr>
        <rFont val="Noto Sans CJK SC"/>
        <i/>
        <color rgb="FF7F7F7F"/>
        <sz val="8.0"/>
      </rPr>
      <t xml:space="preserve">디지털리터러시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자기 서술 위주 → 정성 판단 </t>
    </r>
    <r>
      <rPr>
        <rFont val="맑은 고딕"/>
        <i/>
        <color rgb="FF7F7F7F"/>
        <sz val="8.0"/>
      </rPr>
      <t xml:space="preserve">+ </t>
    </r>
    <r>
      <rPr>
        <rFont val="Noto Sans CJK SC"/>
        <i/>
        <color rgb="FF7F7F7F"/>
        <sz val="8.0"/>
      </rPr>
      <t>낮은 가중치 권장</t>
    </r>
  </si>
  <si>
    <r>
      <rPr>
        <rFont val="Noto Sans CJK SC"/>
        <color rgb="FF1F3B8A"/>
        <sz val="10.0"/>
      </rPr>
      <t xml:space="preserve">신입생 </t>
    </r>
    <r>
      <rPr>
        <rFont val="맑은 고딕"/>
        <color rgb="FF1F3B8A"/>
        <sz val="10.0"/>
      </rPr>
      <t xml:space="preserve">AI </t>
    </r>
    <r>
      <rPr>
        <rFont val="Noto Sans CJK SC"/>
        <color rgb="FF1F3B8A"/>
        <sz val="10.0"/>
      </rPr>
      <t>리터러시 특강</t>
    </r>
  </si>
  <si>
    <r>
      <rPr>
        <rFont val="맑은 고딕"/>
        <i/>
        <color rgb="FF7F7F7F"/>
        <sz val="8.0"/>
      </rPr>
      <t>YYYY-1 / YYYY-2 / YYYY-</t>
    </r>
    <r>
      <rPr>
        <rFont val="Noto Sans CJK SC"/>
        <i/>
        <color rgb="FF7F7F7F"/>
        <sz val="8.0"/>
      </rPr>
      <t xml:space="preserve">여름 </t>
    </r>
    <r>
      <rPr>
        <rFont val="맑은 고딕"/>
        <i/>
        <color rgb="FF7F7F7F"/>
        <sz val="8.0"/>
      </rPr>
      <t>/ YYYY-</t>
    </r>
    <r>
      <rPr>
        <rFont val="Noto Sans CJK SC"/>
        <i/>
        <color rgb="FF7F7F7F"/>
        <sz val="8.0"/>
      </rPr>
      <t>겨울</t>
    </r>
  </si>
  <si>
    <r>
      <rPr>
        <rFont val="맑은 고딕"/>
        <i/>
        <color rgb="FF7F7F7F"/>
        <sz val="8.0"/>
      </rPr>
      <t>[</t>
    </r>
    <r>
      <rPr>
        <rFont val="Noto Sans CJK SC"/>
        <i/>
        <color rgb="FF7F7F7F"/>
        <sz val="8.0"/>
      </rPr>
      <t xml:space="preserve">기초 </t>
    </r>
    <r>
      <rPr>
        <rFont val="맑은 고딕"/>
        <i/>
        <color rgb="FF7F7F7F"/>
        <sz val="8.0"/>
      </rPr>
      <t xml:space="preserve">/ </t>
    </r>
    <r>
      <rPr>
        <rFont val="Noto Sans CJK SC"/>
        <i/>
        <color rgb="FF7F7F7F"/>
        <sz val="8.0"/>
      </rPr>
      <t xml:space="preserve">활용 </t>
    </r>
    <r>
      <rPr>
        <rFont val="맑은 고딕"/>
        <i/>
        <color rgb="FF7F7F7F"/>
        <sz val="8.0"/>
      </rPr>
      <t xml:space="preserve">/ </t>
    </r>
    <r>
      <rPr>
        <rFont val="Noto Sans CJK SC"/>
        <i/>
        <color rgb="FF7F7F7F"/>
        <sz val="8.0"/>
      </rPr>
      <t>능숙</t>
    </r>
    <r>
      <rPr>
        <rFont val="맑은 고딕"/>
        <i/>
        <color rgb="FF7F7F7F"/>
        <sz val="8.0"/>
      </rPr>
      <t>]</t>
    </r>
  </si>
  <si>
    <r>
      <rPr>
        <rFont val="Noto Sans CJK SC"/>
        <b/>
        <color rgb="FFFFFFFF"/>
        <sz val="11.0"/>
      </rPr>
      <t>■ 실무</t>
    </r>
    <r>
      <rPr>
        <rFont val="맑은 고딕"/>
        <b/>
        <color rgb="FFFFFFFF"/>
        <sz val="11.0"/>
      </rPr>
      <t>·</t>
    </r>
    <r>
      <rPr>
        <rFont val="Noto Sans CJK SC"/>
        <b/>
        <color rgb="FFFFFFFF"/>
        <sz val="11.0"/>
      </rPr>
      <t>진로</t>
    </r>
  </si>
  <si>
    <r>
      <rPr>
        <rFont val="Noto Sans CJK SC"/>
        <i/>
        <color rgb="FF7F7F7F"/>
        <sz val="8.0"/>
      </rPr>
      <t>출처</t>
    </r>
    <r>
      <rPr>
        <rFont val="맑은 고딕"/>
        <i/>
        <color rgb="FF7F7F7F"/>
        <sz val="8.0"/>
      </rPr>
      <t xml:space="preserve">: LMS(i-Campus)   |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커뮤니케이션</t>
    </r>
    <r>
      <rPr>
        <rFont val="맑은 고딕"/>
        <i/>
        <color rgb="FF7F7F7F"/>
        <sz val="8.0"/>
      </rPr>
      <t>(</t>
    </r>
    <r>
      <rPr>
        <rFont val="Noto Sans CJK SC"/>
        <i/>
        <color rgb="FF7F7F7F"/>
        <sz val="8.0"/>
      </rPr>
      <t>협업</t>
    </r>
    <r>
      <rPr>
        <rFont val="맑은 고딕"/>
        <i/>
        <color rgb="FF7F7F7F"/>
        <sz val="8.0"/>
      </rPr>
      <t xml:space="preserve">) / </t>
    </r>
    <r>
      <rPr>
        <rFont val="Noto Sans CJK SC"/>
        <i/>
        <color rgb="FF7F7F7F"/>
        <sz val="8.0"/>
      </rPr>
      <t xml:space="preserve">대인관계 </t>
    </r>
    <r>
      <rPr>
        <rFont val="맑은 고딕"/>
        <i/>
        <color rgb="FF7F7F7F"/>
        <sz val="8.0"/>
      </rPr>
      <t xml:space="preserve">/ </t>
    </r>
    <r>
      <rPr>
        <rFont val="Noto Sans CJK SC"/>
        <i/>
        <color rgb="FF7F7F7F"/>
        <sz val="8.0"/>
      </rPr>
      <t xml:space="preserve">리더십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대인관계 역량을 </t>
    </r>
    <r>
      <rPr>
        <rFont val="맑은 고딕"/>
        <i/>
        <color rgb="FF7F7F7F"/>
        <sz val="8.0"/>
      </rPr>
      <t>'</t>
    </r>
    <r>
      <rPr>
        <rFont val="Noto Sans CJK SC"/>
        <i/>
        <color rgb="FF7F7F7F"/>
        <sz val="8.0"/>
      </rPr>
      <t>활동 여부</t>
    </r>
    <r>
      <rPr>
        <rFont val="맑은 고딕"/>
        <i/>
        <color rgb="FF7F7F7F"/>
        <sz val="8.0"/>
      </rPr>
      <t>'</t>
    </r>
    <r>
      <rPr>
        <rFont val="Noto Sans CJK SC"/>
        <i/>
        <color rgb="FF7F7F7F"/>
        <sz val="8.0"/>
      </rPr>
      <t xml:space="preserve">가 아닌 </t>
    </r>
    <r>
      <rPr>
        <rFont val="맑은 고딕"/>
        <i/>
        <color rgb="FF7F7F7F"/>
        <sz val="8.0"/>
      </rPr>
      <t>'</t>
    </r>
    <r>
      <rPr>
        <rFont val="Noto Sans CJK SC"/>
        <i/>
        <color rgb="FF7F7F7F"/>
        <sz val="8.0"/>
      </rPr>
      <t>평판</t>
    </r>
    <r>
      <rPr>
        <rFont val="맑은 고딕"/>
        <i/>
        <color rgb="FF7F7F7F"/>
        <sz val="8.0"/>
      </rPr>
      <t>'</t>
    </r>
    <r>
      <rPr>
        <rFont val="Noto Sans CJK SC"/>
        <i/>
        <color rgb="FF7F7F7F"/>
        <sz val="8.0"/>
      </rPr>
      <t>으로 측정할 수 있는 유일한 근거</t>
    </r>
  </si>
  <si>
    <r>
      <rPr>
        <rFont val="Noto Sans CJK SC"/>
        <b/>
        <color rgb="FF000000"/>
        <sz val="11.0"/>
      </rPr>
      <t>인턴</t>
    </r>
    <r>
      <rPr>
        <rFont val="맑은 고딕"/>
        <b/>
        <color rgb="FF000000"/>
        <sz val="11.0"/>
      </rPr>
      <t>·</t>
    </r>
    <r>
      <rPr>
        <rFont val="Noto Sans CJK SC"/>
        <b/>
        <color rgb="FF000000"/>
        <sz val="11.0"/>
      </rPr>
      <t>현장실습</t>
    </r>
  </si>
  <si>
    <r>
      <rPr>
        <rFont val="Noto Sans CJK SC"/>
        <b/>
        <color rgb="FF000000"/>
        <sz val="9.0"/>
      </rPr>
      <t>평가 인원</t>
    </r>
    <r>
      <rPr>
        <rFont val="맑은 고딕"/>
        <b/>
        <color rgb="FF000000"/>
        <sz val="9.0"/>
      </rPr>
      <t>(</t>
    </r>
    <r>
      <rPr>
        <rFont val="Noto Sans CJK SC"/>
        <b/>
        <color rgb="FF000000"/>
        <sz val="9.0"/>
      </rPr>
      <t>명</t>
    </r>
    <r>
      <rPr>
        <rFont val="맑은 고딕"/>
        <b/>
        <color rgb="FF000000"/>
        <sz val="9.0"/>
      </rPr>
      <t>)</t>
    </r>
  </si>
  <si>
    <r>
      <rPr>
        <rFont val="맑은 고딕"/>
        <i/>
        <color rgb="FF7F7F7F"/>
        <sz val="8.0"/>
      </rPr>
      <t>YYYY-1 / YYYY-2 / YYYY-</t>
    </r>
    <r>
      <rPr>
        <rFont val="Noto Sans CJK SC"/>
        <i/>
        <color rgb="FF7F7F7F"/>
        <sz val="8.0"/>
      </rPr>
      <t xml:space="preserve">여름 </t>
    </r>
    <r>
      <rPr>
        <rFont val="맑은 고딕"/>
        <i/>
        <color rgb="FF7F7F7F"/>
        <sz val="8.0"/>
      </rPr>
      <t>/ YYYY-</t>
    </r>
    <r>
      <rPr>
        <rFont val="Noto Sans CJK SC"/>
        <i/>
        <color rgb="FF7F7F7F"/>
        <sz val="8.0"/>
      </rPr>
      <t>겨울</t>
    </r>
  </si>
  <si>
    <r>
      <rPr>
        <rFont val="맑은 고딕"/>
        <b/>
        <color rgb="FF000000"/>
        <sz val="11.0"/>
      </rPr>
      <t xml:space="preserve">AI </t>
    </r>
    <r>
      <rPr>
        <rFont val="Noto Sans CJK SC"/>
        <b/>
        <color rgb="FF000000"/>
        <sz val="11.0"/>
      </rPr>
      <t>프로젝트</t>
    </r>
    <r>
      <rPr>
        <rFont val="맑은 고딕"/>
        <b/>
        <color rgb="FF000000"/>
        <sz val="11.0"/>
      </rPr>
      <t>·</t>
    </r>
    <r>
      <rPr>
        <rFont val="Noto Sans CJK SC"/>
        <b/>
        <color rgb="FF000000"/>
        <sz val="11.0"/>
      </rPr>
      <t>대회</t>
    </r>
  </si>
  <si>
    <r>
      <rPr>
        <rFont val="Noto Sans CJK SC"/>
        <b/>
        <color rgb="FFFFFFFF"/>
        <sz val="11.0"/>
      </rPr>
      <t>■ 공동체</t>
    </r>
    <r>
      <rPr>
        <rFont val="맑은 고딕"/>
        <b/>
        <color rgb="FFFFFFFF"/>
        <sz val="11.0"/>
      </rPr>
      <t>·</t>
    </r>
    <r>
      <rPr>
        <rFont val="Noto Sans CJK SC"/>
        <b/>
        <color rgb="FFFFFFFF"/>
        <sz val="11.0"/>
      </rPr>
      <t>리더십</t>
    </r>
  </si>
  <si>
    <r>
      <rPr>
        <rFont val="Noto Sans CJK SC"/>
        <b/>
        <color rgb="FFFFFFFF"/>
        <sz val="11.0"/>
      </rPr>
      <t>■ 자격</t>
    </r>
    <r>
      <rPr>
        <rFont val="맑은 고딕"/>
        <b/>
        <color rgb="FFFFFFFF"/>
        <sz val="11.0"/>
      </rPr>
      <t>·</t>
    </r>
    <r>
      <rPr>
        <rFont val="Noto Sans CJK SC"/>
        <b/>
        <color rgb="FFFFFFFF"/>
        <sz val="11.0"/>
      </rPr>
      <t>인증</t>
    </r>
  </si>
  <si>
    <r>
      <rPr>
        <rFont val="Noto Sans CJK SC"/>
        <b/>
        <color rgb="FF000000"/>
        <sz val="11.0"/>
      </rPr>
      <t>자격증</t>
    </r>
    <r>
      <rPr>
        <rFont val="맑은 고딕"/>
        <b/>
        <color rgb="FF000000"/>
        <sz val="11.0"/>
      </rPr>
      <t>(</t>
    </r>
    <r>
      <rPr>
        <rFont val="Noto Sans CJK SC"/>
        <b/>
        <color rgb="FF000000"/>
        <sz val="11.0"/>
      </rPr>
      <t>어학</t>
    </r>
    <r>
      <rPr>
        <rFont val="맑은 고딕"/>
        <b/>
        <color rgb="FF000000"/>
        <sz val="11.0"/>
      </rPr>
      <t>)</t>
    </r>
  </si>
  <si>
    <r>
      <rPr>
        <rFont val="Noto Sans CJK SC"/>
        <b/>
        <color rgb="FF000000"/>
        <sz val="11.0"/>
      </rPr>
      <t>동아리</t>
    </r>
    <r>
      <rPr>
        <rFont val="맑은 고딕"/>
        <b/>
        <color rgb="FF000000"/>
        <sz val="11.0"/>
      </rPr>
      <t>·</t>
    </r>
    <r>
      <rPr>
        <rFont val="Noto Sans CJK SC"/>
        <b/>
        <color rgb="FF000000"/>
        <sz val="11.0"/>
      </rPr>
      <t>학생회 활동</t>
    </r>
  </si>
  <si>
    <r>
      <rPr>
        <rFont val="Noto Sans CJK SC"/>
        <i/>
        <color rgb="FF7F7F7F"/>
        <sz val="8.0"/>
      </rPr>
      <t>출처</t>
    </r>
    <r>
      <rPr>
        <rFont val="맑은 고딕"/>
        <i/>
        <color rgb="FF7F7F7F"/>
        <sz val="8.0"/>
      </rPr>
      <t xml:space="preserve">: </t>
    </r>
    <r>
      <rPr>
        <rFont val="Noto Sans CJK SC"/>
        <i/>
        <color rgb="FF7F7F7F"/>
        <sz val="8.0"/>
      </rPr>
      <t xml:space="preserve">현장실습 지원 시스템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인턴십</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커뮤니케이션</t>
    </r>
    <r>
      <rPr>
        <rFont val="맑은 고딕"/>
        <i/>
        <color rgb="FF7F7F7F"/>
        <sz val="8.0"/>
      </rPr>
      <t>(</t>
    </r>
    <r>
      <rPr>
        <rFont val="Noto Sans CJK SC"/>
        <i/>
        <color rgb="FF7F7F7F"/>
        <sz val="8.0"/>
      </rPr>
      <t>협업</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기간</t>
    </r>
    <r>
      <rPr>
        <rFont val="맑은 고딕"/>
        <i/>
        <color rgb="FF7F7F7F"/>
        <sz val="8.0"/>
      </rPr>
      <t>(</t>
    </r>
    <r>
      <rPr>
        <rFont val="Noto Sans CJK SC"/>
        <i/>
        <color rgb="FF7F7F7F"/>
        <sz val="8.0"/>
      </rPr>
      <t>개월</t>
    </r>
    <r>
      <rPr>
        <rFont val="맑은 고딕"/>
        <i/>
        <color rgb="FF7F7F7F"/>
        <sz val="8.0"/>
      </rPr>
      <t>)</t>
    </r>
    <r>
      <rPr>
        <rFont val="Noto Sans CJK SC"/>
        <i/>
        <color rgb="FF7F7F7F"/>
        <sz val="8.0"/>
      </rPr>
      <t>과 직무 관련성을 함께 추출</t>
    </r>
  </si>
  <si>
    <r>
      <rPr>
        <rFont val="Noto Sans CJK SC"/>
        <b/>
        <color rgb="FF000000"/>
        <sz val="9.0"/>
      </rPr>
      <t>직무</t>
    </r>
    <r>
      <rPr>
        <rFont val="맑은 고딕"/>
        <b/>
        <color rgb="FF000000"/>
        <sz val="9.0"/>
      </rPr>
      <t>·</t>
    </r>
    <r>
      <rPr>
        <rFont val="Noto Sans CJK SC"/>
        <b/>
        <color rgb="FF000000"/>
        <sz val="9.0"/>
      </rPr>
      <t>부서</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</si>
  <si>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</si>
  <si>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맑은 고딕"/>
        <b/>
        <color rgb="FF000000"/>
        <sz val="9.0"/>
      </rPr>
      <t>3</t>
    </r>
    <r>
      <rPr>
        <rFont val="Noto Sans CJK SC"/>
        <b/>
        <color rgb="FF000000"/>
        <sz val="9.0"/>
      </rPr>
      <t>품 인정</t>
    </r>
  </si>
  <si>
    <r>
      <rPr>
        <rFont val="맑은 고딕"/>
        <i/>
        <color rgb="FF7F7F7F"/>
        <sz val="8.0"/>
      </rPr>
      <t>[</t>
    </r>
    <r>
      <rPr>
        <rFont val="Noto Sans CJK SC"/>
        <i/>
        <color rgb="FF7F7F7F"/>
        <sz val="8.0"/>
      </rPr>
      <t xml:space="preserve">인턴십 </t>
    </r>
    <r>
      <rPr>
        <rFont val="맑은 고딕"/>
        <i/>
        <color rgb="FF7F7F7F"/>
        <sz val="8.0"/>
      </rPr>
      <t xml:space="preserve">/ </t>
    </r>
    <r>
      <rPr>
        <rFont val="Noto Sans CJK SC"/>
        <i/>
        <color rgb="FF7F7F7F"/>
        <sz val="8.0"/>
      </rPr>
      <t xml:space="preserve">현장실습 </t>
    </r>
    <r>
      <rPr>
        <rFont val="맑은 고딕"/>
        <i/>
        <color rgb="FF7F7F7F"/>
        <sz val="8.0"/>
      </rPr>
      <t xml:space="preserve">/ </t>
    </r>
    <r>
      <rPr>
        <rFont val="Noto Sans CJK SC"/>
        <i/>
        <color rgb="FF7F7F7F"/>
        <sz val="8.0"/>
      </rPr>
      <t xml:space="preserve">연구체험 </t>
    </r>
    <r>
      <rPr>
        <rFont val="맑은 고딕"/>
        <i/>
        <color rgb="FF7F7F7F"/>
        <sz val="8.0"/>
      </rPr>
      <t xml:space="preserve">/ </t>
    </r>
    <r>
      <rPr>
        <rFont val="Noto Sans CJK SC"/>
        <i/>
        <color rgb="FF7F7F7F"/>
        <sz val="8.0"/>
      </rPr>
      <t>문제해결프로젝트</t>
    </r>
    <r>
      <rPr>
        <rFont val="맑은 고딕"/>
        <i/>
        <color rgb="FF7F7F7F"/>
        <sz val="8.0"/>
      </rPr>
      <t>]</t>
    </r>
  </si>
  <si>
    <r>
      <rPr>
        <rFont val="Noto Sans CJK SC"/>
        <i/>
        <color rgb="FF7F7F7F"/>
        <sz val="8.0"/>
      </rPr>
      <t>출처</t>
    </r>
    <r>
      <rPr>
        <rFont val="맑은 고딕"/>
        <i/>
        <color rgb="FF7F7F7F"/>
        <sz val="8.0"/>
      </rPr>
      <t xml:space="preserve">: </t>
    </r>
    <r>
      <rPr>
        <rFont val="Noto Sans CJK SC"/>
        <i/>
        <color rgb="FF7F7F7F"/>
        <sz val="8.0"/>
      </rPr>
      <t>학생 등록</t>
    </r>
    <r>
      <rPr>
        <rFont val="맑은 고딕"/>
        <i/>
        <color rgb="FF7F7F7F"/>
        <sz val="8.0"/>
      </rPr>
      <t>(</t>
    </r>
    <r>
      <rPr>
        <rFont val="Noto Sans CJK SC"/>
        <i/>
        <color rgb="FF7F7F7F"/>
        <sz val="8.0"/>
      </rPr>
      <t>성적표</t>
    </r>
    <r>
      <rPr>
        <rFont val="맑은 고딕"/>
        <i/>
        <color rgb="FF7F7F7F"/>
        <sz val="8.0"/>
      </rPr>
      <t>) · 3</t>
    </r>
    <r>
      <rPr>
        <rFont val="Noto Sans CJK SC"/>
        <i/>
        <color rgb="FF7F7F7F"/>
        <sz val="8.0"/>
      </rPr>
      <t>품</t>
    </r>
    <r>
      <rPr>
        <rFont val="맑은 고딕"/>
        <i/>
        <color rgb="FF7F7F7F"/>
        <sz val="8.0"/>
      </rPr>
      <t>(</t>
    </r>
    <r>
      <rPr>
        <rFont val="Noto Sans CJK SC"/>
        <i/>
        <color rgb="FF7F7F7F"/>
        <sz val="8.0"/>
      </rPr>
      <t>글로벌</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글로벌</t>
    </r>
    <r>
      <rPr>
        <rFont val="맑은 고딕"/>
        <i/>
        <color rgb="FF7F7F7F"/>
        <sz val="8.0"/>
      </rPr>
      <t>(</t>
    </r>
    <r>
      <rPr>
        <rFont val="Noto Sans CJK SC"/>
        <i/>
        <color rgb="FF7F7F7F"/>
        <sz val="8.0"/>
      </rPr>
      <t>언어 사용능력</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시험별 공통 척도 환산표 필요</t>
    </r>
  </si>
  <si>
    <r>
      <rPr>
        <rFont val="맑은 고딕"/>
        <i/>
        <color rgb="FF7F7F7F"/>
        <sz val="8.0"/>
      </rPr>
      <t>[</t>
    </r>
    <r>
      <rPr>
        <rFont val="Noto Sans CJK SC"/>
        <i/>
        <color rgb="FF7F7F7F"/>
        <sz val="8.0"/>
      </rPr>
      <t xml:space="preserve">관련 </t>
    </r>
    <r>
      <rPr>
        <rFont val="맑은 고딕"/>
        <i/>
        <color rgb="FF7F7F7F"/>
        <sz val="8.0"/>
      </rPr>
      <t xml:space="preserve">/ </t>
    </r>
    <r>
      <rPr>
        <rFont val="Noto Sans CJK SC"/>
        <i/>
        <color rgb="FF7F7F7F"/>
        <sz val="8.0"/>
      </rPr>
      <t xml:space="preserve">일부 관련 </t>
    </r>
    <r>
      <rPr>
        <rFont val="맑은 고딕"/>
        <i/>
        <color rgb="FF7F7F7F"/>
        <sz val="8.0"/>
      </rPr>
      <t xml:space="preserve">/ </t>
    </r>
    <r>
      <rPr>
        <rFont val="Noto Sans CJK SC"/>
        <i/>
        <color rgb="FF7F7F7F"/>
        <sz val="8.0"/>
      </rPr>
      <t>무관</t>
    </r>
    <r>
      <rPr>
        <rFont val="맑은 고딕"/>
        <i/>
        <color rgb="FF7F7F7F"/>
        <sz val="8.0"/>
      </rPr>
      <t>]</t>
    </r>
  </si>
  <si>
    <r>
      <rPr>
        <rFont val="Noto Sans CJK SC"/>
        <b/>
        <color rgb="FF000000"/>
        <sz val="9.0"/>
      </rPr>
      <t>등급</t>
    </r>
    <r>
      <rPr>
        <rFont val="맑은 고딕"/>
        <b/>
        <color rgb="FF000000"/>
        <sz val="9.0"/>
      </rPr>
      <t>·</t>
    </r>
    <r>
      <rPr>
        <rFont val="Noto Sans CJK SC"/>
        <b/>
        <color rgb="FF000000"/>
        <sz val="9.0"/>
      </rPr>
      <t>레벨</t>
    </r>
  </si>
  <si>
    <r>
      <rPr>
        <rFont val="맑은 고딕"/>
        <i/>
        <color rgb="FF7F7F7F"/>
        <sz val="8.0"/>
      </rPr>
      <t xml:space="preserve">[TOEIC / TOEFL iBT / TOEIC Speaking / OPIc / HSK / JPT / JLPT / DELF/DALF / DELE / </t>
    </r>
    <r>
      <rPr>
        <rFont val="Noto Sans CJK SC"/>
        <i/>
        <color rgb="FF7F7F7F"/>
        <sz val="8.0"/>
      </rPr>
      <t>기타</t>
    </r>
    <r>
      <rPr>
        <rFont val="맑은 고딕"/>
        <i/>
        <color rgb="FF7F7F7F"/>
        <sz val="8.0"/>
      </rPr>
      <t>]</t>
    </r>
  </si>
  <si>
    <r>
      <rPr>
        <rFont val="Noto Sans CJK SC"/>
        <i/>
        <color rgb="FF7F7F7F"/>
        <sz val="8.0"/>
      </rPr>
      <t>예</t>
    </r>
    <r>
      <rPr>
        <rFont val="맑은 고딕"/>
        <i/>
        <color rgb="FF7F7F7F"/>
        <sz val="8.0"/>
      </rPr>
      <t>: IH, N1, 5</t>
    </r>
    <r>
      <rPr>
        <rFont val="Noto Sans CJK SC"/>
        <i/>
        <color rgb="FF7F7F7F"/>
        <sz val="8.0"/>
      </rPr>
      <t>급</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</si>
  <si>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3</t>
    </r>
    <r>
      <rPr>
        <rFont val="Noto Sans CJK SC"/>
        <i/>
        <color rgb="FF7F7F7F"/>
        <sz val="8.0"/>
      </rPr>
      <t>품</t>
    </r>
    <r>
      <rPr>
        <rFont val="맑은 고딕"/>
        <i/>
        <color rgb="FF7F7F7F"/>
        <sz val="8.0"/>
      </rPr>
      <t xml:space="preserve">(AI)   |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디지털리터러시</t>
    </r>
    <r>
      <rPr>
        <rFont val="맑은 고딕"/>
        <i/>
        <color rgb="FF7F7F7F"/>
        <sz val="8.0"/>
      </rPr>
      <t xml:space="preserve">(AI </t>
    </r>
    <r>
      <rPr>
        <rFont val="Noto Sans CJK SC"/>
        <i/>
        <color rgb="FF7F7F7F"/>
        <sz val="8.0"/>
      </rPr>
      <t>활용</t>
    </r>
    <r>
      <rPr>
        <rFont val="맑은 고딕"/>
        <i/>
        <color rgb="FF7F7F7F"/>
        <sz val="8.0"/>
      </rPr>
      <t xml:space="preserve">) / </t>
    </r>
    <r>
      <rPr>
        <rFont val="Noto Sans CJK SC"/>
        <i/>
        <color rgb="FF7F7F7F"/>
        <sz val="8.0"/>
      </rPr>
      <t xml:space="preserve">문제해결력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공모전 항목과 중복 가산되지 않게 분리</t>
    </r>
  </si>
  <si>
    <t>2025-12-14</t>
  </si>
  <si>
    <t>2027-12-14</t>
  </si>
  <si>
    <r>
      <rPr>
        <rFont val="Noto Sans CJK SC"/>
        <b/>
        <color rgb="FF000000"/>
        <sz val="9.0"/>
      </rPr>
      <t>결과</t>
    </r>
    <r>
      <rPr>
        <rFont val="맑은 고딕"/>
        <b/>
        <color rgb="FF000000"/>
        <sz val="9.0"/>
      </rPr>
      <t>·</t>
    </r>
    <r>
      <rPr>
        <rFont val="Noto Sans CJK SC"/>
        <b/>
        <color rgb="FF000000"/>
        <sz val="9.0"/>
      </rPr>
      <t>산출물</t>
    </r>
  </si>
  <si>
    <r>
      <rPr>
        <rFont val="Noto Sans CJK SC"/>
        <i/>
        <color rgb="FF7F7F7F"/>
        <sz val="8.0"/>
      </rPr>
      <t>출처</t>
    </r>
    <r>
      <rPr>
        <rFont val="맑은 고딕"/>
        <i/>
        <color rgb="FF7F7F7F"/>
        <sz val="8.0"/>
      </rPr>
      <t xml:space="preserve">: </t>
    </r>
    <r>
      <rPr>
        <rFont val="Noto Sans CJK SC"/>
        <i/>
        <color rgb="FF7F7F7F"/>
        <sz val="8.0"/>
      </rPr>
      <t xml:space="preserve">비교과 시스템 </t>
    </r>
    <r>
      <rPr>
        <rFont val="맑은 고딕"/>
        <i/>
        <color rgb="FF7F7F7F"/>
        <sz val="8.0"/>
      </rPr>
      <t xml:space="preserve">· </t>
    </r>
    <r>
      <rPr>
        <rFont val="Noto Sans CJK SC"/>
        <i/>
        <color rgb="FF7F7F7F"/>
        <sz val="8.0"/>
      </rPr>
      <t xml:space="preserve">학생 등록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대인관계 </t>
    </r>
    <r>
      <rPr>
        <rFont val="맑은 고딕"/>
        <i/>
        <color rgb="FF7F7F7F"/>
        <sz val="8.0"/>
      </rPr>
      <t xml:space="preserve">/ </t>
    </r>
    <r>
      <rPr>
        <rFont val="Noto Sans CJK SC"/>
        <i/>
        <color rgb="FF7F7F7F"/>
        <sz val="8.0"/>
      </rPr>
      <t xml:space="preserve">리더십 </t>
    </r>
    <r>
      <rPr>
        <rFont val="맑은 고딕"/>
        <i/>
        <color rgb="FF7F7F7F"/>
        <sz val="8.0"/>
      </rPr>
      <t xml:space="preserve">/ </t>
    </r>
    <r>
      <rPr>
        <rFont val="Noto Sans CJK SC"/>
        <i/>
        <color rgb="FF7F7F7F"/>
        <sz val="8.0"/>
      </rPr>
      <t xml:space="preserve">커뮤니케이션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직책</t>
    </r>
    <r>
      <rPr>
        <rFont val="맑은 고딕"/>
        <i/>
        <color rgb="FF7F7F7F"/>
        <sz val="8.0"/>
      </rPr>
      <t>(</t>
    </r>
    <r>
      <rPr>
        <rFont val="Noto Sans CJK SC"/>
        <i/>
        <color rgb="FF7F7F7F"/>
        <sz val="8.0"/>
      </rPr>
      <t>회장</t>
    </r>
    <r>
      <rPr>
        <rFont val="맑은 고딕"/>
        <i/>
        <color rgb="FF7F7F7F"/>
        <sz val="8.0"/>
      </rPr>
      <t>·</t>
    </r>
    <r>
      <rPr>
        <rFont val="Noto Sans CJK SC"/>
        <i/>
        <color rgb="FF7F7F7F"/>
        <sz val="8.0"/>
      </rPr>
      <t>부장</t>
    </r>
    <r>
      <rPr>
        <rFont val="맑은 고딕"/>
        <i/>
        <color rgb="FF7F7F7F"/>
        <sz val="8.0"/>
      </rPr>
      <t>·</t>
    </r>
    <r>
      <rPr>
        <rFont val="Noto Sans CJK SC"/>
        <i/>
        <color rgb="FF7F7F7F"/>
        <sz val="8.0"/>
      </rPr>
      <t>총무</t>
    </r>
    <r>
      <rPr>
        <rFont val="맑은 고딕"/>
        <i/>
        <color rgb="FF7F7F7F"/>
        <sz val="8.0"/>
      </rPr>
      <t>·</t>
    </r>
    <r>
      <rPr>
        <rFont val="Noto Sans CJK SC"/>
        <i/>
        <color rgb="FF7F7F7F"/>
        <sz val="8.0"/>
      </rPr>
      <t>부원</t>
    </r>
    <r>
      <rPr>
        <rFont val="맑은 고딕"/>
        <i/>
        <color rgb="FF7F7F7F"/>
        <sz val="8.0"/>
      </rPr>
      <t xml:space="preserve">) × </t>
    </r>
    <r>
      <rPr>
        <rFont val="Noto Sans CJK SC"/>
        <i/>
        <color rgb="FF7F7F7F"/>
        <sz val="8.0"/>
      </rPr>
      <t>기간으로 정량화</t>
    </r>
  </si>
  <si>
    <r>
      <rPr>
        <rFont val="Noto Sans CJK SC"/>
        <b/>
        <color rgb="FF000000"/>
        <sz val="11.0"/>
      </rPr>
      <t>자격증</t>
    </r>
    <r>
      <rPr>
        <rFont val="맑은 고딕"/>
        <b/>
        <color rgb="FF000000"/>
        <sz val="11.0"/>
      </rPr>
      <t>(</t>
    </r>
    <r>
      <rPr>
        <rFont val="Noto Sans CJK SC"/>
        <b/>
        <color rgb="FF000000"/>
        <sz val="11.0"/>
      </rPr>
      <t>기타</t>
    </r>
    <r>
      <rPr>
        <rFont val="맑은 고딕"/>
        <b/>
        <color rgb="FF000000"/>
        <sz val="11.0"/>
      </rPr>
      <t>/</t>
    </r>
    <r>
      <rPr>
        <rFont val="Noto Sans CJK SC"/>
        <b/>
        <color rgb="FF000000"/>
        <sz val="11.0"/>
      </rPr>
      <t>전공</t>
    </r>
    <r>
      <rPr>
        <rFont val="맑은 고딕"/>
        <b/>
        <color rgb="FF000000"/>
        <sz val="11.0"/>
      </rPr>
      <t>)</t>
    </r>
  </si>
  <si>
    <r>
      <rPr>
        <rFont val="맑은 고딕"/>
        <i/>
        <color rgb="FF7F7F7F"/>
        <sz val="8.0"/>
      </rPr>
      <t>[AI</t>
    </r>
    <r>
      <rPr>
        <rFont val="Noto Sans CJK SC"/>
        <i/>
        <color rgb="FF7F7F7F"/>
        <sz val="8.0"/>
      </rPr>
      <t xml:space="preserve">캡스톤 </t>
    </r>
    <r>
      <rPr>
        <rFont val="맑은 고딕"/>
        <i/>
        <color rgb="FF7F7F7F"/>
        <sz val="8.0"/>
      </rPr>
      <t>/ AI</t>
    </r>
    <r>
      <rPr>
        <rFont val="Noto Sans CJK SC"/>
        <i/>
        <color rgb="FF7F7F7F"/>
        <sz val="8.0"/>
      </rPr>
      <t xml:space="preserve">대회 </t>
    </r>
    <r>
      <rPr>
        <rFont val="맑은 고딕"/>
        <i/>
        <color rgb="FF7F7F7F"/>
        <sz val="8.0"/>
      </rPr>
      <t>/ AI</t>
    </r>
    <r>
      <rPr>
        <rFont val="Noto Sans CJK SC"/>
        <i/>
        <color rgb="FF7F7F7F"/>
        <sz val="8.0"/>
      </rPr>
      <t xml:space="preserve">공모전 </t>
    </r>
    <r>
      <rPr>
        <rFont val="맑은 고딕"/>
        <i/>
        <color rgb="FF7F7F7F"/>
        <sz val="8.0"/>
      </rPr>
      <t>/ AI</t>
    </r>
    <r>
      <rPr>
        <rFont val="Noto Sans CJK SC"/>
        <i/>
        <color rgb="FF7F7F7F"/>
        <sz val="8.0"/>
      </rPr>
      <t>프로젝트</t>
    </r>
    <r>
      <rPr>
        <rFont val="맑은 고딕"/>
        <i/>
        <color rgb="FF7F7F7F"/>
        <sz val="8.0"/>
      </rPr>
      <t>]</t>
    </r>
  </si>
  <si>
    <r>
      <rPr>
        <rFont val="맑은 고딕"/>
        <i/>
        <color rgb="FF7F7F7F"/>
        <sz val="8.0"/>
      </rPr>
      <t>[</t>
    </r>
    <r>
      <rPr>
        <rFont val="Noto Sans CJK SC"/>
        <i/>
        <color rgb="FF7F7F7F"/>
        <sz val="8.0"/>
      </rPr>
      <t xml:space="preserve">교내 </t>
    </r>
    <r>
      <rPr>
        <rFont val="맑은 고딕"/>
        <i/>
        <color rgb="FF7F7F7F"/>
        <sz val="8.0"/>
      </rPr>
      <t xml:space="preserve">/ </t>
    </r>
    <r>
      <rPr>
        <rFont val="Noto Sans CJK SC"/>
        <i/>
        <color rgb="FF7F7F7F"/>
        <sz val="8.0"/>
      </rPr>
      <t xml:space="preserve">지역 </t>
    </r>
    <r>
      <rPr>
        <rFont val="맑은 고딕"/>
        <i/>
        <color rgb="FF7F7F7F"/>
        <sz val="8.0"/>
      </rPr>
      <t xml:space="preserve">/ </t>
    </r>
    <r>
      <rPr>
        <rFont val="Noto Sans CJK SC"/>
        <i/>
        <color rgb="FF7F7F7F"/>
        <sz val="8.0"/>
      </rPr>
      <t xml:space="preserve">전국 </t>
    </r>
    <r>
      <rPr>
        <rFont val="맑은 고딕"/>
        <i/>
        <color rgb="FF7F7F7F"/>
        <sz val="8.0"/>
      </rPr>
      <t xml:space="preserve">/ </t>
    </r>
    <r>
      <rPr>
        <rFont val="Noto Sans CJK SC"/>
        <i/>
        <color rgb="FF7F7F7F"/>
        <sz val="8.0"/>
      </rPr>
      <t>국제</t>
    </r>
    <r>
      <rPr>
        <rFont val="맑은 고딕"/>
        <i/>
        <color rgb="FF7F7F7F"/>
        <sz val="8.0"/>
      </rPr>
      <t>]</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</si>
  <si>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</si>
  <si>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Noto Sans CJK SC"/>
        <b/>
        <color rgb="FF000000"/>
        <sz val="9.0"/>
      </rPr>
      <t>단체 규모</t>
    </r>
    <r>
      <rPr>
        <rFont val="맑은 고딕"/>
        <b/>
        <color rgb="FF000000"/>
        <sz val="9.0"/>
      </rPr>
      <t>(</t>
    </r>
    <r>
      <rPr>
        <rFont val="Noto Sans CJK SC"/>
        <b/>
        <color rgb="FF000000"/>
        <sz val="9.0"/>
      </rPr>
      <t>명</t>
    </r>
    <r>
      <rPr>
        <rFont val="맑은 고딕"/>
        <b/>
        <color rgb="FF000000"/>
        <sz val="9.0"/>
      </rPr>
      <t>)</t>
    </r>
  </si>
  <si>
    <r>
      <rPr>
        <rFont val="Noto Sans CJK SC"/>
        <i/>
        <color rgb="FF7F7F7F"/>
        <sz val="8.0"/>
      </rPr>
      <t>출처</t>
    </r>
    <r>
      <rPr>
        <rFont val="맑은 고딕"/>
        <i/>
        <color rgb="FF7F7F7F"/>
        <sz val="8.0"/>
      </rPr>
      <t xml:space="preserve">: </t>
    </r>
    <r>
      <rPr>
        <rFont val="Noto Sans CJK SC"/>
        <i/>
        <color rgb="FF7F7F7F"/>
        <sz val="8.0"/>
      </rPr>
      <t>학생 등록</t>
    </r>
    <r>
      <rPr>
        <rFont val="맑은 고딕"/>
        <i/>
        <color rgb="FF7F7F7F"/>
        <sz val="8.0"/>
      </rPr>
      <t>(</t>
    </r>
    <r>
      <rPr>
        <rFont val="Noto Sans CJK SC"/>
        <i/>
        <color rgb="FF7F7F7F"/>
        <sz val="8.0"/>
      </rPr>
      <t>고용보험 자격이력 등</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커뮤니케이션 </t>
    </r>
    <r>
      <rPr>
        <rFont val="맑은 고딕"/>
        <i/>
        <color rgb="FF7F7F7F"/>
        <sz val="8.0"/>
      </rPr>
      <t xml:space="preserve">/ </t>
    </r>
    <r>
      <rPr>
        <rFont val="Noto Sans CJK SC"/>
        <i/>
        <color rgb="FF7F7F7F"/>
        <sz val="8.0"/>
      </rPr>
      <t xml:space="preserve">책임감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증빙 신뢰도 낮음 → 기간 위주 정량화 권장</t>
    </r>
  </si>
  <si>
    <r>
      <rPr>
        <rFont val="Noto Sans CJK SC"/>
        <b/>
        <color rgb="FF000000"/>
        <sz val="9.0"/>
      </rPr>
      <t>주요 활동</t>
    </r>
    <r>
      <rPr>
        <rFont val="맑은 고딕"/>
        <b/>
        <color rgb="FF000000"/>
        <sz val="9.0"/>
      </rPr>
      <t>·</t>
    </r>
    <r>
      <rPr>
        <rFont val="Noto Sans CJK SC"/>
        <b/>
        <color rgb="FF000000"/>
        <sz val="9.0"/>
      </rPr>
      <t>성과</t>
    </r>
  </si>
  <si>
    <r>
      <rPr>
        <rFont val="맑은 고딕"/>
        <i/>
        <color rgb="FF7F7F7F"/>
        <sz val="8.0"/>
      </rPr>
      <t>[</t>
    </r>
    <r>
      <rPr>
        <rFont val="Noto Sans CJK SC"/>
        <i/>
        <color rgb="FF7F7F7F"/>
        <sz val="8.0"/>
      </rPr>
      <t xml:space="preserve">동아리 </t>
    </r>
    <r>
      <rPr>
        <rFont val="맑은 고딕"/>
        <i/>
        <color rgb="FF7F7F7F"/>
        <sz val="8.0"/>
      </rPr>
      <t xml:space="preserve">/ </t>
    </r>
    <r>
      <rPr>
        <rFont val="Noto Sans CJK SC"/>
        <i/>
        <color rgb="FF7F7F7F"/>
        <sz val="8.0"/>
      </rPr>
      <t xml:space="preserve">학생회 </t>
    </r>
    <r>
      <rPr>
        <rFont val="맑은 고딕"/>
        <i/>
        <color rgb="FF7F7F7F"/>
        <sz val="8.0"/>
      </rPr>
      <t xml:space="preserve">/ </t>
    </r>
    <r>
      <rPr>
        <rFont val="Noto Sans CJK SC"/>
        <i/>
        <color rgb="FF7F7F7F"/>
        <sz val="8.0"/>
      </rPr>
      <t xml:space="preserve">학회 </t>
    </r>
    <r>
      <rPr>
        <rFont val="맑은 고딕"/>
        <i/>
        <color rgb="FF7F7F7F"/>
        <sz val="8.0"/>
      </rPr>
      <t xml:space="preserve">/ </t>
    </r>
    <r>
      <rPr>
        <rFont val="Noto Sans CJK SC"/>
        <i/>
        <color rgb="FF7F7F7F"/>
        <sz val="8.0"/>
      </rPr>
      <t>기타단체</t>
    </r>
    <r>
      <rPr>
        <rFont val="맑은 고딕"/>
        <i/>
        <color rgb="FF7F7F7F"/>
        <sz val="8.0"/>
      </rPr>
      <t>]</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</si>
  <si>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</si>
  <si>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맑은 고딕"/>
        <i/>
        <color rgb="FF7F7F7F"/>
        <sz val="8.0"/>
      </rPr>
      <t>[</t>
    </r>
    <r>
      <rPr>
        <rFont val="Noto Sans CJK SC"/>
        <i/>
        <color rgb="FF7F7F7F"/>
        <sz val="8.0"/>
      </rPr>
      <t xml:space="preserve">회장 </t>
    </r>
    <r>
      <rPr>
        <rFont val="맑은 고딕"/>
        <i/>
        <color rgb="FF7F7F7F"/>
        <sz val="8.0"/>
      </rPr>
      <t xml:space="preserve">/ </t>
    </r>
    <r>
      <rPr>
        <rFont val="Noto Sans CJK SC"/>
        <i/>
        <color rgb="FF7F7F7F"/>
        <sz val="8.0"/>
      </rPr>
      <t xml:space="preserve">부회장 </t>
    </r>
    <r>
      <rPr>
        <rFont val="맑은 고딕"/>
        <i/>
        <color rgb="FF7F7F7F"/>
        <sz val="8.0"/>
      </rPr>
      <t xml:space="preserve">/ </t>
    </r>
    <r>
      <rPr>
        <rFont val="Noto Sans CJK SC"/>
        <i/>
        <color rgb="FF7F7F7F"/>
        <sz val="8.0"/>
      </rPr>
      <t xml:space="preserve">부장 </t>
    </r>
    <r>
      <rPr>
        <rFont val="맑은 고딕"/>
        <i/>
        <color rgb="FF7F7F7F"/>
        <sz val="8.0"/>
      </rPr>
      <t xml:space="preserve">/ </t>
    </r>
    <r>
      <rPr>
        <rFont val="Noto Sans CJK SC"/>
        <i/>
        <color rgb="FF7F7F7F"/>
        <sz val="8.0"/>
      </rPr>
      <t xml:space="preserve">총무 </t>
    </r>
    <r>
      <rPr>
        <rFont val="맑은 고딕"/>
        <i/>
        <color rgb="FF7F7F7F"/>
        <sz val="8.0"/>
      </rPr>
      <t xml:space="preserve">/ </t>
    </r>
    <r>
      <rPr>
        <rFont val="Noto Sans CJK SC"/>
        <i/>
        <color rgb="FF7F7F7F"/>
        <sz val="8.0"/>
      </rPr>
      <t>부원</t>
    </r>
    <r>
      <rPr>
        <rFont val="맑은 고딕"/>
        <i/>
        <color rgb="FF7F7F7F"/>
        <sz val="8.0"/>
      </rPr>
      <t>]</t>
    </r>
  </si>
  <si>
    <r>
      <rPr>
        <rFont val="맑은 고딕"/>
        <i/>
        <color rgb="FF7F7F7F"/>
        <sz val="8.0"/>
      </rPr>
      <t>[</t>
    </r>
    <r>
      <rPr>
        <rFont val="Noto Sans CJK SC"/>
        <i/>
        <color rgb="FF7F7F7F"/>
        <sz val="8.0"/>
      </rPr>
      <t xml:space="preserve">고용보험 </t>
    </r>
    <r>
      <rPr>
        <rFont val="맑은 고딕"/>
        <i/>
        <color rgb="FF7F7F7F"/>
        <sz val="8.0"/>
      </rPr>
      <t xml:space="preserve">/ </t>
    </r>
    <r>
      <rPr>
        <rFont val="Noto Sans CJK SC"/>
        <i/>
        <color rgb="FF7F7F7F"/>
        <sz val="8.0"/>
      </rPr>
      <t>재직</t>
    </r>
    <r>
      <rPr>
        <rFont val="맑은 고딕"/>
        <i/>
        <color rgb="FF7F7F7F"/>
        <sz val="8.0"/>
      </rPr>
      <t>·</t>
    </r>
    <r>
      <rPr>
        <rFont val="Noto Sans CJK SC"/>
        <i/>
        <color rgb="FF7F7F7F"/>
        <sz val="8.0"/>
      </rPr>
      <t xml:space="preserve">경력증명 </t>
    </r>
    <r>
      <rPr>
        <rFont val="맑은 고딕"/>
        <i/>
        <color rgb="FF7F7F7F"/>
        <sz val="8.0"/>
      </rPr>
      <t xml:space="preserve">/ </t>
    </r>
    <r>
      <rPr>
        <rFont val="Noto Sans CJK SC"/>
        <i/>
        <color rgb="FF7F7F7F"/>
        <sz val="8.0"/>
      </rPr>
      <t>없음</t>
    </r>
    <r>
      <rPr>
        <rFont val="맑은 고딕"/>
        <i/>
        <color rgb="FF7F7F7F"/>
        <sz val="8.0"/>
      </rPr>
      <t>]</t>
    </r>
  </si>
  <si>
    <r>
      <rPr>
        <rFont val="맑은 고딕"/>
        <i/>
        <color rgb="FF7F7F7F"/>
        <sz val="8.0"/>
      </rPr>
      <t xml:space="preserve">YYYY-MM / </t>
    </r>
    <r>
      <rPr>
        <rFont val="Noto Sans CJK SC"/>
        <i/>
        <color rgb="FF7F7F7F"/>
        <sz val="8.0"/>
      </rPr>
      <t>진행중</t>
    </r>
  </si>
  <si>
    <t>홀서빙</t>
  </si>
  <si>
    <r>
      <rPr>
        <rFont val="맑은 고딕"/>
        <color rgb="FF1F3B8A"/>
        <sz val="10.0"/>
      </rPr>
      <t>6</t>
    </r>
    <r>
      <rPr>
        <rFont val="Noto Sans CJK SC"/>
        <color rgb="FF1F3B8A"/>
        <sz val="10.0"/>
      </rPr>
      <t>개월</t>
    </r>
  </si>
  <si>
    <r>
      <rPr>
        <rFont val="Noto Sans CJK SC"/>
        <i/>
        <color rgb="FF7F7F7F"/>
        <sz val="8.0"/>
      </rPr>
      <t>출처</t>
    </r>
    <r>
      <rPr>
        <rFont val="맑은 고딕"/>
        <i/>
        <color rgb="FF7F7F7F"/>
        <sz val="8.0"/>
      </rPr>
      <t xml:space="preserve">: </t>
    </r>
    <r>
      <rPr>
        <rFont val="Noto Sans CJK SC"/>
        <i/>
        <color rgb="FF7F7F7F"/>
        <sz val="8.0"/>
      </rPr>
      <t xml:space="preserve">학생 등록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 xml:space="preserve">-IT </t>
    </r>
    <r>
      <rPr>
        <rFont val="Noto Sans CJK SC"/>
        <i/>
        <color rgb="FF7F7F7F"/>
        <sz val="8.0"/>
      </rPr>
      <t>활용</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자원</t>
    </r>
    <r>
      <rPr>
        <rFont val="맑은 고딕"/>
        <i/>
        <color rgb="FF7F7F7F"/>
        <sz val="8.0"/>
      </rPr>
      <t>·</t>
    </r>
    <r>
      <rPr>
        <rFont val="Noto Sans CJK SC"/>
        <i/>
        <color rgb="FF7F7F7F"/>
        <sz val="8.0"/>
      </rPr>
      <t xml:space="preserve">정보기술활용 </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 xml:space="preserve">디지털리터러시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자격증별 </t>
    </r>
    <r>
      <rPr>
        <rFont val="맑은 고딕"/>
        <i/>
        <color rgb="FF7F7F7F"/>
        <sz val="8.0"/>
      </rPr>
      <t>'</t>
    </r>
    <r>
      <rPr>
        <rFont val="Noto Sans CJK SC"/>
        <i/>
        <color rgb="FF7F7F7F"/>
        <sz val="8.0"/>
      </rPr>
      <t>등급</t>
    </r>
    <r>
      <rPr>
        <rFont val="맑은 고딕"/>
        <i/>
        <color rgb="FF7F7F7F"/>
        <sz val="8.0"/>
      </rPr>
      <t>·</t>
    </r>
    <r>
      <rPr>
        <rFont val="Noto Sans CJK SC"/>
        <i/>
        <color rgb="FF7F7F7F"/>
        <sz val="8.0"/>
      </rPr>
      <t>난이도</t>
    </r>
    <r>
      <rPr>
        <rFont val="맑은 고딕"/>
        <i/>
        <color rgb="FF7F7F7F"/>
        <sz val="8.0"/>
      </rPr>
      <t xml:space="preserve">' </t>
    </r>
    <r>
      <rPr>
        <rFont val="Noto Sans CJK SC"/>
        <i/>
        <color rgb="FF7F7F7F"/>
        <sz val="8.0"/>
      </rPr>
      <t>매핑표 필요</t>
    </r>
  </si>
  <si>
    <r>
      <rPr>
        <rFont val="Noto Sans CJK SC"/>
        <b/>
        <color rgb="FF000000"/>
        <sz val="9.0"/>
      </rPr>
      <t>등급</t>
    </r>
    <r>
      <rPr>
        <rFont val="맑은 고딕"/>
        <b/>
        <color rgb="FF000000"/>
        <sz val="9.0"/>
      </rPr>
      <t>·</t>
    </r>
    <r>
      <rPr>
        <rFont val="Noto Sans CJK SC"/>
        <b/>
        <color rgb="FF000000"/>
        <sz val="9.0"/>
      </rPr>
      <t>급수</t>
    </r>
  </si>
  <si>
    <r>
      <rPr>
        <rFont val="Noto Sans CJK SC"/>
        <b/>
        <color rgb="FF000000"/>
        <sz val="11.0"/>
      </rPr>
      <t>진로설계</t>
    </r>
    <r>
      <rPr>
        <rFont val="맑은 고딕"/>
        <b/>
        <color rgb="FF000000"/>
        <sz val="11.0"/>
      </rPr>
      <t>·</t>
    </r>
    <r>
      <rPr>
        <rFont val="Noto Sans CJK SC"/>
        <b/>
        <color rgb="FF000000"/>
        <sz val="11.0"/>
      </rPr>
      <t>취업상담</t>
    </r>
  </si>
  <si>
    <r>
      <rPr>
        <rFont val="맑은 고딕"/>
        <color rgb="FF1F3B8A"/>
        <sz val="10.0"/>
      </rPr>
      <t>2</t>
    </r>
    <r>
      <rPr>
        <rFont val="Noto Sans CJK SC"/>
        <color rgb="FF1F3B8A"/>
        <sz val="10.0"/>
      </rPr>
      <t>급</t>
    </r>
  </si>
  <si>
    <t>2024-08-30</t>
  </si>
  <si>
    <r>
      <rPr>
        <rFont val="Noto Sans CJK SC"/>
        <b/>
        <color rgb="FF000000"/>
        <sz val="11.0"/>
      </rPr>
      <t>전문직</t>
    </r>
    <r>
      <rPr>
        <rFont val="맑은 고딕"/>
        <b/>
        <color rgb="FF000000"/>
        <sz val="11.0"/>
      </rPr>
      <t>·</t>
    </r>
    <r>
      <rPr>
        <rFont val="Noto Sans CJK SC"/>
        <b/>
        <color rgb="FF000000"/>
        <sz val="11.0"/>
      </rPr>
      <t>공직 시험</t>
    </r>
  </si>
  <si>
    <r>
      <rPr>
        <rFont val="Noto Sans CJK SC"/>
        <i/>
        <color rgb="FF7F7F7F"/>
        <sz val="8.0"/>
      </rPr>
      <t>출처</t>
    </r>
    <r>
      <rPr>
        <rFont val="맑은 고딕"/>
        <i/>
        <color rgb="FF7F7F7F"/>
        <sz val="8.0"/>
      </rPr>
      <t xml:space="preserve">: </t>
    </r>
    <r>
      <rPr>
        <rFont val="Noto Sans CJK SC"/>
        <i/>
        <color rgb="FF7F7F7F"/>
        <sz val="8.0"/>
      </rPr>
      <t xml:space="preserve">경력개발 </t>
    </r>
    <r>
      <rPr>
        <rFont val="맑은 고딕"/>
        <i/>
        <color rgb="FF7F7F7F"/>
        <sz val="8.0"/>
      </rPr>
      <t xml:space="preserve">· </t>
    </r>
    <r>
      <rPr>
        <rFont val="Noto Sans CJK SC"/>
        <i/>
        <color rgb="FF7F7F7F"/>
        <sz val="8.0"/>
      </rPr>
      <t xml:space="preserve">상담 시스템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자기관리</t>
    </r>
    <r>
      <rPr>
        <rFont val="맑은 고딕"/>
        <i/>
        <color rgb="FF7F7F7F"/>
        <sz val="8.0"/>
      </rPr>
      <t>(</t>
    </r>
    <r>
      <rPr>
        <rFont val="Noto Sans CJK SC"/>
        <i/>
        <color rgb="FF7F7F7F"/>
        <sz val="8.0"/>
      </rPr>
      <t>계획 수립</t>
    </r>
    <r>
      <rPr>
        <rFont val="맑은 고딕"/>
        <i/>
        <color rgb="FF7F7F7F"/>
        <sz val="8.0"/>
      </rPr>
      <t xml:space="preserve">) /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t>
    </r>
    <r>
      <rPr>
        <rFont val="Noto Sans CJK SC"/>
        <i/>
        <color rgb="FF7F7F7F"/>
        <sz val="8.0"/>
      </rPr>
      <t>계획 수립 및 실행 능력</t>
    </r>
    <r>
      <rPr>
        <rFont val="맑은 고딕"/>
        <i/>
        <color rgb="FF7F7F7F"/>
        <sz val="8.0"/>
      </rPr>
      <t>'</t>
    </r>
    <r>
      <rPr>
        <rFont val="Noto Sans CJK SC"/>
        <i/>
        <color rgb="FF7F7F7F"/>
        <sz val="8.0"/>
      </rPr>
      <t xml:space="preserve">의 근거가 </t>
    </r>
    <r>
      <rPr>
        <rFont val="맑은 고딕"/>
        <i/>
        <color rgb="FF7F7F7F"/>
        <sz val="8.0"/>
      </rPr>
      <t xml:space="preserve">LMS </t>
    </r>
    <r>
      <rPr>
        <rFont val="Noto Sans CJK SC"/>
        <i/>
        <color rgb="FF7F7F7F"/>
        <sz val="8.0"/>
      </rPr>
      <t>하나뿐인 공백 보완</t>
    </r>
  </si>
  <si>
    <r>
      <rPr>
        <rFont val="Noto Sans CJK SC"/>
        <b/>
        <color rgb="FF000000"/>
        <sz val="10.0"/>
      </rPr>
      <t>진로</t>
    </r>
    <r>
      <rPr>
        <rFont val="맑은 고딕"/>
        <b/>
        <color rgb="FF000000"/>
        <sz val="10.0"/>
      </rPr>
      <t>·</t>
    </r>
    <r>
      <rPr>
        <rFont val="Noto Sans CJK SC"/>
        <b/>
        <color rgb="FF000000"/>
        <sz val="10.0"/>
      </rPr>
      <t>취업 상담 횟수</t>
    </r>
    <r>
      <rPr>
        <rFont val="맑은 고딕"/>
        <b/>
        <color rgb="FF000000"/>
        <sz val="10.0"/>
      </rPr>
      <t>(</t>
    </r>
    <r>
      <rPr>
        <rFont val="Noto Sans CJK SC"/>
        <b/>
        <color rgb="FF000000"/>
        <sz val="10.0"/>
      </rPr>
      <t>누적</t>
    </r>
    <r>
      <rPr>
        <rFont val="맑은 고딕"/>
        <b/>
        <color rgb="FF000000"/>
        <sz val="10.0"/>
      </rPr>
      <t>)</t>
    </r>
  </si>
  <si>
    <r>
      <rPr>
        <rFont val="Noto Sans CJK SC"/>
        <b/>
        <color rgb="FF000000"/>
        <sz val="10.0"/>
      </rPr>
      <t>희망 직무</t>
    </r>
    <r>
      <rPr>
        <rFont val="맑은 고딕"/>
        <b/>
        <color rgb="FF000000"/>
        <sz val="10.0"/>
      </rPr>
      <t>·</t>
    </r>
    <r>
      <rPr>
        <rFont val="Noto Sans CJK SC"/>
        <b/>
        <color rgb="FF000000"/>
        <sz val="10.0"/>
      </rPr>
      <t>분야</t>
    </r>
  </si>
  <si>
    <r>
      <rPr>
        <rFont val="Noto Sans CJK SC"/>
        <color rgb="FF1F3B8A"/>
        <sz val="10.0"/>
      </rPr>
      <t>금융권</t>
    </r>
    <r>
      <rPr>
        <rFont val="맑은 고딕"/>
        <color rgb="FF1F3B8A"/>
        <sz val="10.0"/>
      </rPr>
      <t>?</t>
    </r>
  </si>
  <si>
    <t>아직 고민 중이지만 외국계 금융사에 관심 있음</t>
  </si>
  <si>
    <r>
      <rPr>
        <rFont val="맑은 고딕"/>
        <color rgb="FF7F7F7F"/>
        <sz val="9.0"/>
      </rPr>
      <t>1~3</t>
    </r>
    <r>
      <rPr>
        <rFont val="Noto Sans CJK SC"/>
        <color rgb="FF7F7F7F"/>
        <sz val="9.0"/>
      </rPr>
      <t>문장</t>
    </r>
  </si>
  <si>
    <r>
      <rPr>
        <rFont val="Noto Sans CJK SC"/>
        <i/>
        <color rgb="FF7F7F7F"/>
        <sz val="8.0"/>
      </rPr>
      <t>출처</t>
    </r>
    <r>
      <rPr>
        <rFont val="맑은 고딕"/>
        <i/>
        <color rgb="FF7F7F7F"/>
        <sz val="8.0"/>
      </rPr>
      <t xml:space="preserve">: </t>
    </r>
    <r>
      <rPr>
        <rFont val="Noto Sans CJK SC"/>
        <i/>
        <color rgb="FF7F7F7F"/>
        <sz val="8.0"/>
      </rPr>
      <t xml:space="preserve">학생 등록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자원</t>
    </r>
    <r>
      <rPr>
        <rFont val="맑은 고딕"/>
        <i/>
        <color rgb="FF7F7F7F"/>
        <sz val="8.0"/>
      </rPr>
      <t>·</t>
    </r>
    <r>
      <rPr>
        <rFont val="Noto Sans CJK SC"/>
        <i/>
        <color rgb="FF7F7F7F"/>
        <sz val="8.0"/>
      </rPr>
      <t xml:space="preserve">정보기술활용 </t>
    </r>
    <r>
      <rPr>
        <rFont val="맑은 고딕"/>
        <i/>
        <color rgb="FF7F7F7F"/>
        <sz val="8.0"/>
      </rPr>
      <t xml:space="preserve">/ </t>
    </r>
    <r>
      <rPr>
        <rFont val="Noto Sans CJK SC"/>
        <i/>
        <color rgb="FF7F7F7F"/>
        <sz val="8.0"/>
      </rPr>
      <t xml:space="preserve">디지털리터러시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자기 서술 위주 → 정성 판단 </t>
    </r>
    <r>
      <rPr>
        <rFont val="맑은 고딕"/>
        <i/>
        <color rgb="FF7F7F7F"/>
        <sz val="8.0"/>
      </rPr>
      <t xml:space="preserve">+ </t>
    </r>
    <r>
      <rPr>
        <rFont val="Noto Sans CJK SC"/>
        <i/>
        <color rgb="FF7F7F7F"/>
        <sz val="8.0"/>
      </rPr>
      <t>낮은 가중치 권장</t>
    </r>
  </si>
  <si>
    <r>
      <rPr>
        <rFont val="Noto Sans CJK SC"/>
        <b/>
        <color rgb="FFFFFFFF"/>
        <sz val="11.0"/>
      </rPr>
      <t>■ 창의</t>
    </r>
    <r>
      <rPr>
        <rFont val="맑은 고딕"/>
        <b/>
        <color rgb="FFFFFFFF"/>
        <sz val="11.0"/>
      </rPr>
      <t>·</t>
    </r>
    <r>
      <rPr>
        <rFont val="Noto Sans CJK SC"/>
        <b/>
        <color rgb="FFFFFFFF"/>
        <sz val="11.0"/>
      </rPr>
      <t>도전</t>
    </r>
  </si>
  <si>
    <r>
      <rPr>
        <rFont val="Noto Sans CJK SC"/>
        <b/>
        <color rgb="FF000000"/>
        <sz val="11.0"/>
      </rPr>
      <t>공모전 참가</t>
    </r>
    <r>
      <rPr>
        <rFont val="맑은 고딕"/>
        <b/>
        <color rgb="FF000000"/>
        <sz val="11.0"/>
      </rPr>
      <t>·</t>
    </r>
    <r>
      <rPr>
        <rFont val="Noto Sans CJK SC"/>
        <b/>
        <color rgb="FF000000"/>
        <sz val="11.0"/>
      </rPr>
      <t>수상</t>
    </r>
  </si>
  <si>
    <r>
      <rPr>
        <rFont val="맑은 고딕"/>
        <i/>
        <color rgb="FF7F7F7F"/>
        <sz val="8.0"/>
      </rPr>
      <t>[</t>
    </r>
    <r>
      <rPr>
        <rFont val="Noto Sans CJK SC"/>
        <i/>
        <color rgb="FF7F7F7F"/>
        <sz val="8.0"/>
      </rPr>
      <t xml:space="preserve">기초 </t>
    </r>
    <r>
      <rPr>
        <rFont val="맑은 고딕"/>
        <i/>
        <color rgb="FF7F7F7F"/>
        <sz val="8.0"/>
      </rPr>
      <t xml:space="preserve">/ </t>
    </r>
    <r>
      <rPr>
        <rFont val="Noto Sans CJK SC"/>
        <i/>
        <color rgb="FF7F7F7F"/>
        <sz val="8.0"/>
      </rPr>
      <t xml:space="preserve">활용 </t>
    </r>
    <r>
      <rPr>
        <rFont val="맑은 고딕"/>
        <i/>
        <color rgb="FF7F7F7F"/>
        <sz val="8.0"/>
      </rPr>
      <t xml:space="preserve">/ </t>
    </r>
    <r>
      <rPr>
        <rFont val="Noto Sans CJK SC"/>
        <i/>
        <color rgb="FF7F7F7F"/>
        <sz val="8.0"/>
      </rPr>
      <t>능숙</t>
    </r>
    <r>
      <rPr>
        <rFont val="맑은 고딕"/>
        <i/>
        <color rgb="FF7F7F7F"/>
        <sz val="8.0"/>
      </rPr>
      <t>]</t>
    </r>
  </si>
  <si>
    <r>
      <rPr>
        <rFont val="Noto Sans CJK SC"/>
        <i/>
        <color rgb="FF7F7F7F"/>
        <sz val="8.0"/>
      </rPr>
      <t>출처</t>
    </r>
    <r>
      <rPr>
        <rFont val="맑은 고딕"/>
        <i/>
        <color rgb="FF7F7F7F"/>
        <sz val="8.0"/>
      </rPr>
      <t>: 1365 · 3</t>
    </r>
    <r>
      <rPr>
        <rFont val="Noto Sans CJK SC"/>
        <i/>
        <color rgb="FF7F7F7F"/>
        <sz val="8.0"/>
      </rPr>
      <t>품</t>
    </r>
    <r>
      <rPr>
        <rFont val="맑은 고딕"/>
        <i/>
        <color rgb="FF7F7F7F"/>
        <sz val="8.0"/>
      </rPr>
      <t>(</t>
    </r>
    <r>
      <rPr>
        <rFont val="Noto Sans CJK SC"/>
        <i/>
        <color rgb="FF7F7F7F"/>
        <sz val="8.0"/>
      </rPr>
      <t>인성</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대인관계 </t>
    </r>
    <r>
      <rPr>
        <rFont val="맑은 고딕"/>
        <i/>
        <color rgb="FF7F7F7F"/>
        <sz val="8.0"/>
      </rPr>
      <t xml:space="preserve">/ </t>
    </r>
    <r>
      <rPr>
        <rFont val="Noto Sans CJK SC"/>
        <i/>
        <color rgb="FF7F7F7F"/>
        <sz val="8.0"/>
      </rPr>
      <t xml:space="preserve">리더십 </t>
    </r>
    <r>
      <rPr>
        <rFont val="맑은 고딕"/>
        <i/>
        <color rgb="FF7F7F7F"/>
        <sz val="8.0"/>
      </rPr>
      <t xml:space="preserve">/ </t>
    </r>
    <r>
      <rPr>
        <rFont val="Noto Sans CJK SC"/>
        <i/>
        <color rgb="FF7F7F7F"/>
        <sz val="8.0"/>
      </rPr>
      <t xml:space="preserve">문화적수용능력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학년 보정</t>
    </r>
    <r>
      <rPr>
        <rFont val="맑은 고딕"/>
        <i/>
        <color rgb="FF7F7F7F"/>
        <sz val="8.0"/>
      </rPr>
      <t>(</t>
    </r>
    <r>
      <rPr>
        <rFont val="Noto Sans CJK SC"/>
        <i/>
        <color rgb="FF7F7F7F"/>
        <sz val="8.0"/>
      </rPr>
      <t>학기당 시간</t>
    </r>
    <r>
      <rPr>
        <rFont val="맑은 고딕"/>
        <i/>
        <color rgb="FF7F7F7F"/>
        <sz val="8.0"/>
      </rPr>
      <t xml:space="preserve">) </t>
    </r>
    <r>
      <rPr>
        <rFont val="Noto Sans CJK SC"/>
        <i/>
        <color rgb="FF7F7F7F"/>
        <sz val="8.0"/>
      </rPr>
      <t>필요</t>
    </r>
  </si>
  <si>
    <r>
      <rPr>
        <rFont val="Noto Sans CJK SC"/>
        <b/>
        <color rgb="FF000000"/>
        <sz val="10.0"/>
      </rPr>
      <t>총 봉사시간</t>
    </r>
    <r>
      <rPr>
        <rFont val="맑은 고딕"/>
        <b/>
        <color rgb="FF000000"/>
        <sz val="10.0"/>
      </rPr>
      <t>(h)</t>
    </r>
  </si>
  <si>
    <t>프로그래밍 과제 제출</t>
  </si>
  <si>
    <r>
      <rPr>
        <rFont val="맑은 고딕"/>
        <color rgb="FF7F7F7F"/>
        <sz val="9.0"/>
      </rPr>
      <t xml:space="preserve">1365 </t>
    </r>
    <r>
      <rPr>
        <rFont val="Noto Sans CJK SC"/>
        <color rgb="FF7F7F7F"/>
        <sz val="9.0"/>
      </rPr>
      <t>등 인증 시간 합계</t>
    </r>
  </si>
  <si>
    <r>
      <rPr>
        <rFont val="Noto Sans CJK SC"/>
        <b/>
        <color rgb="FF000000"/>
        <sz val="9.0"/>
      </rPr>
      <t>기관</t>
    </r>
    <r>
      <rPr>
        <rFont val="맑은 고딕"/>
        <b/>
        <color rgb="FF000000"/>
        <sz val="9.0"/>
      </rPr>
      <t>·</t>
    </r>
    <r>
      <rPr>
        <rFont val="Noto Sans CJK SC"/>
        <b/>
        <color rgb="FF000000"/>
        <sz val="9.0"/>
      </rPr>
      <t>내용</t>
    </r>
  </si>
  <si>
    <r>
      <rPr>
        <rFont val="Noto Sans CJK SC"/>
        <b/>
        <color rgb="FF000000"/>
        <sz val="9.0"/>
      </rPr>
      <t>시간</t>
    </r>
    <r>
      <rPr>
        <rFont val="맑은 고딕"/>
        <b/>
        <color rgb="FF000000"/>
        <sz val="9.0"/>
      </rPr>
      <t>(h)</t>
    </r>
  </si>
  <si>
    <r>
      <rPr>
        <rFont val="Noto Sans CJK SC"/>
        <i/>
        <color rgb="FF7F7F7F"/>
        <sz val="8.0"/>
      </rPr>
      <t>출처</t>
    </r>
    <r>
      <rPr>
        <rFont val="맑은 고딕"/>
        <i/>
        <color rgb="FF7F7F7F"/>
        <sz val="8.0"/>
      </rPr>
      <t xml:space="preserve">: </t>
    </r>
    <r>
      <rPr>
        <rFont val="Noto Sans CJK SC"/>
        <i/>
        <color rgb="FF7F7F7F"/>
        <sz val="8.0"/>
      </rPr>
      <t xml:space="preserve">비교과 시스템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창의 </t>
    </r>
    <r>
      <rPr>
        <rFont val="맑은 고딕"/>
        <i/>
        <color rgb="FF7F7F7F"/>
        <sz val="8.0"/>
      </rPr>
      <t xml:space="preserve">/ </t>
    </r>
    <r>
      <rPr>
        <rFont val="Noto Sans CJK SC"/>
        <i/>
        <color rgb="FF7F7F7F"/>
        <sz val="8.0"/>
      </rPr>
      <t xml:space="preserve">종합적사고력 </t>
    </r>
    <r>
      <rPr>
        <rFont val="맑은 고딕"/>
        <i/>
        <color rgb="FF7F7F7F"/>
        <sz val="8.0"/>
      </rPr>
      <t xml:space="preserve">/ </t>
    </r>
    <r>
      <rPr>
        <rFont val="Noto Sans CJK SC"/>
        <i/>
        <color rgb="FF7F7F7F"/>
        <sz val="8.0"/>
      </rPr>
      <t xml:space="preserve">문제해결력 </t>
    </r>
    <r>
      <rPr>
        <rFont val="맑은 고딕"/>
        <i/>
        <color rgb="FF7F7F7F"/>
        <sz val="8.0"/>
      </rPr>
      <t xml:space="preserve">/ </t>
    </r>
    <r>
      <rPr>
        <rFont val="Noto Sans CJK SC"/>
        <i/>
        <color rgb="FF7F7F7F"/>
        <sz val="8.0"/>
      </rPr>
      <t xml:space="preserve">도전정신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수상 등급 </t>
    </r>
    <r>
      <rPr>
        <rFont val="맑은 고딕"/>
        <i/>
        <color rgb="FF7F7F7F"/>
        <sz val="8.0"/>
      </rPr>
      <t xml:space="preserve">× </t>
    </r>
    <r>
      <rPr>
        <rFont val="Noto Sans CJK SC"/>
        <i/>
        <color rgb="FF7F7F7F"/>
        <sz val="8.0"/>
      </rPr>
      <t>주관 수준</t>
    </r>
    <r>
      <rPr>
        <rFont val="맑은 고딕"/>
        <i/>
        <color rgb="FF7F7F7F"/>
        <sz val="8.0"/>
      </rPr>
      <t>(</t>
    </r>
    <r>
      <rPr>
        <rFont val="Noto Sans CJK SC"/>
        <i/>
        <color rgb="FF7F7F7F"/>
        <sz val="8.0"/>
      </rPr>
      <t>교내</t>
    </r>
    <r>
      <rPr>
        <rFont val="맑은 고딕"/>
        <i/>
        <color rgb="FF7F7F7F"/>
        <sz val="8.0"/>
      </rPr>
      <t>·</t>
    </r>
    <r>
      <rPr>
        <rFont val="Noto Sans CJK SC"/>
        <i/>
        <color rgb="FF7F7F7F"/>
        <sz val="8.0"/>
      </rPr>
      <t>전국</t>
    </r>
    <r>
      <rPr>
        <rFont val="맑은 고딕"/>
        <i/>
        <color rgb="FF7F7F7F"/>
        <sz val="8.0"/>
      </rPr>
      <t>·</t>
    </r>
    <r>
      <rPr>
        <rFont val="Noto Sans CJK SC"/>
        <i/>
        <color rgb="FF7F7F7F"/>
        <sz val="8.0"/>
      </rPr>
      <t>국제</t>
    </r>
    <r>
      <rPr>
        <rFont val="맑은 고딕"/>
        <i/>
        <color rgb="FF7F7F7F"/>
        <sz val="8.0"/>
      </rPr>
      <t xml:space="preserve">) </t>
    </r>
    <r>
      <rPr>
        <rFont val="Noto Sans CJK SC"/>
        <i/>
        <color rgb="FF7F7F7F"/>
        <sz val="8.0"/>
      </rPr>
      <t>매핑 필요</t>
    </r>
  </si>
  <si>
    <r>
      <rPr>
        <rFont val="Noto Sans CJK SC"/>
        <b/>
        <color rgb="FFFFFFFF"/>
        <sz val="11.0"/>
      </rPr>
      <t>■ 공동체</t>
    </r>
    <r>
      <rPr>
        <rFont val="맑은 고딕"/>
        <b/>
        <color rgb="FFFFFFFF"/>
        <sz val="11.0"/>
      </rPr>
      <t>·</t>
    </r>
    <r>
      <rPr>
        <rFont val="Noto Sans CJK SC"/>
        <b/>
        <color rgb="FFFFFFFF"/>
        <sz val="11.0"/>
      </rPr>
      <t>리더십</t>
    </r>
  </si>
  <si>
    <r>
      <rPr>
        <rFont val="맑은 고딕"/>
        <i/>
        <color rgb="FF7F7F7F"/>
        <sz val="8.0"/>
      </rPr>
      <t>[</t>
    </r>
    <r>
      <rPr>
        <rFont val="Noto Sans CJK SC"/>
        <i/>
        <color rgb="FF7F7F7F"/>
        <sz val="8.0"/>
      </rPr>
      <t xml:space="preserve">교내 </t>
    </r>
    <r>
      <rPr>
        <rFont val="맑은 고딕"/>
        <i/>
        <color rgb="FF7F7F7F"/>
        <sz val="8.0"/>
      </rPr>
      <t xml:space="preserve">/ </t>
    </r>
    <r>
      <rPr>
        <rFont val="Noto Sans CJK SC"/>
        <i/>
        <color rgb="FF7F7F7F"/>
        <sz val="8.0"/>
      </rPr>
      <t>교외</t>
    </r>
    <r>
      <rPr>
        <rFont val="맑은 고딕"/>
        <i/>
        <color rgb="FF7F7F7F"/>
        <sz val="8.0"/>
      </rPr>
      <t>(</t>
    </r>
    <r>
      <rPr>
        <rFont val="Noto Sans CJK SC"/>
        <i/>
        <color rgb="FF7F7F7F"/>
        <sz val="8.0"/>
      </rPr>
      <t>국내</t>
    </r>
    <r>
      <rPr>
        <rFont val="맑은 고딕"/>
        <i/>
        <color rgb="FF7F7F7F"/>
        <sz val="8.0"/>
      </rPr>
      <t xml:space="preserve">) / </t>
    </r>
    <r>
      <rPr>
        <rFont val="Noto Sans CJK SC"/>
        <i/>
        <color rgb="FF7F7F7F"/>
        <sz val="8.0"/>
      </rPr>
      <t xml:space="preserve">국외 </t>
    </r>
    <r>
      <rPr>
        <rFont val="맑은 고딕"/>
        <i/>
        <color rgb="FF7F7F7F"/>
        <sz val="8.0"/>
      </rPr>
      <t xml:space="preserve">/ </t>
    </r>
    <r>
      <rPr>
        <rFont val="Noto Sans CJK SC"/>
        <i/>
        <color rgb="FF7F7F7F"/>
        <sz val="8.0"/>
      </rPr>
      <t>유학생 봉사</t>
    </r>
    <r>
      <rPr>
        <rFont val="맑은 고딕"/>
        <i/>
        <color rgb="FF7F7F7F"/>
        <sz val="8.0"/>
      </rPr>
      <t>]</t>
    </r>
  </si>
  <si>
    <r>
      <rPr>
        <rFont val="Noto Sans CJK SC"/>
        <i/>
        <color rgb="FF7F7F7F"/>
        <sz val="8.0"/>
      </rPr>
      <t>출처</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t>
    </r>
    <r>
      <rPr>
        <rFont val="Noto Sans CJK SC"/>
        <i/>
        <color rgb="FF7F7F7F"/>
        <sz val="8.0"/>
      </rPr>
      <t>진로개발</t>
    </r>
    <r>
      <rPr>
        <rFont val="맑은 고딕"/>
        <i/>
        <color rgb="FF7F7F7F"/>
        <sz val="8.0"/>
      </rPr>
      <t xml:space="preserve">) </t>
    </r>
    <r>
      <rPr>
        <rFont val="Noto Sans CJK SC"/>
        <i/>
        <color rgb="FF7F7F7F"/>
        <sz val="8.0"/>
      </rPr>
      <t xml:space="preserve">인증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 xml:space="preserve">도전정신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단계</t>
    </r>
    <r>
      <rPr>
        <rFont val="맑은 고딕"/>
        <i/>
        <color rgb="FF7F7F7F"/>
        <sz val="8.0"/>
      </rPr>
      <t>(1</t>
    </r>
    <r>
      <rPr>
        <rFont val="Noto Sans CJK SC"/>
        <i/>
        <color rgb="FF7F7F7F"/>
        <sz val="8.0"/>
      </rPr>
      <t>차</t>
    </r>
    <r>
      <rPr>
        <rFont val="맑은 고딕"/>
        <i/>
        <color rgb="FF7F7F7F"/>
        <sz val="8.0"/>
      </rPr>
      <t>·</t>
    </r>
    <r>
      <rPr>
        <rFont val="Noto Sans CJK SC"/>
        <i/>
        <color rgb="FF7F7F7F"/>
        <sz val="8.0"/>
      </rPr>
      <t>최종</t>
    </r>
    <r>
      <rPr>
        <rFont val="맑은 고딕"/>
        <i/>
        <color rgb="FF7F7F7F"/>
        <sz val="8.0"/>
      </rPr>
      <t xml:space="preserve">) </t>
    </r>
    <r>
      <rPr>
        <rFont val="Noto Sans CJK SC"/>
        <i/>
        <color rgb="FF7F7F7F"/>
        <sz val="8.0"/>
      </rPr>
      <t>구분</t>
    </r>
  </si>
  <si>
    <r>
      <rPr>
        <rFont val="맑은 고딕"/>
        <i/>
        <color rgb="FF7F7F7F"/>
        <sz val="8.0"/>
      </rPr>
      <t>[</t>
    </r>
    <r>
      <rPr>
        <rFont val="Noto Sans CJK SC"/>
        <i/>
        <color rgb="FF7F7F7F"/>
        <sz val="8.0"/>
      </rPr>
      <t xml:space="preserve">교내 </t>
    </r>
    <r>
      <rPr>
        <rFont val="맑은 고딕"/>
        <i/>
        <color rgb="FF7F7F7F"/>
        <sz val="8.0"/>
      </rPr>
      <t xml:space="preserve">/ </t>
    </r>
    <r>
      <rPr>
        <rFont val="Noto Sans CJK SC"/>
        <i/>
        <color rgb="FF7F7F7F"/>
        <sz val="8.0"/>
      </rPr>
      <t xml:space="preserve">지역 </t>
    </r>
    <r>
      <rPr>
        <rFont val="맑은 고딕"/>
        <i/>
        <color rgb="FF7F7F7F"/>
        <sz val="8.0"/>
      </rPr>
      <t xml:space="preserve">/ </t>
    </r>
    <r>
      <rPr>
        <rFont val="Noto Sans CJK SC"/>
        <i/>
        <color rgb="FF7F7F7F"/>
        <sz val="8.0"/>
      </rPr>
      <t xml:space="preserve">전국 </t>
    </r>
    <r>
      <rPr>
        <rFont val="맑은 고딕"/>
        <i/>
        <color rgb="FF7F7F7F"/>
        <sz val="8.0"/>
      </rPr>
      <t xml:space="preserve">/ </t>
    </r>
    <r>
      <rPr>
        <rFont val="Noto Sans CJK SC"/>
        <i/>
        <color rgb="FF7F7F7F"/>
        <sz val="8.0"/>
      </rPr>
      <t>국제</t>
    </r>
    <r>
      <rPr>
        <rFont val="맑은 고딕"/>
        <i/>
        <color rgb="FF7F7F7F"/>
        <sz val="8.0"/>
      </rPr>
      <t>]</t>
    </r>
  </si>
  <si>
    <r>
      <rPr>
        <rFont val="맑은 고딕"/>
        <i/>
        <color rgb="FF7F7F7F"/>
        <sz val="8.0"/>
      </rPr>
      <t>[</t>
    </r>
    <r>
      <rPr>
        <rFont val="Noto Sans CJK SC"/>
        <i/>
        <color rgb="FF7F7F7F"/>
        <sz val="8.0"/>
      </rPr>
      <t xml:space="preserve">참가 </t>
    </r>
    <r>
      <rPr>
        <rFont val="맑은 고딕"/>
        <i/>
        <color rgb="FF7F7F7F"/>
        <sz val="8.0"/>
      </rPr>
      <t xml:space="preserve">/ </t>
    </r>
    <r>
      <rPr>
        <rFont val="Noto Sans CJK SC"/>
        <i/>
        <color rgb="FF7F7F7F"/>
        <sz val="8.0"/>
      </rPr>
      <t xml:space="preserve">입선 </t>
    </r>
    <r>
      <rPr>
        <rFont val="맑은 고딕"/>
        <i/>
        <color rgb="FF7F7F7F"/>
        <sz val="8.0"/>
      </rPr>
      <t xml:space="preserve">/ </t>
    </r>
    <r>
      <rPr>
        <rFont val="Noto Sans CJK SC"/>
        <i/>
        <color rgb="FF7F7F7F"/>
        <sz val="8.0"/>
      </rPr>
      <t xml:space="preserve">장려 </t>
    </r>
    <r>
      <rPr>
        <rFont val="맑은 고딕"/>
        <i/>
        <color rgb="FF7F7F7F"/>
        <sz val="8.0"/>
      </rPr>
      <t xml:space="preserve">/ </t>
    </r>
    <r>
      <rPr>
        <rFont val="Noto Sans CJK SC"/>
        <i/>
        <color rgb="FF7F7F7F"/>
        <sz val="8.0"/>
      </rPr>
      <t xml:space="preserve">우수 </t>
    </r>
    <r>
      <rPr>
        <rFont val="맑은 고딕"/>
        <i/>
        <color rgb="FF7F7F7F"/>
        <sz val="8.0"/>
      </rPr>
      <t xml:space="preserve">/ </t>
    </r>
    <r>
      <rPr>
        <rFont val="Noto Sans CJK SC"/>
        <i/>
        <color rgb="FF7F7F7F"/>
        <sz val="8.0"/>
      </rPr>
      <t xml:space="preserve">최우수 </t>
    </r>
    <r>
      <rPr>
        <rFont val="맑은 고딕"/>
        <i/>
        <color rgb="FF7F7F7F"/>
        <sz val="8.0"/>
      </rPr>
      <t xml:space="preserve">/ </t>
    </r>
    <r>
      <rPr>
        <rFont val="Noto Sans CJK SC"/>
        <i/>
        <color rgb="FF7F7F7F"/>
        <sz val="8.0"/>
      </rPr>
      <t>대상</t>
    </r>
    <r>
      <rPr>
        <rFont val="맑은 고딕"/>
        <i/>
        <color rgb="FF7F7F7F"/>
        <sz val="8.0"/>
      </rPr>
      <t>]</t>
    </r>
  </si>
  <si>
    <r>
      <rPr>
        <rFont val="Noto Sans CJK SC"/>
        <b/>
        <color rgb="FF000000"/>
        <sz val="11.0"/>
      </rPr>
      <t>동아리</t>
    </r>
    <r>
      <rPr>
        <rFont val="맑은 고딕"/>
        <b/>
        <color rgb="FF000000"/>
        <sz val="11.0"/>
      </rPr>
      <t>·</t>
    </r>
    <r>
      <rPr>
        <rFont val="Noto Sans CJK SC"/>
        <b/>
        <color rgb="FF000000"/>
        <sz val="11.0"/>
      </rPr>
      <t>학생회 활동</t>
    </r>
  </si>
  <si>
    <r>
      <rPr>
        <rFont val="맑은 고딕"/>
        <i/>
        <color rgb="FF7F7F7F"/>
        <sz val="8.0"/>
      </rPr>
      <t>[</t>
    </r>
    <r>
      <rPr>
        <rFont val="Noto Sans CJK SC"/>
        <i/>
        <color rgb="FF7F7F7F"/>
        <sz val="8.0"/>
      </rPr>
      <t xml:space="preserve">개인 </t>
    </r>
    <r>
      <rPr>
        <rFont val="맑은 고딕"/>
        <i/>
        <color rgb="FF7F7F7F"/>
        <sz val="8.0"/>
      </rPr>
      <t xml:space="preserve">/ </t>
    </r>
    <r>
      <rPr>
        <rFont val="Noto Sans CJK SC"/>
        <i/>
        <color rgb="FF7F7F7F"/>
        <sz val="8.0"/>
      </rPr>
      <t>팀</t>
    </r>
    <r>
      <rPr>
        <rFont val="맑은 고딕"/>
        <i/>
        <color rgb="FF7F7F7F"/>
        <sz val="8.0"/>
      </rPr>
      <t>]</t>
    </r>
  </si>
  <si>
    <r>
      <rPr>
        <rFont val="맑은 고딕"/>
        <i/>
        <color rgb="FF7F7F7F"/>
        <sz val="8.0"/>
      </rPr>
      <t>[</t>
    </r>
    <r>
      <rPr>
        <rFont val="Noto Sans CJK SC"/>
        <i/>
        <color rgb="FF7F7F7F"/>
        <sz val="8.0"/>
      </rPr>
      <t xml:space="preserve">응시 </t>
    </r>
    <r>
      <rPr>
        <rFont val="맑은 고딕"/>
        <i/>
        <color rgb="FF7F7F7F"/>
        <sz val="8.0"/>
      </rPr>
      <t>/ 1</t>
    </r>
    <r>
      <rPr>
        <rFont val="Noto Sans CJK SC"/>
        <i/>
        <color rgb="FF7F7F7F"/>
        <sz val="8.0"/>
      </rPr>
      <t xml:space="preserve">차 합격 </t>
    </r>
    <r>
      <rPr>
        <rFont val="맑은 고딕"/>
        <i/>
        <color rgb="FF7F7F7F"/>
        <sz val="8.0"/>
      </rPr>
      <t>/ 2</t>
    </r>
    <r>
      <rPr>
        <rFont val="Noto Sans CJK SC"/>
        <i/>
        <color rgb="FF7F7F7F"/>
        <sz val="8.0"/>
      </rPr>
      <t xml:space="preserve">차 합격 </t>
    </r>
    <r>
      <rPr>
        <rFont val="맑은 고딕"/>
        <i/>
        <color rgb="FF7F7F7F"/>
        <sz val="8.0"/>
      </rPr>
      <t xml:space="preserve">/ </t>
    </r>
    <r>
      <rPr>
        <rFont val="Noto Sans CJK SC"/>
        <i/>
        <color rgb="FF7F7F7F"/>
        <sz val="8.0"/>
      </rPr>
      <t>최종 합격</t>
    </r>
    <r>
      <rPr>
        <rFont val="맑은 고딕"/>
        <i/>
        <color rgb="FF7F7F7F"/>
        <sz val="8.0"/>
      </rPr>
      <t>]</t>
    </r>
  </si>
  <si>
    <t>교내 경제 퀴즈대회</t>
  </si>
  <si>
    <r>
      <rPr>
        <rFont val="Noto Sans CJK SC"/>
        <color rgb="FF1F3B8A"/>
        <sz val="10.0"/>
      </rPr>
      <t>장려상</t>
    </r>
    <r>
      <rPr>
        <rFont val="맑은 고딕"/>
        <color rgb="FF1F3B8A"/>
        <sz val="10.0"/>
      </rPr>
      <t>(</t>
    </r>
    <r>
      <rPr>
        <rFont val="Noto Sans CJK SC"/>
        <color rgb="FF1F3B8A"/>
        <sz val="10.0"/>
      </rPr>
      <t>팀</t>
    </r>
    <r>
      <rPr>
        <rFont val="맑은 고딕"/>
        <color rgb="FF1F3B8A"/>
        <sz val="10.0"/>
      </rPr>
      <t>)</t>
    </r>
  </si>
  <si>
    <t>2025.11</t>
  </si>
  <si>
    <r>
      <rPr>
        <rFont val="맑은 고딕"/>
        <b/>
        <color rgb="FF000000"/>
        <sz val="11.0"/>
      </rPr>
      <t>3</t>
    </r>
    <r>
      <rPr>
        <rFont val="Noto Sans CJK SC"/>
        <b/>
        <color rgb="FF000000"/>
        <sz val="11.0"/>
      </rPr>
      <t>품인증 취득현황</t>
    </r>
  </si>
  <si>
    <r>
      <rPr>
        <rFont val="Noto Sans CJK SC"/>
        <b/>
        <color rgb="FF000000"/>
        <sz val="11.0"/>
      </rPr>
      <t>멘토링</t>
    </r>
    <r>
      <rPr>
        <rFont val="맑은 고딕"/>
        <b/>
        <color rgb="FF000000"/>
        <sz val="11.0"/>
      </rPr>
      <t>·</t>
    </r>
    <r>
      <rPr>
        <rFont val="Noto Sans CJK SC"/>
        <b/>
        <color rgb="FF000000"/>
        <sz val="11.0"/>
      </rPr>
      <t>학습공동체</t>
    </r>
  </si>
  <si>
    <r>
      <rPr>
        <rFont val="Noto Sans CJK SC"/>
        <i/>
        <color rgb="FF7F7F7F"/>
        <sz val="8.0"/>
      </rPr>
      <t>출처</t>
    </r>
    <r>
      <rPr>
        <rFont val="맑은 고딕"/>
        <i/>
        <color rgb="FF7F7F7F"/>
        <sz val="8.0"/>
      </rPr>
      <t xml:space="preserve">: </t>
    </r>
    <r>
      <rPr>
        <rFont val="Noto Sans CJK SC"/>
        <i/>
        <color rgb="FF7F7F7F"/>
        <sz val="8.0"/>
      </rPr>
      <t xml:space="preserve">비교과 시스템 </t>
    </r>
    <r>
      <rPr>
        <rFont val="맑은 고딕"/>
        <i/>
        <color rgb="FF7F7F7F"/>
        <sz val="8.0"/>
      </rPr>
      <t xml:space="preserve">· </t>
    </r>
    <r>
      <rPr>
        <rFont val="Noto Sans CJK SC"/>
        <i/>
        <color rgb="FF7F7F7F"/>
        <sz val="8.0"/>
      </rPr>
      <t xml:space="preserve">학생 등록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대인관계 </t>
    </r>
    <r>
      <rPr>
        <rFont val="맑은 고딕"/>
        <i/>
        <color rgb="FF7F7F7F"/>
        <sz val="8.0"/>
      </rPr>
      <t xml:space="preserve">/ </t>
    </r>
    <r>
      <rPr>
        <rFont val="Noto Sans CJK SC"/>
        <i/>
        <color rgb="FF7F7F7F"/>
        <sz val="8.0"/>
      </rPr>
      <t xml:space="preserve">리더십 </t>
    </r>
    <r>
      <rPr>
        <rFont val="맑은 고딕"/>
        <i/>
        <color rgb="FF7F7F7F"/>
        <sz val="8.0"/>
      </rPr>
      <t xml:space="preserve">/ </t>
    </r>
    <r>
      <rPr>
        <rFont val="Noto Sans CJK SC"/>
        <i/>
        <color rgb="FF7F7F7F"/>
        <sz val="8.0"/>
      </rPr>
      <t xml:space="preserve">커뮤니케이션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직책</t>
    </r>
    <r>
      <rPr>
        <rFont val="맑은 고딕"/>
        <i/>
        <color rgb="FF7F7F7F"/>
        <sz val="8.0"/>
      </rPr>
      <t>(</t>
    </r>
    <r>
      <rPr>
        <rFont val="Noto Sans CJK SC"/>
        <i/>
        <color rgb="FF7F7F7F"/>
        <sz val="8.0"/>
      </rPr>
      <t>회장</t>
    </r>
    <r>
      <rPr>
        <rFont val="맑은 고딕"/>
        <i/>
        <color rgb="FF7F7F7F"/>
        <sz val="8.0"/>
      </rPr>
      <t>·</t>
    </r>
    <r>
      <rPr>
        <rFont val="Noto Sans CJK SC"/>
        <i/>
        <color rgb="FF7F7F7F"/>
        <sz val="8.0"/>
      </rPr>
      <t>부장</t>
    </r>
    <r>
      <rPr>
        <rFont val="맑은 고딕"/>
        <i/>
        <color rgb="FF7F7F7F"/>
        <sz val="8.0"/>
      </rPr>
      <t>·</t>
    </r>
    <r>
      <rPr>
        <rFont val="Noto Sans CJK SC"/>
        <i/>
        <color rgb="FF7F7F7F"/>
        <sz val="8.0"/>
      </rPr>
      <t>총무</t>
    </r>
    <r>
      <rPr>
        <rFont val="맑은 고딕"/>
        <i/>
        <color rgb="FF7F7F7F"/>
        <sz val="8.0"/>
      </rPr>
      <t>·</t>
    </r>
    <r>
      <rPr>
        <rFont val="Noto Sans CJK SC"/>
        <i/>
        <color rgb="FF7F7F7F"/>
        <sz val="8.0"/>
      </rPr>
      <t>부원</t>
    </r>
    <r>
      <rPr>
        <rFont val="맑은 고딕"/>
        <i/>
        <color rgb="FF7F7F7F"/>
        <sz val="8.0"/>
      </rPr>
      <t xml:space="preserve">) × </t>
    </r>
    <r>
      <rPr>
        <rFont val="Noto Sans CJK SC"/>
        <i/>
        <color rgb="FF7F7F7F"/>
        <sz val="8.0"/>
      </rPr>
      <t>기간으로 정량화</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</si>
  <si>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</si>
  <si>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Noto Sans CJK SC"/>
        <b/>
        <color rgb="FF000000"/>
        <sz val="9.0"/>
      </rPr>
      <t>단체 규모</t>
    </r>
    <r>
      <rPr>
        <rFont val="맑은 고딕"/>
        <b/>
        <color rgb="FF000000"/>
        <sz val="9.0"/>
      </rPr>
      <t>(</t>
    </r>
    <r>
      <rPr>
        <rFont val="Noto Sans CJK SC"/>
        <b/>
        <color rgb="FF000000"/>
        <sz val="9.0"/>
      </rPr>
      <t>명</t>
    </r>
    <r>
      <rPr>
        <rFont val="맑은 고딕"/>
        <b/>
        <color rgb="FF000000"/>
        <sz val="9.0"/>
      </rPr>
      <t>)</t>
    </r>
  </si>
  <si>
    <r>
      <rPr>
        <rFont val="Noto Sans CJK SC"/>
        <b/>
        <color rgb="FF000000"/>
        <sz val="9.0"/>
      </rPr>
      <t>주요 활동</t>
    </r>
    <r>
      <rPr>
        <rFont val="맑은 고딕"/>
        <b/>
        <color rgb="FF000000"/>
        <sz val="9.0"/>
      </rPr>
      <t>·</t>
    </r>
    <r>
      <rPr>
        <rFont val="Noto Sans CJK SC"/>
        <b/>
        <color rgb="FF000000"/>
        <sz val="9.0"/>
      </rPr>
      <t>성과</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</si>
  <si>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xml:space="preserve">· </t>
    </r>
    <r>
      <rPr>
        <rFont val="Noto Sans CJK SC"/>
        <i/>
        <color rgb="FF7F7F7F"/>
        <sz val="8.0"/>
      </rPr>
      <t xml:space="preserve">창업지원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창의 </t>
    </r>
    <r>
      <rPr>
        <rFont val="맑은 고딕"/>
        <i/>
        <color rgb="FF7F7F7F"/>
        <sz val="8.0"/>
      </rPr>
      <t xml:space="preserve">/ </t>
    </r>
    <r>
      <rPr>
        <rFont val="Noto Sans CJK SC"/>
        <i/>
        <color rgb="FF7F7F7F"/>
        <sz val="8.0"/>
      </rPr>
      <t>도전정신</t>
    </r>
  </si>
  <si>
    <r>
      <rPr>
        <rFont val="맑은 고딕"/>
        <i/>
        <color rgb="FF7F7F7F"/>
        <sz val="8.0"/>
      </rPr>
      <t>[</t>
    </r>
    <r>
      <rPr>
        <rFont val="Noto Sans CJK SC"/>
        <i/>
        <color rgb="FF7F7F7F"/>
        <sz val="8.0"/>
      </rPr>
      <t xml:space="preserve">동아리 </t>
    </r>
    <r>
      <rPr>
        <rFont val="맑은 고딕"/>
        <i/>
        <color rgb="FF7F7F7F"/>
        <sz val="8.0"/>
      </rPr>
      <t xml:space="preserve">/ </t>
    </r>
    <r>
      <rPr>
        <rFont val="Noto Sans CJK SC"/>
        <i/>
        <color rgb="FF7F7F7F"/>
        <sz val="8.0"/>
      </rPr>
      <t xml:space="preserve">학생회 </t>
    </r>
    <r>
      <rPr>
        <rFont val="맑은 고딕"/>
        <i/>
        <color rgb="FF7F7F7F"/>
        <sz val="8.0"/>
      </rPr>
      <t xml:space="preserve">/ </t>
    </r>
    <r>
      <rPr>
        <rFont val="Noto Sans CJK SC"/>
        <i/>
        <color rgb="FF7F7F7F"/>
        <sz val="8.0"/>
      </rPr>
      <t xml:space="preserve">학회 </t>
    </r>
    <r>
      <rPr>
        <rFont val="맑은 고딕"/>
        <i/>
        <color rgb="FF7F7F7F"/>
        <sz val="8.0"/>
      </rPr>
      <t xml:space="preserve">/ </t>
    </r>
    <r>
      <rPr>
        <rFont val="Noto Sans CJK SC"/>
        <i/>
        <color rgb="FF7F7F7F"/>
        <sz val="8.0"/>
      </rPr>
      <t>기타단체</t>
    </r>
    <r>
      <rPr>
        <rFont val="맑은 고딕"/>
        <i/>
        <color rgb="FF7F7F7F"/>
        <sz val="8.0"/>
      </rPr>
      <t>]</t>
    </r>
  </si>
  <si>
    <r>
      <rPr>
        <rFont val="Noto Sans CJK SC"/>
        <b/>
        <color rgb="FF000000"/>
        <sz val="9.0"/>
      </rPr>
      <t>명칭</t>
    </r>
    <r>
      <rPr>
        <rFont val="맑은 고딕"/>
        <b/>
        <color rgb="FF000000"/>
        <sz val="9.0"/>
      </rPr>
      <t>·</t>
    </r>
    <r>
      <rPr>
        <rFont val="Noto Sans CJK SC"/>
        <b/>
        <color rgb="FF000000"/>
        <sz val="9.0"/>
      </rPr>
      <t>내용</t>
    </r>
  </si>
  <si>
    <r>
      <rPr>
        <rFont val="Noto Sans CJK SC"/>
        <i/>
        <color rgb="FF7F7F7F"/>
        <sz val="8.0"/>
      </rPr>
      <t>출처</t>
    </r>
    <r>
      <rPr>
        <rFont val="맑은 고딕"/>
        <i/>
        <color rgb="FF7F7F7F"/>
        <sz val="8.0"/>
      </rPr>
      <t>: 3</t>
    </r>
    <r>
      <rPr>
        <rFont val="Noto Sans CJK SC"/>
        <i/>
        <color rgb="FF7F7F7F"/>
        <sz val="8.0"/>
      </rPr>
      <t xml:space="preserve">품인증 시스템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t>
    </r>
    <r>
      <rPr>
        <rFont val="Noto Sans CJK SC"/>
        <i/>
        <color rgb="FF7F7F7F"/>
        <sz val="8.0"/>
      </rPr>
      <t>복수 역량 종합</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 xml:space="preserve">하위 활동과 중복 가산 위험 → 가산점이 아닌 </t>
    </r>
    <r>
      <rPr>
        <rFont val="맑은 고딕"/>
        <i/>
        <color rgb="FF7F7F7F"/>
        <sz val="8.0"/>
      </rPr>
      <t>'</t>
    </r>
    <r>
      <rPr>
        <rFont val="Noto Sans CJK SC"/>
        <i/>
        <color rgb="FF7F7F7F"/>
        <sz val="8.0"/>
      </rPr>
      <t>참고 지표</t>
    </r>
    <r>
      <rPr>
        <rFont val="맑은 고딕"/>
        <i/>
        <color rgb="FF7F7F7F"/>
        <sz val="8.0"/>
      </rPr>
      <t>'</t>
    </r>
    <r>
      <rPr>
        <rFont val="Noto Sans CJK SC"/>
        <i/>
        <color rgb="FF7F7F7F"/>
        <sz val="8.0"/>
      </rPr>
      <t>로 권장</t>
    </r>
  </si>
  <si>
    <r>
      <rPr>
        <rFont val="맑은 고딕"/>
        <i/>
        <color rgb="FF7F7F7F"/>
        <sz val="8.0"/>
      </rPr>
      <t>[</t>
    </r>
    <r>
      <rPr>
        <rFont val="Noto Sans CJK SC"/>
        <i/>
        <color rgb="FF7F7F7F"/>
        <sz val="8.0"/>
      </rPr>
      <t xml:space="preserve">회장 </t>
    </r>
    <r>
      <rPr>
        <rFont val="맑은 고딕"/>
        <i/>
        <color rgb="FF7F7F7F"/>
        <sz val="8.0"/>
      </rPr>
      <t xml:space="preserve">/ </t>
    </r>
    <r>
      <rPr>
        <rFont val="Noto Sans CJK SC"/>
        <i/>
        <color rgb="FF7F7F7F"/>
        <sz val="8.0"/>
      </rPr>
      <t xml:space="preserve">부회장 </t>
    </r>
    <r>
      <rPr>
        <rFont val="맑은 고딕"/>
        <i/>
        <color rgb="FF7F7F7F"/>
        <sz val="8.0"/>
      </rPr>
      <t xml:space="preserve">/ </t>
    </r>
    <r>
      <rPr>
        <rFont val="Noto Sans CJK SC"/>
        <i/>
        <color rgb="FF7F7F7F"/>
        <sz val="8.0"/>
      </rPr>
      <t xml:space="preserve">부장 </t>
    </r>
    <r>
      <rPr>
        <rFont val="맑은 고딕"/>
        <i/>
        <color rgb="FF7F7F7F"/>
        <sz val="8.0"/>
      </rPr>
      <t xml:space="preserve">/ </t>
    </r>
    <r>
      <rPr>
        <rFont val="Noto Sans CJK SC"/>
        <i/>
        <color rgb="FF7F7F7F"/>
        <sz val="8.0"/>
      </rPr>
      <t xml:space="preserve">총무 </t>
    </r>
    <r>
      <rPr>
        <rFont val="맑은 고딕"/>
        <i/>
        <color rgb="FF7F7F7F"/>
        <sz val="8.0"/>
      </rPr>
      <t xml:space="preserve">/ </t>
    </r>
    <r>
      <rPr>
        <rFont val="Noto Sans CJK SC"/>
        <i/>
        <color rgb="FF7F7F7F"/>
        <sz val="8.0"/>
      </rPr>
      <t>부원</t>
    </r>
    <r>
      <rPr>
        <rFont val="맑은 고딕"/>
        <i/>
        <color rgb="FF7F7F7F"/>
        <sz val="8.0"/>
      </rPr>
      <t>]</t>
    </r>
  </si>
  <si>
    <r>
      <rPr>
        <rFont val="맑은 고딕"/>
        <i/>
        <color rgb="FF7F7F7F"/>
        <sz val="8.0"/>
      </rPr>
      <t>[</t>
    </r>
    <r>
      <rPr>
        <rFont val="Noto Sans CJK SC"/>
        <i/>
        <color rgb="FF7F7F7F"/>
        <sz val="8.0"/>
      </rPr>
      <t xml:space="preserve">창업교과목 </t>
    </r>
    <r>
      <rPr>
        <rFont val="맑은 고딕"/>
        <i/>
        <color rgb="FF7F7F7F"/>
        <sz val="8.0"/>
      </rPr>
      <t xml:space="preserve">/ </t>
    </r>
    <r>
      <rPr>
        <rFont val="Noto Sans CJK SC"/>
        <i/>
        <color rgb="FF7F7F7F"/>
        <sz val="8.0"/>
      </rPr>
      <t xml:space="preserve">창업경진대회 </t>
    </r>
    <r>
      <rPr>
        <rFont val="맑은 고딕"/>
        <i/>
        <color rgb="FF7F7F7F"/>
        <sz val="8.0"/>
      </rPr>
      <t xml:space="preserve">/ </t>
    </r>
    <r>
      <rPr>
        <rFont val="Noto Sans CJK SC"/>
        <i/>
        <color rgb="FF7F7F7F"/>
        <sz val="8.0"/>
      </rPr>
      <t xml:space="preserve">사업자등록 </t>
    </r>
    <r>
      <rPr>
        <rFont val="맑은 고딕"/>
        <i/>
        <color rgb="FF7F7F7F"/>
        <sz val="8.0"/>
      </rPr>
      <t xml:space="preserve">/ </t>
    </r>
    <r>
      <rPr>
        <rFont val="Noto Sans CJK SC"/>
        <i/>
        <color rgb="FF7F7F7F"/>
        <sz val="8.0"/>
      </rPr>
      <t>창업동아리</t>
    </r>
    <r>
      <rPr>
        <rFont val="맑은 고딕"/>
        <i/>
        <color rgb="FF7F7F7F"/>
        <sz val="8.0"/>
      </rPr>
      <t>]</t>
    </r>
  </si>
  <si>
    <r>
      <rPr>
        <rFont val="맑은 고딕"/>
        <i/>
        <color rgb="FF7F7F7F"/>
        <sz val="8.0"/>
      </rPr>
      <t xml:space="preserve">YYYY-MM / </t>
    </r>
    <r>
      <rPr>
        <rFont val="Noto Sans CJK SC"/>
        <i/>
        <color rgb="FF7F7F7F"/>
        <sz val="8.0"/>
      </rPr>
      <t>진행중</t>
    </r>
  </si>
  <si>
    <r>
      <rPr>
        <rFont val="Noto Sans CJK SC"/>
        <i/>
        <color rgb="FF7F7F7F"/>
        <sz val="8.0"/>
      </rPr>
      <t>출처</t>
    </r>
    <r>
      <rPr>
        <rFont val="맑은 고딕"/>
        <i/>
        <color rgb="FF7F7F7F"/>
        <sz val="8.0"/>
      </rPr>
      <t xml:space="preserve">: </t>
    </r>
    <r>
      <rPr>
        <rFont val="Noto Sans CJK SC"/>
        <i/>
        <color rgb="FF7F7F7F"/>
        <sz val="8.0"/>
      </rPr>
      <t xml:space="preserve">교수학습센터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소통능력 </t>
    </r>
    <r>
      <rPr>
        <rFont val="맑은 고딕"/>
        <i/>
        <color rgb="FF7F7F7F"/>
        <sz val="8.0"/>
      </rPr>
      <t xml:space="preserve">/ </t>
    </r>
    <r>
      <rPr>
        <rFont val="Noto Sans CJK SC"/>
        <i/>
        <color rgb="FF7F7F7F"/>
        <sz val="8.0"/>
      </rPr>
      <t xml:space="preserve">대인관계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교수 관심 </t>
    </r>
    <r>
      <rPr>
        <rFont val="맑은 고딕"/>
        <i/>
        <color rgb="FF7F7F7F"/>
        <sz val="8.0"/>
      </rPr>
      <t>'</t>
    </r>
    <r>
      <rPr>
        <rFont val="Noto Sans CJK SC"/>
        <i/>
        <color rgb="FF7F7F7F"/>
        <sz val="8.0"/>
      </rPr>
      <t>소통능력</t>
    </r>
    <r>
      <rPr>
        <rFont val="맑은 고딕"/>
        <i/>
        <color rgb="FF7F7F7F"/>
        <sz val="8.0"/>
      </rPr>
      <t>'</t>
    </r>
    <r>
      <rPr>
        <rFont val="Noto Sans CJK SC"/>
        <i/>
        <color rgb="FF7F7F7F"/>
        <sz val="8.0"/>
      </rPr>
      <t xml:space="preserve">의 </t>
    </r>
    <r>
      <rPr>
        <rFont val="맑은 고딕"/>
        <i/>
        <color rgb="FF7F7F7F"/>
        <sz val="8.0"/>
      </rPr>
      <t>'</t>
    </r>
    <r>
      <rPr>
        <rFont val="Noto Sans CJK SC"/>
        <i/>
        <color rgb="FF7F7F7F"/>
        <sz val="8.0"/>
      </rPr>
      <t>스터디 참여</t>
    </r>
    <r>
      <rPr>
        <rFont val="맑은 고딕"/>
        <i/>
        <color rgb="FF7F7F7F"/>
        <sz val="8.0"/>
      </rPr>
      <t xml:space="preserve">' </t>
    </r>
    <r>
      <rPr>
        <rFont val="Noto Sans CJK SC"/>
        <i/>
        <color rgb="FF7F7F7F"/>
        <sz val="8.0"/>
      </rPr>
      <t>근거 확보</t>
    </r>
  </si>
  <si>
    <r>
      <rPr>
        <rFont val="Noto Sans CJK SC"/>
        <b/>
        <color rgb="FF000000"/>
        <sz val="11.0"/>
      </rPr>
      <t>특허출원</t>
    </r>
    <r>
      <rPr>
        <rFont val="맑은 고딕"/>
        <b/>
        <color rgb="FF000000"/>
        <sz val="11.0"/>
      </rPr>
      <t xml:space="preserve">·SW </t>
    </r>
    <r>
      <rPr>
        <rFont val="Noto Sans CJK SC"/>
        <b/>
        <color rgb="FF000000"/>
        <sz val="11.0"/>
      </rPr>
      <t>등록</t>
    </r>
  </si>
  <si>
    <t>프로그래밍 동아리</t>
  </si>
  <si>
    <r>
      <rPr>
        <rFont val="Noto Sans CJK SC"/>
        <b/>
        <color rgb="FF000000"/>
        <sz val="9.0"/>
      </rPr>
      <t>역할</t>
    </r>
    <r>
      <rPr>
        <rFont val="맑은 고딕"/>
        <b/>
        <color rgb="FF000000"/>
        <sz val="9.0"/>
      </rPr>
      <t>·</t>
    </r>
    <r>
      <rPr>
        <rFont val="Noto Sans CJK SC"/>
        <b/>
        <color rgb="FF000000"/>
        <sz val="9.0"/>
      </rPr>
      <t>내용</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</si>
  <si>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</si>
  <si>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t>알고리즘 스터디 참여</t>
  </si>
  <si>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</si>
  <si>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r>
      <rPr>
        <rFont val="맑은 고딕"/>
        <i/>
        <color rgb="FF7F7F7F"/>
        <sz val="8.0"/>
      </rPr>
      <t>[</t>
    </r>
    <r>
      <rPr>
        <rFont val="Noto Sans CJK SC"/>
        <i/>
        <color rgb="FF7F7F7F"/>
        <sz val="8.0"/>
      </rPr>
      <t xml:space="preserve">튜터 </t>
    </r>
    <r>
      <rPr>
        <rFont val="맑은 고딕"/>
        <i/>
        <color rgb="FF7F7F7F"/>
        <sz val="8.0"/>
      </rPr>
      <t xml:space="preserve">/ </t>
    </r>
    <r>
      <rPr>
        <rFont val="Noto Sans CJK SC"/>
        <i/>
        <color rgb="FF7F7F7F"/>
        <sz val="8.0"/>
      </rPr>
      <t xml:space="preserve">튜티 </t>
    </r>
    <r>
      <rPr>
        <rFont val="맑은 고딕"/>
        <i/>
        <color rgb="FF7F7F7F"/>
        <sz val="8.0"/>
      </rPr>
      <t xml:space="preserve">/ </t>
    </r>
    <r>
      <rPr>
        <rFont val="Noto Sans CJK SC"/>
        <i/>
        <color rgb="FF7F7F7F"/>
        <sz val="8.0"/>
      </rPr>
      <t xml:space="preserve">멘토 </t>
    </r>
    <r>
      <rPr>
        <rFont val="맑은 고딕"/>
        <i/>
        <color rgb="FF7F7F7F"/>
        <sz val="8.0"/>
      </rPr>
      <t xml:space="preserve">/ </t>
    </r>
    <r>
      <rPr>
        <rFont val="Noto Sans CJK SC"/>
        <i/>
        <color rgb="FF7F7F7F"/>
        <sz val="8.0"/>
      </rPr>
      <t xml:space="preserve">멘티 </t>
    </r>
    <r>
      <rPr>
        <rFont val="맑은 고딕"/>
        <i/>
        <color rgb="FF7F7F7F"/>
        <sz val="8.0"/>
      </rPr>
      <t xml:space="preserve">/ </t>
    </r>
    <r>
      <rPr>
        <rFont val="Noto Sans CJK SC"/>
        <i/>
        <color rgb="FF7F7F7F"/>
        <sz val="8.0"/>
      </rPr>
      <t xml:space="preserve">스터디 </t>
    </r>
    <r>
      <rPr>
        <rFont val="맑은 고딕"/>
        <i/>
        <color rgb="FF7F7F7F"/>
        <sz val="8.0"/>
      </rPr>
      <t xml:space="preserve">/ </t>
    </r>
    <r>
      <rPr>
        <rFont val="Noto Sans CJK SC"/>
        <i/>
        <color rgb="FF7F7F7F"/>
        <sz val="8.0"/>
      </rPr>
      <t>학습공동체</t>
    </r>
    <r>
      <rPr>
        <rFont val="맑은 고딕"/>
        <i/>
        <color rgb="FF7F7F7F"/>
        <sz val="8.0"/>
      </rPr>
      <t>]</t>
    </r>
  </si>
  <si>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</si>
  <si>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</si>
  <si>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r>
      <rPr>
        <rFont val="Noto Sans CJK SC"/>
        <i/>
        <color rgb="FF7F7F7F"/>
        <sz val="8.0"/>
      </rPr>
      <t>출처</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 xml:space="preserve">) </t>
    </r>
    <r>
      <rPr>
        <rFont val="Noto Sans CJK SC"/>
        <i/>
        <color rgb="FF7F7F7F"/>
        <sz val="8.0"/>
      </rPr>
      <t xml:space="preserve">인증 </t>
    </r>
    <r>
      <rPr>
        <rFont val="맑은 고딕"/>
        <i/>
        <color rgb="FF7F7F7F"/>
        <sz val="8.0"/>
      </rPr>
      <t xml:space="preserve">· </t>
    </r>
    <r>
      <rPr>
        <rFont val="Noto Sans CJK SC"/>
        <i/>
        <color rgb="FF7F7F7F"/>
        <sz val="8.0"/>
      </rPr>
      <t xml:space="preserve">학생 등록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창의 </t>
    </r>
    <r>
      <rPr>
        <rFont val="맑은 고딕"/>
        <i/>
        <color rgb="FF7F7F7F"/>
        <sz val="8.0"/>
      </rPr>
      <t xml:space="preserve">/ </t>
    </r>
    <r>
      <rPr>
        <rFont val="Noto Sans CJK SC"/>
        <i/>
        <color rgb="FF7F7F7F"/>
        <sz val="8.0"/>
      </rPr>
      <t xml:space="preserve">도전정신 </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기존 데이터셋에 없는 신규 근거</t>
    </r>
  </si>
  <si>
    <r>
      <rPr>
        <rFont val="맑은 고딕"/>
        <b/>
        <color rgb="FF000000"/>
        <sz val="10.0"/>
      </rPr>
      <t xml:space="preserve">AI </t>
    </r>
    <r>
      <rPr>
        <rFont val="Noto Sans CJK SC"/>
        <b/>
        <color rgb="FF000000"/>
        <sz val="10.0"/>
      </rPr>
      <t>영역</t>
    </r>
  </si>
  <si>
    <r>
      <rPr>
        <rFont val="Noto Sans CJK SC"/>
        <b/>
        <color rgb="FF000000"/>
        <sz val="9.0"/>
      </rPr>
      <t>출원</t>
    </r>
    <r>
      <rPr>
        <rFont val="맑은 고딕"/>
        <b/>
        <color rgb="FF000000"/>
        <sz val="9.0"/>
      </rPr>
      <t>·</t>
    </r>
    <r>
      <rPr>
        <rFont val="Noto Sans CJK SC"/>
        <b/>
        <color rgb="FF000000"/>
        <sz val="9.0"/>
      </rPr>
      <t>등록번호</t>
    </r>
  </si>
  <si>
    <r>
      <rPr>
        <rFont val="맑은 고딕"/>
        <i/>
        <color rgb="FF7F7F7F"/>
        <sz val="8.0"/>
      </rPr>
      <t>[</t>
    </r>
    <r>
      <rPr>
        <rFont val="Noto Sans CJK SC"/>
        <i/>
        <color rgb="FF7F7F7F"/>
        <sz val="8.0"/>
      </rPr>
      <t xml:space="preserve">특허 </t>
    </r>
    <r>
      <rPr>
        <rFont val="맑은 고딕"/>
        <i/>
        <color rgb="FF7F7F7F"/>
        <sz val="8.0"/>
      </rPr>
      <t xml:space="preserve">/ </t>
    </r>
    <r>
      <rPr>
        <rFont val="Noto Sans CJK SC"/>
        <i/>
        <color rgb="FF7F7F7F"/>
        <sz val="8.0"/>
      </rPr>
      <t xml:space="preserve">실용신안 </t>
    </r>
    <r>
      <rPr>
        <rFont val="맑은 고딕"/>
        <i/>
        <color rgb="FF7F7F7F"/>
        <sz val="8.0"/>
      </rPr>
      <t xml:space="preserve">/ </t>
    </r>
    <r>
      <rPr>
        <rFont val="Noto Sans CJK SC"/>
        <i/>
        <color rgb="FF7F7F7F"/>
        <sz val="8.0"/>
      </rPr>
      <t xml:space="preserve">디자인 </t>
    </r>
    <r>
      <rPr>
        <rFont val="맑은 고딕"/>
        <i/>
        <color rgb="FF7F7F7F"/>
        <sz val="8.0"/>
      </rPr>
      <t>/ SW</t>
    </r>
    <r>
      <rPr>
        <rFont val="Noto Sans CJK SC"/>
        <i/>
        <color rgb="FF7F7F7F"/>
        <sz val="8.0"/>
      </rPr>
      <t>등록</t>
    </r>
    <r>
      <rPr>
        <rFont val="맑은 고딕"/>
        <i/>
        <color rgb="FF7F7F7F"/>
        <sz val="8.0"/>
      </rPr>
      <t>]</t>
    </r>
  </si>
  <si>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</si>
  <si>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r>
      <rPr>
        <rFont val="맑은 고딕"/>
        <i/>
        <color rgb="FF7F7F7F"/>
        <sz val="8.0"/>
      </rPr>
      <t>[</t>
    </r>
    <r>
      <rPr>
        <rFont val="Noto Sans CJK SC"/>
        <i/>
        <color rgb="FF7F7F7F"/>
        <sz val="8.0"/>
      </rPr>
      <t xml:space="preserve">출원 </t>
    </r>
    <r>
      <rPr>
        <rFont val="맑은 고딕"/>
        <i/>
        <color rgb="FF7F7F7F"/>
        <sz val="8.0"/>
      </rPr>
      <t xml:space="preserve">/ </t>
    </r>
    <r>
      <rPr>
        <rFont val="Noto Sans CJK SC"/>
        <i/>
        <color rgb="FF7F7F7F"/>
        <sz val="8.0"/>
      </rPr>
      <t>등록</t>
    </r>
    <r>
      <rPr>
        <rFont val="맑은 고딕"/>
        <i/>
        <color rgb="FF7F7F7F"/>
        <sz val="8.0"/>
      </rPr>
      <t>]</t>
    </r>
  </si>
  <si>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</si>
  <si>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r>
      <rPr>
        <rFont val="맑은 고딕"/>
        <i/>
        <color rgb="FF7F7F7F"/>
        <sz val="8.0"/>
      </rPr>
      <t>[</t>
    </r>
    <r>
      <rPr>
        <rFont val="Noto Sans CJK SC"/>
        <i/>
        <color rgb="FF7F7F7F"/>
        <sz val="8.0"/>
      </rPr>
      <t xml:space="preserve">단독 </t>
    </r>
    <r>
      <rPr>
        <rFont val="맑은 고딕"/>
        <i/>
        <color rgb="FF7F7F7F"/>
        <sz val="8.0"/>
      </rPr>
      <t xml:space="preserve">/ </t>
    </r>
    <r>
      <rPr>
        <rFont val="Noto Sans CJK SC"/>
        <i/>
        <color rgb="FF7F7F7F"/>
        <sz val="8.0"/>
      </rPr>
      <t>공동</t>
    </r>
    <r>
      <rPr>
        <rFont val="맑은 고딕"/>
        <i/>
        <color rgb="FF7F7F7F"/>
        <sz val="8.0"/>
      </rPr>
      <t>]</t>
    </r>
  </si>
  <si>
    <r>
      <rPr>
        <rFont val="Noto Sans CJK SC"/>
        <b/>
        <color rgb="FF000000"/>
        <sz val="11.0"/>
      </rPr>
      <t>교환학생</t>
    </r>
    <r>
      <rPr>
        <rFont val="맑은 고딕"/>
        <b/>
        <color rgb="FF000000"/>
        <sz val="11.0"/>
      </rPr>
      <t>·</t>
    </r>
    <r>
      <rPr>
        <rFont val="Noto Sans CJK SC"/>
        <b/>
        <color rgb="FF000000"/>
        <sz val="11.0"/>
      </rPr>
      <t>해외경험</t>
    </r>
  </si>
  <si>
    <r>
      <rPr>
        <rFont val="Noto Sans CJK SC"/>
        <i/>
        <color rgb="FF7F7F7F"/>
        <sz val="8.0"/>
      </rPr>
      <t>출처</t>
    </r>
    <r>
      <rPr>
        <rFont val="맑은 고딕"/>
        <i/>
        <color rgb="FF7F7F7F"/>
        <sz val="8.0"/>
      </rPr>
      <t xml:space="preserve">: LMS(i-Campus)   |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커뮤니케이션</t>
    </r>
    <r>
      <rPr>
        <rFont val="맑은 고딕"/>
        <i/>
        <color rgb="FF7F7F7F"/>
        <sz val="8.0"/>
      </rPr>
      <t>(</t>
    </r>
    <r>
      <rPr>
        <rFont val="Noto Sans CJK SC"/>
        <i/>
        <color rgb="FF7F7F7F"/>
        <sz val="8.0"/>
      </rPr>
      <t>협업</t>
    </r>
    <r>
      <rPr>
        <rFont val="맑은 고딕"/>
        <i/>
        <color rgb="FF7F7F7F"/>
        <sz val="8.0"/>
      </rPr>
      <t xml:space="preserve">) / </t>
    </r>
    <r>
      <rPr>
        <rFont val="Noto Sans CJK SC"/>
        <i/>
        <color rgb="FF7F7F7F"/>
        <sz val="8.0"/>
      </rPr>
      <t xml:space="preserve">대인관계 </t>
    </r>
    <r>
      <rPr>
        <rFont val="맑은 고딕"/>
        <i/>
        <color rgb="FF7F7F7F"/>
        <sz val="8.0"/>
      </rPr>
      <t xml:space="preserve">/ </t>
    </r>
    <r>
      <rPr>
        <rFont val="Noto Sans CJK SC"/>
        <i/>
        <color rgb="FF7F7F7F"/>
        <sz val="8.0"/>
      </rPr>
      <t xml:space="preserve">리더십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대인관계 역량을 </t>
    </r>
    <r>
      <rPr>
        <rFont val="맑은 고딕"/>
        <i/>
        <color rgb="FF7F7F7F"/>
        <sz val="8.0"/>
      </rPr>
      <t>'</t>
    </r>
    <r>
      <rPr>
        <rFont val="Noto Sans CJK SC"/>
        <i/>
        <color rgb="FF7F7F7F"/>
        <sz val="8.0"/>
      </rPr>
      <t>활동 여부</t>
    </r>
    <r>
      <rPr>
        <rFont val="맑은 고딕"/>
        <i/>
        <color rgb="FF7F7F7F"/>
        <sz val="8.0"/>
      </rPr>
      <t>'</t>
    </r>
    <r>
      <rPr>
        <rFont val="Noto Sans CJK SC"/>
        <i/>
        <color rgb="FF7F7F7F"/>
        <sz val="8.0"/>
      </rPr>
      <t xml:space="preserve">가 아닌 </t>
    </r>
    <r>
      <rPr>
        <rFont val="맑은 고딕"/>
        <i/>
        <color rgb="FF7F7F7F"/>
        <sz val="8.0"/>
      </rPr>
      <t>'</t>
    </r>
    <r>
      <rPr>
        <rFont val="Noto Sans CJK SC"/>
        <i/>
        <color rgb="FF7F7F7F"/>
        <sz val="8.0"/>
      </rPr>
      <t>평판</t>
    </r>
    <r>
      <rPr>
        <rFont val="맑은 고딕"/>
        <i/>
        <color rgb="FF7F7F7F"/>
        <sz val="8.0"/>
      </rPr>
      <t>'</t>
    </r>
    <r>
      <rPr>
        <rFont val="Noto Sans CJK SC"/>
        <i/>
        <color rgb="FF7F7F7F"/>
        <sz val="8.0"/>
      </rPr>
      <t>으로 측정할 수 있는 유일한 근거</t>
    </r>
  </si>
  <si>
    <r>
      <rPr>
        <rFont val="Noto Sans CJK SC"/>
        <i/>
        <color rgb="FF7F7F7F"/>
        <sz val="8.0"/>
      </rPr>
      <t>출처</t>
    </r>
    <r>
      <rPr>
        <rFont val="맑은 고딕"/>
        <i/>
        <color rgb="FF7F7F7F"/>
        <sz val="8.0"/>
      </rPr>
      <t>: 1365 · 3</t>
    </r>
    <r>
      <rPr>
        <rFont val="Noto Sans CJK SC"/>
        <i/>
        <color rgb="FF7F7F7F"/>
        <sz val="8.0"/>
      </rPr>
      <t>품</t>
    </r>
    <r>
      <rPr>
        <rFont val="맑은 고딕"/>
        <i/>
        <color rgb="FF7F7F7F"/>
        <sz val="8.0"/>
      </rPr>
      <t>(</t>
    </r>
    <r>
      <rPr>
        <rFont val="Noto Sans CJK SC"/>
        <i/>
        <color rgb="FF7F7F7F"/>
        <sz val="8.0"/>
      </rPr>
      <t>인성</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대인관계 </t>
    </r>
    <r>
      <rPr>
        <rFont val="맑은 고딕"/>
        <i/>
        <color rgb="FF7F7F7F"/>
        <sz val="8.0"/>
      </rPr>
      <t xml:space="preserve">/ </t>
    </r>
    <r>
      <rPr>
        <rFont val="Noto Sans CJK SC"/>
        <i/>
        <color rgb="FF7F7F7F"/>
        <sz val="8.0"/>
      </rPr>
      <t xml:space="preserve">리더십 </t>
    </r>
    <r>
      <rPr>
        <rFont val="맑은 고딕"/>
        <i/>
        <color rgb="FF7F7F7F"/>
        <sz val="8.0"/>
      </rPr>
      <t xml:space="preserve">/ </t>
    </r>
    <r>
      <rPr>
        <rFont val="Noto Sans CJK SC"/>
        <i/>
        <color rgb="FF7F7F7F"/>
        <sz val="8.0"/>
      </rPr>
      <t xml:space="preserve">문화적수용능력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학년 보정</t>
    </r>
    <r>
      <rPr>
        <rFont val="맑은 고딕"/>
        <i/>
        <color rgb="FF7F7F7F"/>
        <sz val="8.0"/>
      </rPr>
      <t>(</t>
    </r>
    <r>
      <rPr>
        <rFont val="Noto Sans CJK SC"/>
        <i/>
        <color rgb="FF7F7F7F"/>
        <sz val="8.0"/>
      </rPr>
      <t>학기당 시간</t>
    </r>
    <r>
      <rPr>
        <rFont val="맑은 고딕"/>
        <i/>
        <color rgb="FF7F7F7F"/>
        <sz val="8.0"/>
      </rPr>
      <t xml:space="preserve">) </t>
    </r>
    <r>
      <rPr>
        <rFont val="Noto Sans CJK SC"/>
        <i/>
        <color rgb="FF7F7F7F"/>
        <sz val="8.0"/>
      </rPr>
      <t>필요</t>
    </r>
  </si>
  <si>
    <r>
      <rPr>
        <rFont val="Noto Sans CJK SC"/>
        <i/>
        <color rgb="FF7F7F7F"/>
        <sz val="8.0"/>
      </rPr>
      <t>출처</t>
    </r>
    <r>
      <rPr>
        <rFont val="맑은 고딕"/>
        <i/>
        <color rgb="FF7F7F7F"/>
        <sz val="8.0"/>
      </rPr>
      <t xml:space="preserve">: </t>
    </r>
    <r>
      <rPr>
        <rFont val="Noto Sans CJK SC"/>
        <i/>
        <color rgb="FF7F7F7F"/>
        <sz val="8.0"/>
      </rPr>
      <t xml:space="preserve">비교과 시스템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자기관리 </t>
    </r>
    <r>
      <rPr>
        <rFont val="맑은 고딕"/>
        <i/>
        <color rgb="FF7F7F7F"/>
        <sz val="8.0"/>
      </rPr>
      <t xml:space="preserve">/ </t>
    </r>
    <r>
      <rPr>
        <rFont val="Noto Sans CJK SC"/>
        <i/>
        <color rgb="FF7F7F7F"/>
        <sz val="8.0"/>
      </rPr>
      <t>종합적사고력</t>
    </r>
    <r>
      <rPr>
        <rFont val="맑은 고딕"/>
        <i/>
        <color rgb="FF7F7F7F"/>
        <sz val="8.0"/>
      </rPr>
      <t>(</t>
    </r>
    <r>
      <rPr>
        <rFont val="Noto Sans CJK SC"/>
        <i/>
        <color rgb="FF7F7F7F"/>
        <sz val="8.0"/>
      </rPr>
      <t>융합적 사고</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학년 보정 필요</t>
    </r>
  </si>
  <si>
    <r>
      <rPr>
        <rFont val="Noto Sans CJK SC"/>
        <b/>
        <color rgb="FF000000"/>
        <sz val="10.0"/>
      </rPr>
      <t>누적 이수시간</t>
    </r>
    <r>
      <rPr>
        <rFont val="맑은 고딕"/>
        <b/>
        <color rgb="FF000000"/>
        <sz val="10.0"/>
      </rPr>
      <t>(h)</t>
    </r>
  </si>
  <si>
    <r>
      <rPr>
        <rFont val="Noto Sans CJK SC"/>
        <b/>
        <color rgb="FF000000"/>
        <sz val="10.0"/>
      </rPr>
      <t>총 봉사시간</t>
    </r>
    <r>
      <rPr>
        <rFont val="맑은 고딕"/>
        <b/>
        <color rgb="FF000000"/>
        <sz val="10.0"/>
      </rPr>
      <t>(h)</t>
    </r>
  </si>
  <si>
    <r>
      <rPr>
        <rFont val="Noto Sans CJK SC"/>
        <b/>
        <color rgb="FF000000"/>
        <sz val="10.0"/>
      </rPr>
      <t>기준 시간</t>
    </r>
    <r>
      <rPr>
        <rFont val="맑은 고딕"/>
        <b/>
        <color rgb="FF000000"/>
        <sz val="10.0"/>
      </rPr>
      <t>(h)</t>
    </r>
  </si>
  <si>
    <r>
      <rPr>
        <rFont val="맑은 고딕"/>
        <color rgb="FF7F7F7F"/>
        <sz val="9.0"/>
      </rPr>
      <t xml:space="preserve">1365 </t>
    </r>
    <r>
      <rPr>
        <rFont val="Noto Sans CJK SC"/>
        <color rgb="FF7F7F7F"/>
        <sz val="9.0"/>
      </rPr>
      <t>등 인증 시간 합계</t>
    </r>
  </si>
  <si>
    <r>
      <rPr>
        <rFont val="Noto Sans CJK SC"/>
        <b/>
        <color rgb="FF000000"/>
        <sz val="9.0"/>
      </rPr>
      <t>평가 인원</t>
    </r>
    <r>
      <rPr>
        <rFont val="맑은 고딕"/>
        <b/>
        <color rgb="FF000000"/>
        <sz val="9.0"/>
      </rPr>
      <t>(</t>
    </r>
    <r>
      <rPr>
        <rFont val="Noto Sans CJK SC"/>
        <b/>
        <color rgb="FF000000"/>
        <sz val="9.0"/>
      </rPr>
      <t>명</t>
    </r>
    <r>
      <rPr>
        <rFont val="맑은 고딕"/>
        <b/>
        <color rgb="FF000000"/>
        <sz val="9.0"/>
      </rPr>
      <t>)</t>
    </r>
  </si>
  <si>
    <r>
      <rPr>
        <rFont val="Noto Sans CJK SC"/>
        <color rgb="FF7F7F7F"/>
        <sz val="9.0"/>
      </rPr>
      <t>예</t>
    </r>
    <r>
      <rPr>
        <rFont val="맑은 고딕"/>
        <color rgb="FF7F7F7F"/>
        <sz val="9.0"/>
      </rPr>
      <t>: 90</t>
    </r>
  </si>
  <si>
    <r>
      <rPr>
        <rFont val="Noto Sans CJK SC"/>
        <b/>
        <color rgb="FF000000"/>
        <sz val="9.0"/>
      </rPr>
      <t>기관</t>
    </r>
    <r>
      <rPr>
        <rFont val="맑은 고딕"/>
        <b/>
        <color rgb="FF000000"/>
        <sz val="9.0"/>
      </rPr>
      <t>·</t>
    </r>
    <r>
      <rPr>
        <rFont val="Noto Sans CJK SC"/>
        <b/>
        <color rgb="FF000000"/>
        <sz val="9.0"/>
      </rPr>
      <t>내용</t>
    </r>
  </si>
  <si>
    <r>
      <rPr>
        <rFont val="맑은 고딕"/>
        <i/>
        <color rgb="FF7F7F7F"/>
        <sz val="8.0"/>
      </rPr>
      <t>YYYY-1 / YYYY-2 / YYYY-</t>
    </r>
    <r>
      <rPr>
        <rFont val="Noto Sans CJK SC"/>
        <i/>
        <color rgb="FF7F7F7F"/>
        <sz val="8.0"/>
      </rPr>
      <t xml:space="preserve">여름 </t>
    </r>
    <r>
      <rPr>
        <rFont val="맑은 고딕"/>
        <i/>
        <color rgb="FF7F7F7F"/>
        <sz val="8.0"/>
      </rPr>
      <t>/ YYYY-</t>
    </r>
    <r>
      <rPr>
        <rFont val="Noto Sans CJK SC"/>
        <i/>
        <color rgb="FF7F7F7F"/>
        <sz val="8.0"/>
      </rPr>
      <t>겨울</t>
    </r>
  </si>
  <si>
    <r>
      <rPr>
        <rFont val="Noto Sans CJK SC"/>
        <b/>
        <color rgb="FF000000"/>
        <sz val="9.0"/>
      </rPr>
      <t>시간</t>
    </r>
    <r>
      <rPr>
        <rFont val="맑은 고딕"/>
        <b/>
        <color rgb="FF000000"/>
        <sz val="9.0"/>
      </rPr>
      <t>(h)</t>
    </r>
  </si>
  <si>
    <r>
      <rPr>
        <rFont val="맑은 고딕"/>
        <i/>
        <color rgb="FF7F7F7F"/>
        <sz val="8.0"/>
      </rPr>
      <t>[</t>
    </r>
    <r>
      <rPr>
        <rFont val="Noto Sans CJK SC"/>
        <i/>
        <color rgb="FF7F7F7F"/>
        <sz val="8.0"/>
      </rPr>
      <t xml:space="preserve">교내 </t>
    </r>
    <r>
      <rPr>
        <rFont val="맑은 고딕"/>
        <i/>
        <color rgb="FF7F7F7F"/>
        <sz val="8.0"/>
      </rPr>
      <t xml:space="preserve">/ </t>
    </r>
    <r>
      <rPr>
        <rFont val="Noto Sans CJK SC"/>
        <i/>
        <color rgb="FF7F7F7F"/>
        <sz val="8.0"/>
      </rPr>
      <t>교외</t>
    </r>
    <r>
      <rPr>
        <rFont val="맑은 고딕"/>
        <i/>
        <color rgb="FF7F7F7F"/>
        <sz val="8.0"/>
      </rPr>
      <t>(</t>
    </r>
    <r>
      <rPr>
        <rFont val="Noto Sans CJK SC"/>
        <i/>
        <color rgb="FF7F7F7F"/>
        <sz val="8.0"/>
      </rPr>
      <t>국내</t>
    </r>
    <r>
      <rPr>
        <rFont val="맑은 고딕"/>
        <i/>
        <color rgb="FF7F7F7F"/>
        <sz val="8.0"/>
      </rPr>
      <t xml:space="preserve">) / </t>
    </r>
    <r>
      <rPr>
        <rFont val="Noto Sans CJK SC"/>
        <i/>
        <color rgb="FF7F7F7F"/>
        <sz val="8.0"/>
      </rPr>
      <t xml:space="preserve">국외 </t>
    </r>
    <r>
      <rPr>
        <rFont val="맑은 고딕"/>
        <i/>
        <color rgb="FF7F7F7F"/>
        <sz val="8.0"/>
      </rPr>
      <t xml:space="preserve">/ </t>
    </r>
    <r>
      <rPr>
        <rFont val="Noto Sans CJK SC"/>
        <i/>
        <color rgb="FF7F7F7F"/>
        <sz val="8.0"/>
      </rPr>
      <t>유학생 봉사</t>
    </r>
    <r>
      <rPr>
        <rFont val="맑은 고딕"/>
        <i/>
        <color rgb="FF7F7F7F"/>
        <sz val="8.0"/>
      </rPr>
      <t>]</t>
    </r>
  </si>
  <si>
    <r>
      <rPr>
        <rFont val="Noto Sans CJK SC"/>
        <b/>
        <color rgb="FFFFFFFF"/>
        <sz val="11.0"/>
      </rPr>
      <t>■ 진단</t>
    </r>
    <r>
      <rPr>
        <rFont val="맑은 고딕"/>
        <b/>
        <color rgb="FFFFFFFF"/>
        <sz val="11.0"/>
      </rPr>
      <t>·</t>
    </r>
    <r>
      <rPr>
        <rFont val="Noto Sans CJK SC"/>
        <b/>
        <color rgb="FFFFFFFF"/>
        <sz val="11.0"/>
      </rPr>
      <t>자기평가</t>
    </r>
  </si>
  <si>
    <t>신입생 오리엔테이션 도우미</t>
  </si>
  <si>
    <r>
      <rPr>
        <rFont val="Noto Sans CJK SC"/>
        <i/>
        <color rgb="FF7F7F7F"/>
        <sz val="8.0"/>
      </rPr>
      <t>출처</t>
    </r>
    <r>
      <rPr>
        <rFont val="맑은 고딕"/>
        <i/>
        <color rgb="FF7F7F7F"/>
        <sz val="8.0"/>
      </rPr>
      <t xml:space="preserve">: </t>
    </r>
    <r>
      <rPr>
        <rFont val="Noto Sans CJK SC"/>
        <i/>
        <color rgb="FF7F7F7F"/>
        <sz val="8.0"/>
      </rPr>
      <t xml:space="preserve">국제처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글로벌</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글로벌</t>
    </r>
    <r>
      <rPr>
        <rFont val="맑은 고딕"/>
        <i/>
        <color rgb="FF7F7F7F"/>
        <sz val="8.0"/>
      </rPr>
      <t>(</t>
    </r>
    <r>
      <rPr>
        <rFont val="Noto Sans CJK SC"/>
        <i/>
        <color rgb="FF7F7F7F"/>
        <sz val="8.0"/>
      </rPr>
      <t>문화적 수용능력</t>
    </r>
    <r>
      <rPr>
        <rFont val="맑은 고딕"/>
        <i/>
        <color rgb="FF7F7F7F"/>
        <sz val="8.0"/>
      </rPr>
      <t xml:space="preserve">)   |   </t>
    </r>
    <r>
      <rPr>
        <rFont val="Noto Sans CJK SC"/>
        <i/>
        <color rgb="FF7F7F7F"/>
        <sz val="8.0"/>
      </rPr>
      <t>비고</t>
    </r>
    <r>
      <rPr>
        <rFont val="맑은 고딕"/>
        <i/>
        <color rgb="FF7F7F7F"/>
        <sz val="8.0"/>
      </rPr>
      <t xml:space="preserve">: [C] </t>
    </r>
    <r>
      <rPr>
        <rFont val="Noto Sans CJK SC"/>
        <i/>
        <color rgb="FF7F7F7F"/>
        <sz val="8.0"/>
      </rPr>
      <t>국제연구</t>
    </r>
    <r>
      <rPr>
        <rFont val="맑은 고딕"/>
        <i/>
        <color rgb="FF7F7F7F"/>
        <sz val="8.0"/>
      </rPr>
      <t>·</t>
    </r>
    <r>
      <rPr>
        <rFont val="Noto Sans CJK SC"/>
        <i/>
        <color rgb="FF7F7F7F"/>
        <sz val="8.0"/>
      </rPr>
      <t>국제문화체험 항목 추가</t>
    </r>
  </si>
  <si>
    <r>
      <rPr>
        <rFont val="맑은 고딕"/>
        <b/>
        <color rgb="FF000000"/>
        <sz val="11.0"/>
      </rPr>
      <t xml:space="preserve">SSCA </t>
    </r>
    <r>
      <rPr>
        <rFont val="Noto Sans CJK SC"/>
        <b/>
        <color rgb="FF000000"/>
        <sz val="11.0"/>
      </rPr>
      <t>학생성공역량진단</t>
    </r>
  </si>
  <si>
    <r>
      <rPr>
        <rFont val="Noto Sans CJK SC"/>
        <b/>
        <color rgb="FF000000"/>
        <sz val="9.0"/>
      </rPr>
      <t>기관</t>
    </r>
    <r>
      <rPr>
        <rFont val="맑은 고딕"/>
        <b/>
        <color rgb="FF000000"/>
        <sz val="9.0"/>
      </rPr>
      <t>·</t>
    </r>
    <r>
      <rPr>
        <rFont val="Noto Sans CJK SC"/>
        <b/>
        <color rgb="FF000000"/>
        <sz val="9.0"/>
      </rPr>
      <t>프로그램명</t>
    </r>
  </si>
  <si>
    <r>
      <rPr>
        <rFont val="Noto Sans CJK SC"/>
        <b/>
        <color rgb="FF000000"/>
        <sz val="9.0"/>
      </rPr>
      <t>기간</t>
    </r>
    <r>
      <rPr>
        <rFont val="맑은 고딕"/>
        <b/>
        <color rgb="FF000000"/>
        <sz val="9.0"/>
      </rPr>
      <t>(</t>
    </r>
    <r>
      <rPr>
        <rFont val="Noto Sans CJK SC"/>
        <b/>
        <color rgb="FF000000"/>
        <sz val="9.0"/>
      </rPr>
      <t>주</t>
    </r>
    <r>
      <rPr>
        <rFont val="맑은 고딕"/>
        <b/>
        <color rgb="FF000000"/>
        <sz val="9.0"/>
      </rPr>
      <t>)</t>
    </r>
  </si>
  <si>
    <r>
      <rPr>
        <rFont val="Noto Sans CJK SC"/>
        <b/>
        <color rgb="FFFFFFFF"/>
        <sz val="11.0"/>
      </rPr>
      <t>■ 자격</t>
    </r>
    <r>
      <rPr>
        <rFont val="맑은 고딕"/>
        <b/>
        <color rgb="FFFFFFFF"/>
        <sz val="11.0"/>
      </rPr>
      <t>·</t>
    </r>
    <r>
      <rPr>
        <rFont val="Noto Sans CJK SC"/>
        <b/>
        <color rgb="FFFFFFFF"/>
        <sz val="11.0"/>
      </rPr>
      <t>인증</t>
    </r>
  </si>
  <si>
    <r>
      <rPr>
        <rFont val="맑은 고딕"/>
        <b/>
        <color rgb="FF000000"/>
        <sz val="9.0"/>
      </rPr>
      <t>3</t>
    </r>
    <r>
      <rPr>
        <rFont val="Noto Sans CJK SC"/>
        <b/>
        <color rgb="FF000000"/>
        <sz val="9.0"/>
      </rPr>
      <t>품 인정</t>
    </r>
  </si>
  <si>
    <r>
      <rPr>
        <rFont val="Noto Sans CJK SC"/>
        <b/>
        <color rgb="FF000000"/>
        <sz val="11.0"/>
      </rPr>
      <t>멘토링</t>
    </r>
    <r>
      <rPr>
        <rFont val="맑은 고딕"/>
        <b/>
        <color rgb="FF000000"/>
        <sz val="11.0"/>
      </rPr>
      <t>·</t>
    </r>
    <r>
      <rPr>
        <rFont val="Noto Sans CJK SC"/>
        <b/>
        <color rgb="FF000000"/>
        <sz val="11.0"/>
      </rPr>
      <t>학습공동체</t>
    </r>
  </si>
  <si>
    <r>
      <rPr>
        <rFont val="맑은 고딕"/>
        <i/>
        <color rgb="FF7F7F7F"/>
        <sz val="8.0"/>
      </rPr>
      <t>[</t>
    </r>
    <r>
      <rPr>
        <rFont val="Noto Sans CJK SC"/>
        <i/>
        <color rgb="FF7F7F7F"/>
        <sz val="8.0"/>
      </rPr>
      <t xml:space="preserve">교환학생 </t>
    </r>
    <r>
      <rPr>
        <rFont val="맑은 고딕"/>
        <i/>
        <color rgb="FF7F7F7F"/>
        <sz val="8.0"/>
      </rPr>
      <t xml:space="preserve">/ </t>
    </r>
    <r>
      <rPr>
        <rFont val="Noto Sans CJK SC"/>
        <i/>
        <color rgb="FF7F7F7F"/>
        <sz val="8.0"/>
      </rPr>
      <t xml:space="preserve">어학연수 </t>
    </r>
    <r>
      <rPr>
        <rFont val="맑은 고딕"/>
        <i/>
        <color rgb="FF7F7F7F"/>
        <sz val="8.0"/>
      </rPr>
      <t xml:space="preserve">/ </t>
    </r>
    <r>
      <rPr>
        <rFont val="Noto Sans CJK SC"/>
        <i/>
        <color rgb="FF7F7F7F"/>
        <sz val="8.0"/>
      </rPr>
      <t xml:space="preserve">해외봉사 </t>
    </r>
    <r>
      <rPr>
        <rFont val="맑은 고딕"/>
        <i/>
        <color rgb="FF7F7F7F"/>
        <sz val="8.0"/>
      </rPr>
      <t xml:space="preserve">/ </t>
    </r>
    <r>
      <rPr>
        <rFont val="Noto Sans CJK SC"/>
        <i/>
        <color rgb="FF7F7F7F"/>
        <sz val="8.0"/>
      </rPr>
      <t xml:space="preserve">국제연구 </t>
    </r>
    <r>
      <rPr>
        <rFont val="맑은 고딕"/>
        <i/>
        <color rgb="FF7F7F7F"/>
        <sz val="8.0"/>
      </rPr>
      <t xml:space="preserve">/ </t>
    </r>
    <r>
      <rPr>
        <rFont val="Noto Sans CJK SC"/>
        <i/>
        <color rgb="FF7F7F7F"/>
        <sz val="8.0"/>
      </rPr>
      <t xml:space="preserve">국제문화체험 </t>
    </r>
    <r>
      <rPr>
        <rFont val="맑은 고딕"/>
        <i/>
        <color rgb="FF7F7F7F"/>
        <sz val="8.0"/>
      </rPr>
      <t xml:space="preserve">/ </t>
    </r>
    <r>
      <rPr>
        <rFont val="Noto Sans CJK SC"/>
        <i/>
        <color rgb="FF7F7F7F"/>
        <sz val="8.0"/>
      </rPr>
      <t>해외학습</t>
    </r>
    <r>
      <rPr>
        <rFont val="맑은 고딕"/>
        <i/>
        <color rgb="FF7F7F7F"/>
        <sz val="8.0"/>
      </rPr>
      <t>]</t>
    </r>
  </si>
  <si>
    <r>
      <rPr>
        <rFont val="Noto Sans CJK SC"/>
        <b/>
        <color rgb="FF000000"/>
        <sz val="11.0"/>
      </rPr>
      <t>자격증</t>
    </r>
    <r>
      <rPr>
        <rFont val="맑은 고딕"/>
        <b/>
        <color rgb="FF000000"/>
        <sz val="11.0"/>
      </rPr>
      <t>(</t>
    </r>
    <r>
      <rPr>
        <rFont val="Noto Sans CJK SC"/>
        <b/>
        <color rgb="FF000000"/>
        <sz val="11.0"/>
      </rPr>
      <t>어학</t>
    </r>
    <r>
      <rPr>
        <rFont val="맑은 고딕"/>
        <b/>
        <color rgb="FF000000"/>
        <sz val="11.0"/>
      </rPr>
      <t>)</t>
    </r>
  </si>
  <si>
    <t>-</t>
  </si>
  <si>
    <r>
      <rPr>
        <rFont val="Noto Sans CJK SC"/>
        <i/>
        <color rgb="FF7F7F7F"/>
        <sz val="8.0"/>
      </rPr>
      <t>출처</t>
    </r>
    <r>
      <rPr>
        <rFont val="맑은 고딕"/>
        <i/>
        <color rgb="FF7F7F7F"/>
        <sz val="8.0"/>
      </rPr>
      <t xml:space="preserve">: </t>
    </r>
    <r>
      <rPr>
        <rFont val="Noto Sans CJK SC"/>
        <i/>
        <color rgb="FF7F7F7F"/>
        <sz val="8.0"/>
      </rPr>
      <t xml:space="preserve">학생성공 게이트웨이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전 역량</t>
    </r>
    <r>
      <rPr>
        <rFont val="맑은 고딕"/>
        <i/>
        <color rgb="FF7F7F7F"/>
        <sz val="8.0"/>
      </rPr>
      <t>(</t>
    </r>
    <r>
      <rPr>
        <rFont val="Noto Sans CJK SC"/>
        <i/>
        <color rgb="FF7F7F7F"/>
        <sz val="8.0"/>
      </rPr>
      <t>자기인식</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 xml:space="preserve">객관 점수에 합산하지 말고 </t>
    </r>
    <r>
      <rPr>
        <rFont val="맑은 고딕"/>
        <i/>
        <color rgb="FF7F7F7F"/>
        <sz val="8.0"/>
      </rPr>
      <t>'</t>
    </r>
    <r>
      <rPr>
        <rFont val="Noto Sans CJK SC"/>
        <i/>
        <color rgb="FF7F7F7F"/>
        <sz val="8.0"/>
      </rPr>
      <t xml:space="preserve">자기평가 </t>
    </r>
    <r>
      <rPr>
        <rFont val="맑은 고딕"/>
        <i/>
        <color rgb="FF7F7F7F"/>
        <sz val="8.0"/>
      </rPr>
      <t xml:space="preserve">vs </t>
    </r>
    <r>
      <rPr>
        <rFont val="Noto Sans CJK SC"/>
        <i/>
        <color rgb="FF7F7F7F"/>
        <sz val="8.0"/>
      </rPr>
      <t>데이터 평가</t>
    </r>
    <r>
      <rPr>
        <rFont val="맑은 고딕"/>
        <i/>
        <color rgb="FF7F7F7F"/>
        <sz val="8.0"/>
      </rPr>
      <t xml:space="preserve">' </t>
    </r>
    <r>
      <rPr>
        <rFont val="Noto Sans CJK SC"/>
        <i/>
        <color rgb="FF7F7F7F"/>
        <sz val="8.0"/>
      </rPr>
      <t>비교용으로 별도 표시</t>
    </r>
  </si>
  <si>
    <r>
      <rPr>
        <rFont val="Noto Sans CJK SC"/>
        <i/>
        <color rgb="FF7F7F7F"/>
        <sz val="8.0"/>
      </rPr>
      <t>출처</t>
    </r>
    <r>
      <rPr>
        <rFont val="맑은 고딕"/>
        <i/>
        <color rgb="FF7F7F7F"/>
        <sz val="8.0"/>
      </rPr>
      <t xml:space="preserve">: </t>
    </r>
    <r>
      <rPr>
        <rFont val="Noto Sans CJK SC"/>
        <i/>
        <color rgb="FF7F7F7F"/>
        <sz val="8.0"/>
      </rPr>
      <t xml:space="preserve">교수학습센터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소통능력 </t>
    </r>
    <r>
      <rPr>
        <rFont val="맑은 고딕"/>
        <i/>
        <color rgb="FF7F7F7F"/>
        <sz val="8.0"/>
      </rPr>
      <t xml:space="preserve">/ </t>
    </r>
    <r>
      <rPr>
        <rFont val="Noto Sans CJK SC"/>
        <i/>
        <color rgb="FF7F7F7F"/>
        <sz val="8.0"/>
      </rPr>
      <t xml:space="preserve">대인관계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교수 관심 </t>
    </r>
    <r>
      <rPr>
        <rFont val="맑은 고딕"/>
        <i/>
        <color rgb="FF7F7F7F"/>
        <sz val="8.0"/>
      </rPr>
      <t>'</t>
    </r>
    <r>
      <rPr>
        <rFont val="Noto Sans CJK SC"/>
        <i/>
        <color rgb="FF7F7F7F"/>
        <sz val="8.0"/>
      </rPr>
      <t>소통능력</t>
    </r>
    <r>
      <rPr>
        <rFont val="맑은 고딕"/>
        <i/>
        <color rgb="FF7F7F7F"/>
        <sz val="8.0"/>
      </rPr>
      <t>'</t>
    </r>
    <r>
      <rPr>
        <rFont val="Noto Sans CJK SC"/>
        <i/>
        <color rgb="FF7F7F7F"/>
        <sz val="8.0"/>
      </rPr>
      <t xml:space="preserve">의 </t>
    </r>
    <r>
      <rPr>
        <rFont val="맑은 고딕"/>
        <i/>
        <color rgb="FF7F7F7F"/>
        <sz val="8.0"/>
      </rPr>
      <t>'</t>
    </r>
    <r>
      <rPr>
        <rFont val="Noto Sans CJK SC"/>
        <i/>
        <color rgb="FF7F7F7F"/>
        <sz val="8.0"/>
      </rPr>
      <t>스터디 참여</t>
    </r>
    <r>
      <rPr>
        <rFont val="맑은 고딕"/>
        <i/>
        <color rgb="FF7F7F7F"/>
        <sz val="8.0"/>
      </rPr>
      <t xml:space="preserve">' </t>
    </r>
    <r>
      <rPr>
        <rFont val="Noto Sans CJK SC"/>
        <i/>
        <color rgb="FF7F7F7F"/>
        <sz val="8.0"/>
      </rPr>
      <t>근거 확보</t>
    </r>
  </si>
  <si>
    <r>
      <rPr>
        <rFont val="Noto Sans CJK SC"/>
        <i/>
        <color rgb="FF7F7F7F"/>
        <sz val="8.0"/>
      </rPr>
      <t>출처</t>
    </r>
    <r>
      <rPr>
        <rFont val="맑은 고딕"/>
        <i/>
        <color rgb="FF7F7F7F"/>
        <sz val="8.0"/>
      </rPr>
      <t xml:space="preserve">: </t>
    </r>
    <r>
      <rPr>
        <rFont val="Noto Sans CJK SC"/>
        <i/>
        <color rgb="FF7F7F7F"/>
        <sz val="8.0"/>
      </rPr>
      <t>학생 등록</t>
    </r>
    <r>
      <rPr>
        <rFont val="맑은 고딕"/>
        <i/>
        <color rgb="FF7F7F7F"/>
        <sz val="8.0"/>
      </rPr>
      <t>(</t>
    </r>
    <r>
      <rPr>
        <rFont val="Noto Sans CJK SC"/>
        <i/>
        <color rgb="FF7F7F7F"/>
        <sz val="8.0"/>
      </rPr>
      <t>성적표</t>
    </r>
    <r>
      <rPr>
        <rFont val="맑은 고딕"/>
        <i/>
        <color rgb="FF7F7F7F"/>
        <sz val="8.0"/>
      </rPr>
      <t>) · 3</t>
    </r>
    <r>
      <rPr>
        <rFont val="Noto Sans CJK SC"/>
        <i/>
        <color rgb="FF7F7F7F"/>
        <sz val="8.0"/>
      </rPr>
      <t>품</t>
    </r>
    <r>
      <rPr>
        <rFont val="맑은 고딕"/>
        <i/>
        <color rgb="FF7F7F7F"/>
        <sz val="8.0"/>
      </rPr>
      <t>(</t>
    </r>
    <r>
      <rPr>
        <rFont val="Noto Sans CJK SC"/>
        <i/>
        <color rgb="FF7F7F7F"/>
        <sz val="8.0"/>
      </rPr>
      <t>글로벌</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글로벌</t>
    </r>
    <r>
      <rPr>
        <rFont val="맑은 고딕"/>
        <i/>
        <color rgb="FF7F7F7F"/>
        <sz val="8.0"/>
      </rPr>
      <t>(</t>
    </r>
    <r>
      <rPr>
        <rFont val="Noto Sans CJK SC"/>
        <i/>
        <color rgb="FF7F7F7F"/>
        <sz val="8.0"/>
      </rPr>
      <t>언어 사용능력</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시험별 공통 척도 환산표 필요</t>
    </r>
  </si>
  <si>
    <r>
      <rPr>
        <rFont val="Noto Sans CJK SC"/>
        <i/>
        <color rgb="FF7F7F7F"/>
        <sz val="8.0"/>
      </rPr>
      <t>출처</t>
    </r>
    <r>
      <rPr>
        <rFont val="맑은 고딕"/>
        <i/>
        <color rgb="FF7F7F7F"/>
        <sz val="8.0"/>
      </rPr>
      <t xml:space="preserve">: </t>
    </r>
    <r>
      <rPr>
        <rFont val="Noto Sans CJK SC"/>
        <i/>
        <color rgb="FF7F7F7F"/>
        <sz val="8.0"/>
      </rPr>
      <t>학사시스템</t>
    </r>
    <r>
      <rPr>
        <rFont val="맑은 고딕"/>
        <i/>
        <color rgb="FF7F7F7F"/>
        <sz val="8.0"/>
      </rPr>
      <t>(</t>
    </r>
    <r>
      <rPr>
        <rFont val="Noto Sans CJK SC"/>
        <i/>
        <color rgb="FF7F7F7F"/>
        <sz val="8.0"/>
      </rPr>
      <t>수강내역</t>
    </r>
    <r>
      <rPr>
        <rFont val="맑은 고딕"/>
        <i/>
        <color rgb="FF7F7F7F"/>
        <sz val="8.0"/>
      </rPr>
      <t xml:space="preserve">)   |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글로벌</t>
    </r>
    <r>
      <rPr>
        <rFont val="맑은 고딕"/>
        <i/>
        <color rgb="FF7F7F7F"/>
        <sz val="8.0"/>
      </rPr>
      <t>(</t>
    </r>
    <r>
      <rPr>
        <rFont val="Noto Sans CJK SC"/>
        <i/>
        <color rgb="FF7F7F7F"/>
        <sz val="8.0"/>
      </rPr>
      <t>외국어 능력</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마인드맵</t>
    </r>
    <r>
      <rPr>
        <rFont val="맑은 고딕"/>
        <i/>
        <color rgb="FF7F7F7F"/>
        <sz val="8.0"/>
      </rPr>
      <t>(</t>
    </r>
    <r>
      <rPr>
        <rFont val="Noto Sans CJK SC"/>
        <i/>
        <color rgb="FF7F7F7F"/>
        <sz val="8.0"/>
      </rPr>
      <t>기업 관심</t>
    </r>
    <r>
      <rPr>
        <rFont val="맑은 고딕"/>
        <i/>
        <color rgb="FF7F7F7F"/>
        <sz val="8.0"/>
      </rPr>
      <t>-</t>
    </r>
    <r>
      <rPr>
        <rFont val="Noto Sans CJK SC"/>
        <i/>
        <color rgb="FF7F7F7F"/>
        <sz val="8.0"/>
      </rPr>
      <t>글로벌</t>
    </r>
    <r>
      <rPr>
        <rFont val="맑은 고딕"/>
        <i/>
        <color rgb="FF7F7F7F"/>
        <sz val="8.0"/>
      </rPr>
      <t>)</t>
    </r>
    <r>
      <rPr>
        <rFont val="Noto Sans CJK SC"/>
        <i/>
        <color rgb="FF7F7F7F"/>
        <sz val="8.0"/>
      </rPr>
      <t>에 있으나 기존 데이터셋에 없음</t>
    </r>
  </si>
  <si>
    <r>
      <rPr>
        <rFont val="Noto Sans CJK SC"/>
        <color rgb="FF7F7F7F"/>
        <sz val="9.0"/>
      </rPr>
      <t xml:space="preserve">없으면 </t>
    </r>
    <r>
      <rPr>
        <rFont val="맑은 고딕"/>
        <color rgb="FF7F7F7F"/>
        <sz val="9.0"/>
      </rPr>
      <t>0</t>
    </r>
  </si>
  <si>
    <r>
      <rPr>
        <rFont val="Noto Sans CJK SC"/>
        <b/>
        <color rgb="FF000000"/>
        <sz val="9.0"/>
      </rPr>
      <t>역할</t>
    </r>
    <r>
      <rPr>
        <rFont val="맑은 고딕"/>
        <b/>
        <color rgb="FF000000"/>
        <sz val="9.0"/>
      </rPr>
      <t>·</t>
    </r>
    <r>
      <rPr>
        <rFont val="Noto Sans CJK SC"/>
        <b/>
        <color rgb="FF000000"/>
        <sz val="9.0"/>
      </rPr>
      <t>내용</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</si>
  <si>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</si>
  <si>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Noto Sans CJK SC"/>
        <b/>
        <color rgb="FF000000"/>
        <sz val="9.0"/>
      </rPr>
      <t>등급</t>
    </r>
    <r>
      <rPr>
        <rFont val="맑은 고딕"/>
        <b/>
        <color rgb="FF000000"/>
        <sz val="9.0"/>
      </rPr>
      <t>·</t>
    </r>
    <r>
      <rPr>
        <rFont val="Noto Sans CJK SC"/>
        <b/>
        <color rgb="FF000000"/>
        <sz val="9.0"/>
      </rPr>
      <t>레벨</t>
    </r>
  </si>
  <si>
    <r>
      <rPr>
        <rFont val="맑은 고딕"/>
        <i/>
        <color rgb="FF7F7F7F"/>
        <sz val="8.0"/>
      </rPr>
      <t>[</t>
    </r>
    <r>
      <rPr>
        <rFont val="Noto Sans CJK SC"/>
        <i/>
        <color rgb="FF7F7F7F"/>
        <sz val="8.0"/>
      </rPr>
      <t xml:space="preserve">튜터 </t>
    </r>
    <r>
      <rPr>
        <rFont val="맑은 고딕"/>
        <i/>
        <color rgb="FF7F7F7F"/>
        <sz val="8.0"/>
      </rPr>
      <t xml:space="preserve">/ </t>
    </r>
    <r>
      <rPr>
        <rFont val="Noto Sans CJK SC"/>
        <i/>
        <color rgb="FF7F7F7F"/>
        <sz val="8.0"/>
      </rPr>
      <t xml:space="preserve">튜티 </t>
    </r>
    <r>
      <rPr>
        <rFont val="맑은 고딕"/>
        <i/>
        <color rgb="FF7F7F7F"/>
        <sz val="8.0"/>
      </rPr>
      <t xml:space="preserve">/ </t>
    </r>
    <r>
      <rPr>
        <rFont val="Noto Sans CJK SC"/>
        <i/>
        <color rgb="FF7F7F7F"/>
        <sz val="8.0"/>
      </rPr>
      <t xml:space="preserve">멘토 </t>
    </r>
    <r>
      <rPr>
        <rFont val="맑은 고딕"/>
        <i/>
        <color rgb="FF7F7F7F"/>
        <sz val="8.0"/>
      </rPr>
      <t xml:space="preserve">/ </t>
    </r>
    <r>
      <rPr>
        <rFont val="Noto Sans CJK SC"/>
        <i/>
        <color rgb="FF7F7F7F"/>
        <sz val="8.0"/>
      </rPr>
      <t xml:space="preserve">멘티 </t>
    </r>
    <r>
      <rPr>
        <rFont val="맑은 고딕"/>
        <i/>
        <color rgb="FF7F7F7F"/>
        <sz val="8.0"/>
      </rPr>
      <t xml:space="preserve">/ </t>
    </r>
    <r>
      <rPr>
        <rFont val="Noto Sans CJK SC"/>
        <i/>
        <color rgb="FF7F7F7F"/>
        <sz val="8.0"/>
      </rPr>
      <t xml:space="preserve">스터디 </t>
    </r>
    <r>
      <rPr>
        <rFont val="맑은 고딕"/>
        <i/>
        <color rgb="FF7F7F7F"/>
        <sz val="8.0"/>
      </rPr>
      <t xml:space="preserve">/ </t>
    </r>
    <r>
      <rPr>
        <rFont val="Noto Sans CJK SC"/>
        <i/>
        <color rgb="FF7F7F7F"/>
        <sz val="8.0"/>
      </rPr>
      <t>학습공동체</t>
    </r>
    <r>
      <rPr>
        <rFont val="맑은 고딕"/>
        <i/>
        <color rgb="FF7F7F7F"/>
        <sz val="8.0"/>
      </rPr>
      <t>]</t>
    </r>
  </si>
  <si>
    <r>
      <rPr>
        <rFont val="맑은 고딕"/>
        <i/>
        <color rgb="FF7F7F7F"/>
        <sz val="8.0"/>
      </rPr>
      <t xml:space="preserve">[TOEIC / TOEFL iBT / TOEIC Speaking / OPIc / HSK / JPT / JLPT / DELF/DALF / DELE / </t>
    </r>
    <r>
      <rPr>
        <rFont val="Noto Sans CJK SC"/>
        <i/>
        <color rgb="FF7F7F7F"/>
        <sz val="8.0"/>
      </rPr>
      <t>기타</t>
    </r>
    <r>
      <rPr>
        <rFont val="맑은 고딕"/>
        <i/>
        <color rgb="FF7F7F7F"/>
        <sz val="8.0"/>
      </rPr>
      <t>]</t>
    </r>
  </si>
  <si>
    <r>
      <rPr>
        <rFont val="Noto Sans CJK SC"/>
        <color rgb="FF7F7F7F"/>
        <sz val="9.0"/>
      </rPr>
      <t>예</t>
    </r>
    <r>
      <rPr>
        <rFont val="맑은 고딕"/>
        <color rgb="FF7F7F7F"/>
        <sz val="9.0"/>
      </rPr>
      <t xml:space="preserve">: </t>
    </r>
    <r>
      <rPr>
        <rFont val="Noto Sans CJK SC"/>
        <color rgb="FF7F7F7F"/>
        <sz val="9.0"/>
      </rPr>
      <t>영어</t>
    </r>
  </si>
  <si>
    <r>
      <rPr>
        <rFont val="Noto Sans CJK SC"/>
        <i/>
        <color rgb="FF7F7F7F"/>
        <sz val="8.0"/>
      </rPr>
      <t>예</t>
    </r>
    <r>
      <rPr>
        <rFont val="맑은 고딕"/>
        <i/>
        <color rgb="FF7F7F7F"/>
        <sz val="8.0"/>
      </rPr>
      <t>: IH, N1, 5</t>
    </r>
    <r>
      <rPr>
        <rFont val="Noto Sans CJK SC"/>
        <i/>
        <color rgb="FF7F7F7F"/>
        <sz val="8.0"/>
      </rPr>
      <t>급</t>
    </r>
  </si>
  <si>
    <r>
      <rPr>
        <rFont val="Noto Sans CJK SC"/>
        <b/>
        <color rgb="FFFFFFFF"/>
        <sz val="11.0"/>
      </rPr>
      <t>■ 디지털</t>
    </r>
    <r>
      <rPr>
        <rFont val="맑은 고딕"/>
        <b/>
        <color rgb="FFFFFFFF"/>
        <sz val="11.0"/>
      </rPr>
      <t>·AI</t>
    </r>
  </si>
  <si>
    <r>
      <rPr>
        <rFont val="맑은 고딕"/>
        <b/>
        <color rgb="FF000000"/>
        <sz val="11.0"/>
      </rPr>
      <t>AI</t>
    </r>
    <r>
      <rPr>
        <rFont val="Noto Sans CJK SC"/>
        <b/>
        <color rgb="FF000000"/>
        <sz val="11.0"/>
      </rPr>
      <t>교육 이수내역</t>
    </r>
  </si>
  <si>
    <r>
      <rPr>
        <rFont val="Noto Sans CJK SC"/>
        <b/>
        <color rgb="FF000000"/>
        <sz val="11.0"/>
      </rPr>
      <t>자격증</t>
    </r>
    <r>
      <rPr>
        <rFont val="맑은 고딕"/>
        <b/>
        <color rgb="FF000000"/>
        <sz val="11.0"/>
      </rPr>
      <t>(</t>
    </r>
    <r>
      <rPr>
        <rFont val="Noto Sans CJK SC"/>
        <b/>
        <color rgb="FF000000"/>
        <sz val="11.0"/>
      </rPr>
      <t>기타</t>
    </r>
    <r>
      <rPr>
        <rFont val="맑은 고딕"/>
        <b/>
        <color rgb="FF000000"/>
        <sz val="11.0"/>
      </rPr>
      <t>/</t>
    </r>
    <r>
      <rPr>
        <rFont val="Noto Sans CJK SC"/>
        <b/>
        <color rgb="FF000000"/>
        <sz val="11.0"/>
      </rPr>
      <t>전공</t>
    </r>
    <r>
      <rPr>
        <rFont val="맑은 고딕"/>
        <b/>
        <color rgb="FF000000"/>
        <sz val="11.0"/>
      </rPr>
      <t>)</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</si>
  <si>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xml:space="preserve">· </t>
    </r>
    <r>
      <rPr>
        <rFont val="Noto Sans CJK SC"/>
        <i/>
        <color rgb="FF7F7F7F"/>
        <sz val="8.0"/>
      </rPr>
      <t xml:space="preserve">비교과 </t>
    </r>
    <r>
      <rPr>
        <rFont val="맑은 고딕"/>
        <i/>
        <color rgb="FF7F7F7F"/>
        <sz val="8.0"/>
      </rPr>
      <t>· 3</t>
    </r>
    <r>
      <rPr>
        <rFont val="Noto Sans CJK SC"/>
        <i/>
        <color rgb="FF7F7F7F"/>
        <sz val="8.0"/>
      </rPr>
      <t>품</t>
    </r>
    <r>
      <rPr>
        <rFont val="맑은 고딕"/>
        <i/>
        <color rgb="FF7F7F7F"/>
        <sz val="8.0"/>
      </rPr>
      <t xml:space="preserve">(AI)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자원</t>
    </r>
    <r>
      <rPr>
        <rFont val="맑은 고딕"/>
        <i/>
        <color rgb="FF7F7F7F"/>
        <sz val="8.0"/>
      </rPr>
      <t>·</t>
    </r>
    <r>
      <rPr>
        <rFont val="Noto Sans CJK SC"/>
        <i/>
        <color rgb="FF7F7F7F"/>
        <sz val="8.0"/>
      </rPr>
      <t xml:space="preserve">정보기술활용 </t>
    </r>
    <r>
      <rPr>
        <rFont val="맑은 고딕"/>
        <i/>
        <color rgb="FF7F7F7F"/>
        <sz val="8.0"/>
      </rPr>
      <t xml:space="preserve">/ </t>
    </r>
    <r>
      <rPr>
        <rFont val="Noto Sans CJK SC"/>
        <i/>
        <color rgb="FF7F7F7F"/>
        <sz val="8.0"/>
      </rPr>
      <t xml:space="preserve">디지털리터러시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이수 </t>
    </r>
    <r>
      <rPr>
        <rFont val="맑은 고딕"/>
        <i/>
        <color rgb="FF7F7F7F"/>
        <sz val="8.0"/>
      </rPr>
      <t>'</t>
    </r>
    <r>
      <rPr>
        <rFont val="Noto Sans CJK SC"/>
        <i/>
        <color rgb="FF7F7F7F"/>
        <sz val="8.0"/>
      </rPr>
      <t>시간</t>
    </r>
    <r>
      <rPr>
        <rFont val="맑은 고딕"/>
        <i/>
        <color rgb="FF7F7F7F"/>
        <sz val="8.0"/>
      </rPr>
      <t>'</t>
    </r>
    <r>
      <rPr>
        <rFont val="Noto Sans CJK SC"/>
        <i/>
        <color rgb="FF7F7F7F"/>
        <sz val="8.0"/>
      </rPr>
      <t>까지 받으면 정량화 쉬워짐</t>
    </r>
  </si>
  <si>
    <r>
      <rPr>
        <rFont val="Noto Sans CJK SC"/>
        <b/>
        <color rgb="FF000000"/>
        <sz val="9.0"/>
      </rPr>
      <t>이수 시간</t>
    </r>
    <r>
      <rPr>
        <rFont val="맑은 고딕"/>
        <b/>
        <color rgb="FF000000"/>
        <sz val="9.0"/>
      </rPr>
      <t>(h)</t>
    </r>
  </si>
  <si>
    <r>
      <rPr>
        <rFont val="Noto Sans CJK SC"/>
        <i/>
        <color rgb="FF7F7F7F"/>
        <sz val="8.0"/>
      </rPr>
      <t>출처</t>
    </r>
    <r>
      <rPr>
        <rFont val="맑은 고딕"/>
        <i/>
        <color rgb="FF7F7F7F"/>
        <sz val="8.0"/>
      </rPr>
      <t xml:space="preserve">: LMS(i-Campus)   |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커뮤니케이션</t>
    </r>
    <r>
      <rPr>
        <rFont val="맑은 고딕"/>
        <i/>
        <color rgb="FF7F7F7F"/>
        <sz val="8.0"/>
      </rPr>
      <t>(</t>
    </r>
    <r>
      <rPr>
        <rFont val="Noto Sans CJK SC"/>
        <i/>
        <color rgb="FF7F7F7F"/>
        <sz val="8.0"/>
      </rPr>
      <t>협업</t>
    </r>
    <r>
      <rPr>
        <rFont val="맑은 고딕"/>
        <i/>
        <color rgb="FF7F7F7F"/>
        <sz val="8.0"/>
      </rPr>
      <t xml:space="preserve">) / </t>
    </r>
    <r>
      <rPr>
        <rFont val="Noto Sans CJK SC"/>
        <i/>
        <color rgb="FF7F7F7F"/>
        <sz val="8.0"/>
      </rPr>
      <t xml:space="preserve">대인관계 </t>
    </r>
    <r>
      <rPr>
        <rFont val="맑은 고딕"/>
        <i/>
        <color rgb="FF7F7F7F"/>
        <sz val="8.0"/>
      </rPr>
      <t xml:space="preserve">/ </t>
    </r>
    <r>
      <rPr>
        <rFont val="Noto Sans CJK SC"/>
        <i/>
        <color rgb="FF7F7F7F"/>
        <sz val="8.0"/>
      </rPr>
      <t xml:space="preserve">리더십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대인관계 역량을 </t>
    </r>
    <r>
      <rPr>
        <rFont val="맑은 고딕"/>
        <i/>
        <color rgb="FF7F7F7F"/>
        <sz val="8.0"/>
      </rPr>
      <t>'</t>
    </r>
    <r>
      <rPr>
        <rFont val="Noto Sans CJK SC"/>
        <i/>
        <color rgb="FF7F7F7F"/>
        <sz val="8.0"/>
      </rPr>
      <t>활동 여부</t>
    </r>
    <r>
      <rPr>
        <rFont val="맑은 고딕"/>
        <i/>
        <color rgb="FF7F7F7F"/>
        <sz val="8.0"/>
      </rPr>
      <t>'</t>
    </r>
    <r>
      <rPr>
        <rFont val="Noto Sans CJK SC"/>
        <i/>
        <color rgb="FF7F7F7F"/>
        <sz val="8.0"/>
      </rPr>
      <t xml:space="preserve">가 아닌 </t>
    </r>
    <r>
      <rPr>
        <rFont val="맑은 고딕"/>
        <i/>
        <color rgb="FF7F7F7F"/>
        <sz val="8.0"/>
      </rPr>
      <t>'</t>
    </r>
    <r>
      <rPr>
        <rFont val="Noto Sans CJK SC"/>
        <i/>
        <color rgb="FF7F7F7F"/>
        <sz val="8.0"/>
      </rPr>
      <t>평판</t>
    </r>
    <r>
      <rPr>
        <rFont val="맑은 고딕"/>
        <i/>
        <color rgb="FF7F7F7F"/>
        <sz val="8.0"/>
      </rPr>
      <t>'</t>
    </r>
    <r>
      <rPr>
        <rFont val="Noto Sans CJK SC"/>
        <i/>
        <color rgb="FF7F7F7F"/>
        <sz val="8.0"/>
      </rPr>
      <t>으로 측정할 수 있는 유일한 근거</t>
    </r>
  </si>
  <si>
    <r>
      <rPr>
        <rFont val="맑은 고딕"/>
        <i/>
        <color rgb="FF7F7F7F"/>
        <sz val="8.0"/>
      </rPr>
      <t>[</t>
    </r>
    <r>
      <rPr>
        <rFont val="Noto Sans CJK SC"/>
        <i/>
        <color rgb="FF7F7F7F"/>
        <sz val="8.0"/>
      </rPr>
      <t xml:space="preserve">교과 </t>
    </r>
    <r>
      <rPr>
        <rFont val="맑은 고딕"/>
        <i/>
        <color rgb="FF7F7F7F"/>
        <sz val="8.0"/>
      </rPr>
      <t xml:space="preserve">/ </t>
    </r>
    <r>
      <rPr>
        <rFont val="Noto Sans CJK SC"/>
        <i/>
        <color rgb="FF7F7F7F"/>
        <sz val="8.0"/>
      </rPr>
      <t xml:space="preserve">비교과 </t>
    </r>
    <r>
      <rPr>
        <rFont val="맑은 고딕"/>
        <i/>
        <color rgb="FF7F7F7F"/>
        <sz val="8.0"/>
      </rPr>
      <t>/ 3</t>
    </r>
    <r>
      <rPr>
        <rFont val="Noto Sans CJK SC"/>
        <i/>
        <color rgb="FF7F7F7F"/>
        <sz val="8.0"/>
      </rPr>
      <t>품</t>
    </r>
    <r>
      <rPr>
        <rFont val="맑은 고딕"/>
        <i/>
        <color rgb="FF7F7F7F"/>
        <sz val="8.0"/>
      </rPr>
      <t>(AI)]</t>
    </r>
  </si>
  <si>
    <r>
      <rPr>
        <rFont val="맑은 고딕"/>
        <i/>
        <color rgb="FF7F7F7F"/>
        <sz val="8.0"/>
      </rPr>
      <t>[</t>
    </r>
    <r>
      <rPr>
        <rFont val="Noto Sans CJK SC"/>
        <i/>
        <color rgb="FF7F7F7F"/>
        <sz val="8.0"/>
      </rPr>
      <t xml:space="preserve">이수 </t>
    </r>
    <r>
      <rPr>
        <rFont val="맑은 고딕"/>
        <i/>
        <color rgb="FF7F7F7F"/>
        <sz val="8.0"/>
      </rPr>
      <t xml:space="preserve">/ </t>
    </r>
    <r>
      <rPr>
        <rFont val="Noto Sans CJK SC"/>
        <i/>
        <color rgb="FF7F7F7F"/>
        <sz val="8.0"/>
      </rPr>
      <t xml:space="preserve">수강중 </t>
    </r>
    <r>
      <rPr>
        <rFont val="맑은 고딕"/>
        <i/>
        <color rgb="FF7F7F7F"/>
        <sz val="8.0"/>
      </rPr>
      <t xml:space="preserve">/ </t>
    </r>
    <r>
      <rPr>
        <rFont val="Noto Sans CJK SC"/>
        <i/>
        <color rgb="FF7F7F7F"/>
        <sz val="8.0"/>
      </rPr>
      <t>미이수</t>
    </r>
    <r>
      <rPr>
        <rFont val="맑은 고딕"/>
        <i/>
        <color rgb="FF7F7F7F"/>
        <sz val="8.0"/>
      </rPr>
      <t>]</t>
    </r>
  </si>
  <si>
    <r>
      <rPr>
        <rFont val="Noto Sans CJK SC"/>
        <b/>
        <color rgb="FF000000"/>
        <sz val="9.0"/>
      </rPr>
      <t>평가 인원</t>
    </r>
    <r>
      <rPr>
        <rFont val="맑은 고딕"/>
        <b/>
        <color rgb="FF000000"/>
        <sz val="9.0"/>
      </rPr>
      <t>(</t>
    </r>
    <r>
      <rPr>
        <rFont val="Noto Sans CJK SC"/>
        <b/>
        <color rgb="FF000000"/>
        <sz val="9.0"/>
      </rPr>
      <t>명</t>
    </r>
    <r>
      <rPr>
        <rFont val="맑은 고딕"/>
        <b/>
        <color rgb="FF000000"/>
        <sz val="9.0"/>
      </rPr>
      <t>)</t>
    </r>
  </si>
  <si>
    <r>
      <rPr>
        <rFont val="맑은 고딕"/>
        <color rgb="FF1F3B8A"/>
        <sz val="10.0"/>
      </rPr>
      <t xml:space="preserve">ChatGPT </t>
    </r>
    <r>
      <rPr>
        <rFont val="Noto Sans CJK SC"/>
        <color rgb="FF1F3B8A"/>
        <sz val="10.0"/>
      </rPr>
      <t>특강 들음</t>
    </r>
  </si>
  <si>
    <r>
      <rPr>
        <rFont val="맑은 고딕"/>
        <color rgb="FF1F3B8A"/>
        <sz val="10.0"/>
      </rPr>
      <t>2</t>
    </r>
    <r>
      <rPr>
        <rFont val="Noto Sans CJK SC"/>
        <color rgb="FF1F3B8A"/>
        <sz val="10.0"/>
      </rPr>
      <t>시간쯤</t>
    </r>
  </si>
  <si>
    <r>
      <rPr>
        <rFont val="맑은 고딕"/>
        <i/>
        <color rgb="FF7F7F7F"/>
        <sz val="8.0"/>
      </rPr>
      <t>YYYY-1 / YYYY-2 / YYYY-</t>
    </r>
    <r>
      <rPr>
        <rFont val="Noto Sans CJK SC"/>
        <i/>
        <color rgb="FF7F7F7F"/>
        <sz val="8.0"/>
      </rPr>
      <t xml:space="preserve">여름 </t>
    </r>
    <r>
      <rPr>
        <rFont val="맑은 고딕"/>
        <i/>
        <color rgb="FF7F7F7F"/>
        <sz val="8.0"/>
      </rPr>
      <t>/ YYYY-</t>
    </r>
    <r>
      <rPr>
        <rFont val="Noto Sans CJK SC"/>
        <i/>
        <color rgb="FF7F7F7F"/>
        <sz val="8.0"/>
      </rPr>
      <t>겨울</t>
    </r>
  </si>
  <si>
    <r>
      <rPr>
        <rFont val="맑은 고딕"/>
        <b/>
        <color rgb="FF000000"/>
        <sz val="11.0"/>
      </rPr>
      <t xml:space="preserve">AI </t>
    </r>
    <r>
      <rPr>
        <rFont val="Noto Sans CJK SC"/>
        <b/>
        <color rgb="FF000000"/>
        <sz val="11.0"/>
      </rPr>
      <t>프로젝트</t>
    </r>
    <r>
      <rPr>
        <rFont val="맑은 고딕"/>
        <b/>
        <color rgb="FF000000"/>
        <sz val="11.0"/>
      </rPr>
      <t>·</t>
    </r>
    <r>
      <rPr>
        <rFont val="Noto Sans CJK SC"/>
        <b/>
        <color rgb="FF000000"/>
        <sz val="11.0"/>
      </rPr>
      <t>대회</t>
    </r>
  </si>
  <si>
    <r>
      <rPr>
        <rFont val="Noto Sans CJK SC"/>
        <b/>
        <color rgb="FFFFFFFF"/>
        <sz val="11.0"/>
      </rPr>
      <t>■ 자격</t>
    </r>
    <r>
      <rPr>
        <rFont val="맑은 고딕"/>
        <b/>
        <color rgb="FFFFFFFF"/>
        <sz val="11.0"/>
      </rPr>
      <t>·</t>
    </r>
    <r>
      <rPr>
        <rFont val="Noto Sans CJK SC"/>
        <b/>
        <color rgb="FFFFFFFF"/>
        <sz val="11.0"/>
      </rPr>
      <t>인증</t>
    </r>
  </si>
  <si>
    <r>
      <rPr>
        <rFont val="Noto Sans CJK SC"/>
        <i/>
        <color rgb="FF7F7F7F"/>
        <sz val="8.0"/>
      </rPr>
      <t>출처</t>
    </r>
    <r>
      <rPr>
        <rFont val="맑은 고딕"/>
        <i/>
        <color rgb="FF7F7F7F"/>
        <sz val="8.0"/>
      </rPr>
      <t xml:space="preserve">: </t>
    </r>
    <r>
      <rPr>
        <rFont val="Noto Sans CJK SC"/>
        <i/>
        <color rgb="FF7F7F7F"/>
        <sz val="8.0"/>
      </rPr>
      <t xml:space="preserve">학생 등록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 xml:space="preserve">-IT </t>
    </r>
    <r>
      <rPr>
        <rFont val="Noto Sans CJK SC"/>
        <i/>
        <color rgb="FF7F7F7F"/>
        <sz val="8.0"/>
      </rPr>
      <t>활용</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자원</t>
    </r>
    <r>
      <rPr>
        <rFont val="맑은 고딕"/>
        <i/>
        <color rgb="FF7F7F7F"/>
        <sz val="8.0"/>
      </rPr>
      <t>·</t>
    </r>
    <r>
      <rPr>
        <rFont val="Noto Sans CJK SC"/>
        <i/>
        <color rgb="FF7F7F7F"/>
        <sz val="8.0"/>
      </rPr>
      <t xml:space="preserve">정보기술활용 </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 xml:space="preserve">디지털리터러시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자격증별 </t>
    </r>
    <r>
      <rPr>
        <rFont val="맑은 고딕"/>
        <i/>
        <color rgb="FF7F7F7F"/>
        <sz val="8.0"/>
      </rPr>
      <t>'</t>
    </r>
    <r>
      <rPr>
        <rFont val="Noto Sans CJK SC"/>
        <i/>
        <color rgb="FF7F7F7F"/>
        <sz val="8.0"/>
      </rPr>
      <t>등급</t>
    </r>
    <r>
      <rPr>
        <rFont val="맑은 고딕"/>
        <i/>
        <color rgb="FF7F7F7F"/>
        <sz val="8.0"/>
      </rPr>
      <t>·</t>
    </r>
    <r>
      <rPr>
        <rFont val="Noto Sans CJK SC"/>
        <i/>
        <color rgb="FF7F7F7F"/>
        <sz val="8.0"/>
      </rPr>
      <t>난이도</t>
    </r>
    <r>
      <rPr>
        <rFont val="맑은 고딕"/>
        <i/>
        <color rgb="FF7F7F7F"/>
        <sz val="8.0"/>
      </rPr>
      <t xml:space="preserve">' </t>
    </r>
    <r>
      <rPr>
        <rFont val="Noto Sans CJK SC"/>
        <i/>
        <color rgb="FF7F7F7F"/>
        <sz val="8.0"/>
      </rPr>
      <t>매핑표 필요</t>
    </r>
  </si>
  <si>
    <r>
      <rPr>
        <rFont val="Noto Sans CJK SC"/>
        <b/>
        <color rgb="FF000000"/>
        <sz val="9.0"/>
      </rPr>
      <t>등급</t>
    </r>
    <r>
      <rPr>
        <rFont val="맑은 고딕"/>
        <b/>
        <color rgb="FF000000"/>
        <sz val="9.0"/>
      </rPr>
      <t>·</t>
    </r>
    <r>
      <rPr>
        <rFont val="Noto Sans CJK SC"/>
        <b/>
        <color rgb="FF000000"/>
        <sz val="9.0"/>
      </rPr>
      <t>급수</t>
    </r>
  </si>
  <si>
    <r>
      <rPr>
        <rFont val="Noto Sans CJK SC"/>
        <b/>
        <color rgb="FF000000"/>
        <sz val="11.0"/>
      </rPr>
      <t>자격증</t>
    </r>
    <r>
      <rPr>
        <rFont val="맑은 고딕"/>
        <b/>
        <color rgb="FF000000"/>
        <sz val="11.0"/>
      </rPr>
      <t>(</t>
    </r>
    <r>
      <rPr>
        <rFont val="Noto Sans CJK SC"/>
        <b/>
        <color rgb="FF000000"/>
        <sz val="11.0"/>
      </rPr>
      <t>어학</t>
    </r>
    <r>
      <rPr>
        <rFont val="맑은 고딕"/>
        <b/>
        <color rgb="FF000000"/>
        <sz val="11.0"/>
      </rPr>
      <t>)</t>
    </r>
  </si>
  <si>
    <r>
      <rPr>
        <rFont val="Noto Sans CJK SC"/>
        <i/>
        <color rgb="FF7F7F7F"/>
        <sz val="8.0"/>
      </rPr>
      <t>출처</t>
    </r>
    <r>
      <rPr>
        <rFont val="맑은 고딕"/>
        <i/>
        <color rgb="FF7F7F7F"/>
        <sz val="8.0"/>
      </rPr>
      <t xml:space="preserve">: </t>
    </r>
    <r>
      <rPr>
        <rFont val="Noto Sans CJK SC"/>
        <i/>
        <color rgb="FF7F7F7F"/>
        <sz val="8.0"/>
      </rPr>
      <t xml:space="preserve">학생성공 게이트웨이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자기관리 </t>
    </r>
    <r>
      <rPr>
        <rFont val="맑은 고딕"/>
        <i/>
        <color rgb="FF7F7F7F"/>
        <sz val="8.0"/>
      </rPr>
      <t xml:space="preserve">/ </t>
    </r>
    <r>
      <rPr>
        <rFont val="Noto Sans CJK SC"/>
        <i/>
        <color rgb="FF7F7F7F"/>
        <sz val="8.0"/>
      </rPr>
      <t xml:space="preserve">학업성취   </t>
    </r>
    <r>
      <rPr>
        <rFont val="맑은 고딕"/>
        <i/>
        <color rgb="FF7F7F7F"/>
        <sz val="8.0"/>
      </rPr>
      <t xml:space="preserve">|   </t>
    </r>
    <r>
      <rPr>
        <rFont val="Noto Sans CJK SC"/>
        <i/>
        <color rgb="FF7F7F7F"/>
        <sz val="8.0"/>
      </rPr>
      <t>비고</t>
    </r>
    <r>
      <rPr>
        <rFont val="맑은 고딕"/>
        <i/>
        <color rgb="FF7F7F7F"/>
        <sz val="8.0"/>
      </rPr>
      <t>: SSCA</t>
    </r>
    <r>
      <rPr>
        <rFont val="Noto Sans CJK SC"/>
        <i/>
        <color rgb="FF7F7F7F"/>
        <sz val="8.0"/>
      </rPr>
      <t>와 동일하게 비교용 권장</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</si>
  <si>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3</t>
    </r>
    <r>
      <rPr>
        <rFont val="Noto Sans CJK SC"/>
        <i/>
        <color rgb="FF7F7F7F"/>
        <sz val="8.0"/>
      </rPr>
      <t>품</t>
    </r>
    <r>
      <rPr>
        <rFont val="맑은 고딕"/>
        <i/>
        <color rgb="FF7F7F7F"/>
        <sz val="8.0"/>
      </rPr>
      <t xml:space="preserve">(AI)   |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디지털리터러시</t>
    </r>
    <r>
      <rPr>
        <rFont val="맑은 고딕"/>
        <i/>
        <color rgb="FF7F7F7F"/>
        <sz val="8.0"/>
      </rPr>
      <t xml:space="preserve">(AI </t>
    </r>
    <r>
      <rPr>
        <rFont val="Noto Sans CJK SC"/>
        <i/>
        <color rgb="FF7F7F7F"/>
        <sz val="8.0"/>
      </rPr>
      <t>활용</t>
    </r>
    <r>
      <rPr>
        <rFont val="맑은 고딕"/>
        <i/>
        <color rgb="FF7F7F7F"/>
        <sz val="8.0"/>
      </rPr>
      <t xml:space="preserve">) / </t>
    </r>
    <r>
      <rPr>
        <rFont val="Noto Sans CJK SC"/>
        <i/>
        <color rgb="FF7F7F7F"/>
        <sz val="8.0"/>
      </rPr>
      <t xml:space="preserve">문제해결력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공모전 항목과 중복 가산되지 않게 분리</t>
    </r>
  </si>
  <si>
    <r>
      <rPr>
        <rFont val="Noto Sans CJK SC"/>
        <b/>
        <color rgb="FF000000"/>
        <sz val="11.0"/>
      </rPr>
      <t>활동 성찰 기록</t>
    </r>
    <r>
      <rPr>
        <rFont val="맑은 고딕"/>
        <b/>
        <color rgb="FF000000"/>
        <sz val="11.0"/>
      </rPr>
      <t>(STAR)</t>
    </r>
  </si>
  <si>
    <r>
      <rPr>
        <rFont val="Noto Sans CJK SC"/>
        <b/>
        <color rgb="FF000000"/>
        <sz val="11.0"/>
      </rPr>
      <t>전문직</t>
    </r>
    <r>
      <rPr>
        <rFont val="맑은 고딕"/>
        <b/>
        <color rgb="FF000000"/>
        <sz val="11.0"/>
      </rPr>
      <t>·</t>
    </r>
    <r>
      <rPr>
        <rFont val="Noto Sans CJK SC"/>
        <b/>
        <color rgb="FF000000"/>
        <sz val="11.0"/>
      </rPr>
      <t>공직 시험</t>
    </r>
  </si>
  <si>
    <r>
      <rPr>
        <rFont val="Noto Sans CJK SC"/>
        <b/>
        <color rgb="FF000000"/>
        <sz val="9.0"/>
      </rPr>
      <t>결과</t>
    </r>
    <r>
      <rPr>
        <rFont val="맑은 고딕"/>
        <b/>
        <color rgb="FF000000"/>
        <sz val="9.0"/>
      </rPr>
      <t>·</t>
    </r>
    <r>
      <rPr>
        <rFont val="Noto Sans CJK SC"/>
        <b/>
        <color rgb="FF000000"/>
        <sz val="9.0"/>
      </rPr>
      <t>산출물</t>
    </r>
  </si>
  <si>
    <r>
      <rPr>
        <rFont val="맑은 고딕"/>
        <i/>
        <color rgb="FF7F7F7F"/>
        <sz val="8.0"/>
      </rPr>
      <t>[AI</t>
    </r>
    <r>
      <rPr>
        <rFont val="Noto Sans CJK SC"/>
        <i/>
        <color rgb="FF7F7F7F"/>
        <sz val="8.0"/>
      </rPr>
      <t xml:space="preserve">캡스톤 </t>
    </r>
    <r>
      <rPr>
        <rFont val="맑은 고딕"/>
        <i/>
        <color rgb="FF7F7F7F"/>
        <sz val="8.0"/>
      </rPr>
      <t>/ AI</t>
    </r>
    <r>
      <rPr>
        <rFont val="Noto Sans CJK SC"/>
        <i/>
        <color rgb="FF7F7F7F"/>
        <sz val="8.0"/>
      </rPr>
      <t xml:space="preserve">대회 </t>
    </r>
    <r>
      <rPr>
        <rFont val="맑은 고딕"/>
        <i/>
        <color rgb="FF7F7F7F"/>
        <sz val="8.0"/>
      </rPr>
      <t>/ AI</t>
    </r>
    <r>
      <rPr>
        <rFont val="Noto Sans CJK SC"/>
        <i/>
        <color rgb="FF7F7F7F"/>
        <sz val="8.0"/>
      </rPr>
      <t xml:space="preserve">공모전 </t>
    </r>
    <r>
      <rPr>
        <rFont val="맑은 고딕"/>
        <i/>
        <color rgb="FF7F7F7F"/>
        <sz val="8.0"/>
      </rPr>
      <t>/ AI</t>
    </r>
    <r>
      <rPr>
        <rFont val="Noto Sans CJK SC"/>
        <i/>
        <color rgb="FF7F7F7F"/>
        <sz val="8.0"/>
      </rPr>
      <t>프로젝트</t>
    </r>
    <r>
      <rPr>
        <rFont val="맑은 고딕"/>
        <i/>
        <color rgb="FF7F7F7F"/>
        <sz val="8.0"/>
      </rPr>
      <t>]</t>
    </r>
  </si>
  <si>
    <r>
      <rPr>
        <rFont val="맑은 고딕"/>
        <i/>
        <color rgb="FF7F7F7F"/>
        <sz val="8.0"/>
      </rPr>
      <t>[</t>
    </r>
    <r>
      <rPr>
        <rFont val="Noto Sans CJK SC"/>
        <i/>
        <color rgb="FF7F7F7F"/>
        <sz val="8.0"/>
      </rPr>
      <t xml:space="preserve">교내 </t>
    </r>
    <r>
      <rPr>
        <rFont val="맑은 고딕"/>
        <i/>
        <color rgb="FF7F7F7F"/>
        <sz val="8.0"/>
      </rPr>
      <t xml:space="preserve">/ </t>
    </r>
    <r>
      <rPr>
        <rFont val="Noto Sans CJK SC"/>
        <i/>
        <color rgb="FF7F7F7F"/>
        <sz val="8.0"/>
      </rPr>
      <t xml:space="preserve">지역 </t>
    </r>
    <r>
      <rPr>
        <rFont val="맑은 고딕"/>
        <i/>
        <color rgb="FF7F7F7F"/>
        <sz val="8.0"/>
      </rPr>
      <t xml:space="preserve">/ </t>
    </r>
    <r>
      <rPr>
        <rFont val="Noto Sans CJK SC"/>
        <i/>
        <color rgb="FF7F7F7F"/>
        <sz val="8.0"/>
      </rPr>
      <t xml:space="preserve">전국 </t>
    </r>
    <r>
      <rPr>
        <rFont val="맑은 고딕"/>
        <i/>
        <color rgb="FF7F7F7F"/>
        <sz val="8.0"/>
      </rPr>
      <t xml:space="preserve">/ </t>
    </r>
    <r>
      <rPr>
        <rFont val="Noto Sans CJK SC"/>
        <i/>
        <color rgb="FF7F7F7F"/>
        <sz val="8.0"/>
      </rPr>
      <t>국제</t>
    </r>
    <r>
      <rPr>
        <rFont val="맑은 고딕"/>
        <i/>
        <color rgb="FF7F7F7F"/>
        <sz val="8.0"/>
      </rPr>
      <t>]</t>
    </r>
  </si>
  <si>
    <r>
      <rPr>
        <rFont val="Noto Sans CJK SC"/>
        <i/>
        <color rgb="FF7F7F7F"/>
        <sz val="8.0"/>
      </rPr>
      <t>출처</t>
    </r>
    <r>
      <rPr>
        <rFont val="맑은 고딕"/>
        <i/>
        <color rgb="FF7F7F7F"/>
        <sz val="8.0"/>
      </rPr>
      <t xml:space="preserve">: </t>
    </r>
    <r>
      <rPr>
        <rFont val="Noto Sans CJK SC"/>
        <i/>
        <color rgb="FF7F7F7F"/>
        <sz val="8.0"/>
      </rPr>
      <t>학생 입력</t>
    </r>
    <r>
      <rPr>
        <rFont val="맑은 고딕"/>
        <i/>
        <color rgb="FF7F7F7F"/>
        <sz val="8.0"/>
      </rPr>
      <t>(</t>
    </r>
    <r>
      <rPr>
        <rFont val="Noto Sans CJK SC"/>
        <i/>
        <color rgb="FF7F7F7F"/>
        <sz val="8.0"/>
      </rPr>
      <t>포트폴리오</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리더십 </t>
    </r>
    <r>
      <rPr>
        <rFont val="맑은 고딕"/>
        <i/>
        <color rgb="FF7F7F7F"/>
        <sz val="8.0"/>
      </rPr>
      <t xml:space="preserve">/ </t>
    </r>
    <r>
      <rPr>
        <rFont val="Noto Sans CJK SC"/>
        <i/>
        <color rgb="FF7F7F7F"/>
        <sz val="8.0"/>
      </rPr>
      <t xml:space="preserve">문제해결력 </t>
    </r>
    <r>
      <rPr>
        <rFont val="맑은 고딕"/>
        <i/>
        <color rgb="FF7F7F7F"/>
        <sz val="8.0"/>
      </rPr>
      <t xml:space="preserve">/ </t>
    </r>
    <r>
      <rPr>
        <rFont val="Noto Sans CJK SC"/>
        <i/>
        <color rgb="FF7F7F7F"/>
        <sz val="8.0"/>
      </rPr>
      <t xml:space="preserve">커뮤니케이션 등 정성 역량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정성 루브릭이 판단할 </t>
    </r>
    <r>
      <rPr>
        <rFont val="맑은 고딕"/>
        <i/>
        <color rgb="FF7F7F7F"/>
        <sz val="8.0"/>
      </rPr>
      <t>'</t>
    </r>
    <r>
      <rPr>
        <rFont val="Noto Sans CJK SC"/>
        <i/>
        <color rgb="FF7F7F7F"/>
        <sz val="8.0"/>
      </rPr>
      <t>질적 근거</t>
    </r>
    <r>
      <rPr>
        <rFont val="맑은 고딕"/>
        <i/>
        <color rgb="FF7F7F7F"/>
        <sz val="8.0"/>
      </rPr>
      <t>'</t>
    </r>
    <r>
      <rPr>
        <rFont val="Noto Sans CJK SC"/>
        <i/>
        <color rgb="FF7F7F7F"/>
        <sz val="8.0"/>
      </rPr>
      <t>가 현재 거의 없음 → 가장 우선 확보 권장</t>
    </r>
  </si>
  <si>
    <r>
      <rPr>
        <rFont val="Noto Sans CJK SC"/>
        <b/>
        <color rgb="FF000000"/>
        <sz val="9.0"/>
      </rPr>
      <t xml:space="preserve">관련 카테고리 </t>
    </r>
    <r>
      <rPr>
        <rFont val="맑은 고딕"/>
        <b/>
        <color rgb="FF000000"/>
        <sz val="9.0"/>
      </rPr>
      <t>No</t>
    </r>
  </si>
  <si>
    <r>
      <rPr>
        <rFont val="Noto Sans CJK SC"/>
        <i/>
        <color rgb="FF7F7F7F"/>
        <sz val="8.0"/>
      </rPr>
      <t>출처</t>
    </r>
    <r>
      <rPr>
        <rFont val="맑은 고딕"/>
        <i/>
        <color rgb="FF7F7F7F"/>
        <sz val="8.0"/>
      </rPr>
      <t xml:space="preserve">: </t>
    </r>
    <r>
      <rPr>
        <rFont val="Noto Sans CJK SC"/>
        <i/>
        <color rgb="FF7F7F7F"/>
        <sz val="8.0"/>
      </rPr>
      <t>학생 등록</t>
    </r>
    <r>
      <rPr>
        <rFont val="맑은 고딕"/>
        <i/>
        <color rgb="FF7F7F7F"/>
        <sz val="8.0"/>
      </rPr>
      <t>(</t>
    </r>
    <r>
      <rPr>
        <rFont val="Noto Sans CJK SC"/>
        <i/>
        <color rgb="FF7F7F7F"/>
        <sz val="8.0"/>
      </rPr>
      <t>성적표</t>
    </r>
    <r>
      <rPr>
        <rFont val="맑은 고딕"/>
        <i/>
        <color rgb="FF7F7F7F"/>
        <sz val="8.0"/>
      </rPr>
      <t>) · 3</t>
    </r>
    <r>
      <rPr>
        <rFont val="Noto Sans CJK SC"/>
        <i/>
        <color rgb="FF7F7F7F"/>
        <sz val="8.0"/>
      </rPr>
      <t>품</t>
    </r>
    <r>
      <rPr>
        <rFont val="맑은 고딕"/>
        <i/>
        <color rgb="FF7F7F7F"/>
        <sz val="8.0"/>
      </rPr>
      <t>(</t>
    </r>
    <r>
      <rPr>
        <rFont val="Noto Sans CJK SC"/>
        <i/>
        <color rgb="FF7F7F7F"/>
        <sz val="8.0"/>
      </rPr>
      <t>글로벌</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글로벌</t>
    </r>
    <r>
      <rPr>
        <rFont val="맑은 고딕"/>
        <i/>
        <color rgb="FF7F7F7F"/>
        <sz val="8.0"/>
      </rPr>
      <t>(</t>
    </r>
    <r>
      <rPr>
        <rFont val="Noto Sans CJK SC"/>
        <i/>
        <color rgb="FF7F7F7F"/>
        <sz val="8.0"/>
      </rPr>
      <t>언어 사용능력</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시험별 공통 척도 환산표 필요</t>
    </r>
  </si>
  <si>
    <r>
      <rPr>
        <rFont val="Noto Sans CJK SC"/>
        <b/>
        <color rgb="FF000000"/>
        <sz val="9.0"/>
      </rPr>
      <t>상황</t>
    </r>
    <r>
      <rPr>
        <rFont val="맑은 고딕"/>
        <b/>
        <color rgb="FF000000"/>
        <sz val="9.0"/>
      </rPr>
      <t>(S)</t>
    </r>
  </si>
  <si>
    <r>
      <rPr>
        <rFont val="Noto Sans CJK SC"/>
        <b/>
        <color rgb="FF000000"/>
        <sz val="9.0"/>
      </rPr>
      <t>과제</t>
    </r>
    <r>
      <rPr>
        <rFont val="맑은 고딕"/>
        <b/>
        <color rgb="FF000000"/>
        <sz val="9.0"/>
      </rPr>
      <t>·</t>
    </r>
    <r>
      <rPr>
        <rFont val="Noto Sans CJK SC"/>
        <b/>
        <color rgb="FF000000"/>
        <sz val="9.0"/>
      </rPr>
      <t>역할</t>
    </r>
    <r>
      <rPr>
        <rFont val="맑은 고딕"/>
        <b/>
        <color rgb="FF000000"/>
        <sz val="9.0"/>
      </rPr>
      <t>(T)</t>
    </r>
  </si>
  <si>
    <r>
      <rPr>
        <rFont val="Noto Sans CJK SC"/>
        <b/>
        <color rgb="FF000000"/>
        <sz val="9.0"/>
      </rPr>
      <t>행동</t>
    </r>
    <r>
      <rPr>
        <rFont val="맑은 고딕"/>
        <b/>
        <color rgb="FF000000"/>
        <sz val="9.0"/>
      </rPr>
      <t>(A)</t>
    </r>
  </si>
  <si>
    <r>
      <rPr>
        <rFont val="Noto Sans CJK SC"/>
        <b/>
        <color rgb="FF000000"/>
        <sz val="9.0"/>
      </rPr>
      <t>등급</t>
    </r>
    <r>
      <rPr>
        <rFont val="맑은 고딕"/>
        <b/>
        <color rgb="FF000000"/>
        <sz val="9.0"/>
      </rPr>
      <t>·</t>
    </r>
    <r>
      <rPr>
        <rFont val="Noto Sans CJK SC"/>
        <b/>
        <color rgb="FF000000"/>
        <sz val="9.0"/>
      </rPr>
      <t>레벨</t>
    </r>
  </si>
  <si>
    <r>
      <rPr>
        <rFont val="Noto Sans CJK SC"/>
        <i/>
        <color rgb="FF7F7F7F"/>
        <sz val="8.0"/>
      </rPr>
      <t>출처</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t>
    </r>
    <r>
      <rPr>
        <rFont val="Noto Sans CJK SC"/>
        <i/>
        <color rgb="FF7F7F7F"/>
        <sz val="8.0"/>
      </rPr>
      <t>진로개발</t>
    </r>
    <r>
      <rPr>
        <rFont val="맑은 고딕"/>
        <i/>
        <color rgb="FF7F7F7F"/>
        <sz val="8.0"/>
      </rPr>
      <t xml:space="preserve">) </t>
    </r>
    <r>
      <rPr>
        <rFont val="Noto Sans CJK SC"/>
        <i/>
        <color rgb="FF7F7F7F"/>
        <sz val="8.0"/>
      </rPr>
      <t xml:space="preserve">인증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 xml:space="preserve">도전정신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단계</t>
    </r>
    <r>
      <rPr>
        <rFont val="맑은 고딕"/>
        <i/>
        <color rgb="FF7F7F7F"/>
        <sz val="8.0"/>
      </rPr>
      <t>(1</t>
    </r>
    <r>
      <rPr>
        <rFont val="Noto Sans CJK SC"/>
        <i/>
        <color rgb="FF7F7F7F"/>
        <sz val="8.0"/>
      </rPr>
      <t>차</t>
    </r>
    <r>
      <rPr>
        <rFont val="맑은 고딕"/>
        <i/>
        <color rgb="FF7F7F7F"/>
        <sz val="8.0"/>
      </rPr>
      <t>·</t>
    </r>
    <r>
      <rPr>
        <rFont val="Noto Sans CJK SC"/>
        <i/>
        <color rgb="FF7F7F7F"/>
        <sz val="8.0"/>
      </rPr>
      <t>최종</t>
    </r>
    <r>
      <rPr>
        <rFont val="맑은 고딕"/>
        <i/>
        <color rgb="FF7F7F7F"/>
        <sz val="8.0"/>
      </rPr>
      <t xml:space="preserve">) </t>
    </r>
    <r>
      <rPr>
        <rFont val="Noto Sans CJK SC"/>
        <i/>
        <color rgb="FF7F7F7F"/>
        <sz val="8.0"/>
      </rPr>
      <t>구분</t>
    </r>
  </si>
  <si>
    <r>
      <rPr>
        <rFont val="Noto Sans CJK SC"/>
        <b/>
        <color rgb="FF000000"/>
        <sz val="9.0"/>
      </rPr>
      <t>결과</t>
    </r>
    <r>
      <rPr>
        <rFont val="맑은 고딕"/>
        <b/>
        <color rgb="FF000000"/>
        <sz val="9.0"/>
      </rPr>
      <t>(R)</t>
    </r>
  </si>
  <si>
    <r>
      <rPr>
        <rFont val="Noto Sans CJK SC"/>
        <i/>
        <color rgb="FF7F7F7F"/>
        <sz val="8.0"/>
      </rPr>
      <t xml:space="preserve">숫자 </t>
    </r>
    <r>
      <rPr>
        <rFont val="맑은 고딕"/>
        <i/>
        <color rgb="FF7F7F7F"/>
        <sz val="8.0"/>
      </rPr>
      <t>1~34</t>
    </r>
  </si>
  <si>
    <r>
      <rPr>
        <rFont val="맑은 고딕"/>
        <i/>
        <color rgb="FF7F7F7F"/>
        <sz val="8.0"/>
      </rPr>
      <t xml:space="preserve">[TOEIC / TOEFL iBT / TOEIC Speaking / OPIc / HSK / JPT / JLPT / DELF/DALF / DELE / </t>
    </r>
    <r>
      <rPr>
        <rFont val="Noto Sans CJK SC"/>
        <i/>
        <color rgb="FF7F7F7F"/>
        <sz val="8.0"/>
      </rPr>
      <t>기타</t>
    </r>
    <r>
      <rPr>
        <rFont val="맑은 고딕"/>
        <i/>
        <color rgb="FF7F7F7F"/>
        <sz val="8.0"/>
      </rPr>
      <t>]</t>
    </r>
  </si>
  <si>
    <r>
      <rPr>
        <rFont val="Noto Sans CJK SC"/>
        <i/>
        <color rgb="FF7F7F7F"/>
        <sz val="8.0"/>
      </rPr>
      <t>예</t>
    </r>
    <r>
      <rPr>
        <rFont val="맑은 고딕"/>
        <i/>
        <color rgb="FF7F7F7F"/>
        <sz val="8.0"/>
      </rPr>
      <t>: IH, N1, 5</t>
    </r>
    <r>
      <rPr>
        <rFont val="Noto Sans CJK SC"/>
        <i/>
        <color rgb="FF7F7F7F"/>
        <sz val="8.0"/>
      </rPr>
      <t>급</t>
    </r>
  </si>
  <si>
    <r>
      <rPr>
        <rFont val="Noto Sans CJK SC"/>
        <i/>
        <color rgb="FF7F7F7F"/>
        <sz val="8.0"/>
      </rPr>
      <t>서술</t>
    </r>
    <r>
      <rPr>
        <rFont val="맑은 고딕"/>
        <i/>
        <color rgb="FF7F7F7F"/>
        <sz val="8.0"/>
      </rPr>
      <t>(</t>
    </r>
    <r>
      <rPr>
        <rFont val="Noto Sans CJK SC"/>
        <i/>
        <color rgb="FF7F7F7F"/>
        <sz val="8.0"/>
      </rPr>
      <t>수치 포함 권장</t>
    </r>
    <r>
      <rPr>
        <rFont val="맑은 고딕"/>
        <i/>
        <color rgb="FF7F7F7F"/>
        <sz val="8.0"/>
      </rPr>
      <t>)</t>
    </r>
  </si>
  <si>
    <t>댄스 동아리 총무</t>
  </si>
  <si>
    <t>대관 일정이 겹쳐 공연 연습실을 못 구함</t>
  </si>
  <si>
    <t>총무로 대관 담당</t>
  </si>
  <si>
    <r>
      <rPr>
        <rFont val="맑은 고딕"/>
        <i/>
        <color rgb="FF7F7F7F"/>
        <sz val="8.0"/>
      </rPr>
      <t>[</t>
    </r>
    <r>
      <rPr>
        <rFont val="Noto Sans CJK SC"/>
        <i/>
        <color rgb="FF7F7F7F"/>
        <sz val="8.0"/>
      </rPr>
      <t xml:space="preserve">응시 </t>
    </r>
    <r>
      <rPr>
        <rFont val="맑은 고딕"/>
        <i/>
        <color rgb="FF7F7F7F"/>
        <sz val="8.0"/>
      </rPr>
      <t>/ 1</t>
    </r>
    <r>
      <rPr>
        <rFont val="Noto Sans CJK SC"/>
        <i/>
        <color rgb="FF7F7F7F"/>
        <sz val="8.0"/>
      </rPr>
      <t xml:space="preserve">차 합격 </t>
    </r>
    <r>
      <rPr>
        <rFont val="맑은 고딕"/>
        <i/>
        <color rgb="FF7F7F7F"/>
        <sz val="8.0"/>
      </rPr>
      <t>/ 2</t>
    </r>
    <r>
      <rPr>
        <rFont val="Noto Sans CJK SC"/>
        <i/>
        <color rgb="FF7F7F7F"/>
        <sz val="8.0"/>
      </rPr>
      <t xml:space="preserve">차 합격 </t>
    </r>
    <r>
      <rPr>
        <rFont val="맑은 고딕"/>
        <i/>
        <color rgb="FF7F7F7F"/>
        <sz val="8.0"/>
      </rPr>
      <t xml:space="preserve">/ </t>
    </r>
    <r>
      <rPr>
        <rFont val="Noto Sans CJK SC"/>
        <i/>
        <color rgb="FF7F7F7F"/>
        <sz val="8.0"/>
      </rPr>
      <t>최종 합격</t>
    </r>
    <r>
      <rPr>
        <rFont val="맑은 고딕"/>
        <i/>
        <color rgb="FF7F7F7F"/>
        <sz val="8.0"/>
      </rPr>
      <t>]</t>
    </r>
  </si>
  <si>
    <r>
      <rPr>
        <rFont val="Noto Sans CJK SC"/>
        <color rgb="FF1F3B8A"/>
        <sz val="10.0"/>
      </rPr>
      <t xml:space="preserve">학교 </t>
    </r>
    <r>
      <rPr>
        <rFont val="맑은 고딕"/>
        <color rgb="FF1F3B8A"/>
        <sz val="10.0"/>
      </rPr>
      <t>3</t>
    </r>
    <r>
      <rPr>
        <rFont val="Noto Sans CJK SC"/>
        <color rgb="FF1F3B8A"/>
        <sz val="10.0"/>
      </rPr>
      <t>곳</t>
    </r>
    <r>
      <rPr>
        <rFont val="맑은 고딕"/>
        <color rgb="FF1F3B8A"/>
        <sz val="10.0"/>
      </rPr>
      <t>·</t>
    </r>
    <r>
      <rPr>
        <rFont val="Noto Sans CJK SC"/>
        <color rgb="FF1F3B8A"/>
        <sz val="10.0"/>
      </rPr>
      <t xml:space="preserve">외부 </t>
    </r>
    <r>
      <rPr>
        <rFont val="맑은 고딕"/>
        <color rgb="FF1F3B8A"/>
        <sz val="10.0"/>
      </rPr>
      <t>2</t>
    </r>
    <r>
      <rPr>
        <rFont val="Noto Sans CJK SC"/>
        <color rgb="FF1F3B8A"/>
        <sz val="10.0"/>
      </rPr>
      <t>곳 연락해 대체 장소 확보</t>
    </r>
  </si>
  <si>
    <t>공연 일정 그대로 진행</t>
  </si>
  <si>
    <r>
      <rPr>
        <rFont val="맑은 고딕"/>
        <b/>
        <color rgb="FF000000"/>
        <sz val="11.0"/>
      </rPr>
      <t>3</t>
    </r>
    <r>
      <rPr>
        <rFont val="Noto Sans CJK SC"/>
        <b/>
        <color rgb="FF000000"/>
        <sz val="11.0"/>
      </rPr>
      <t>품인증 취득현황</t>
    </r>
  </si>
  <si>
    <r>
      <rPr>
        <rFont val="Noto Sans CJK SC"/>
        <i/>
        <color rgb="FF7F7F7F"/>
        <sz val="8.0"/>
      </rPr>
      <t>출처</t>
    </r>
    <r>
      <rPr>
        <rFont val="맑은 고딕"/>
        <i/>
        <color rgb="FF7F7F7F"/>
        <sz val="8.0"/>
      </rPr>
      <t xml:space="preserve">: </t>
    </r>
    <r>
      <rPr>
        <rFont val="Noto Sans CJK SC"/>
        <i/>
        <color rgb="FF7F7F7F"/>
        <sz val="8.0"/>
      </rPr>
      <t xml:space="preserve">학생 등록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자원</t>
    </r>
    <r>
      <rPr>
        <rFont val="맑은 고딕"/>
        <i/>
        <color rgb="FF7F7F7F"/>
        <sz val="8.0"/>
      </rPr>
      <t>·</t>
    </r>
    <r>
      <rPr>
        <rFont val="Noto Sans CJK SC"/>
        <i/>
        <color rgb="FF7F7F7F"/>
        <sz val="8.0"/>
      </rPr>
      <t xml:space="preserve">정보기술활용 </t>
    </r>
    <r>
      <rPr>
        <rFont val="맑은 고딕"/>
        <i/>
        <color rgb="FF7F7F7F"/>
        <sz val="8.0"/>
      </rPr>
      <t xml:space="preserve">/ </t>
    </r>
    <r>
      <rPr>
        <rFont val="Noto Sans CJK SC"/>
        <i/>
        <color rgb="FF7F7F7F"/>
        <sz val="8.0"/>
      </rPr>
      <t xml:space="preserve">디지털리터러시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자기 서술 위주 → 정성 판단 </t>
    </r>
    <r>
      <rPr>
        <rFont val="맑은 고딕"/>
        <i/>
        <color rgb="FF7F7F7F"/>
        <sz val="8.0"/>
      </rPr>
      <t xml:space="preserve">+ </t>
    </r>
    <r>
      <rPr>
        <rFont val="Noto Sans CJK SC"/>
        <i/>
        <color rgb="FF7F7F7F"/>
        <sz val="8.0"/>
      </rPr>
      <t>낮은 가중치 권장</t>
    </r>
  </si>
  <si>
    <r>
      <rPr>
        <rFont val="Noto Sans CJK SC"/>
        <b/>
        <color rgb="FF000000"/>
        <sz val="11.0"/>
      </rPr>
      <t>자격증</t>
    </r>
    <r>
      <rPr>
        <rFont val="맑은 고딕"/>
        <b/>
        <color rgb="FF000000"/>
        <sz val="11.0"/>
      </rPr>
      <t>(</t>
    </r>
    <r>
      <rPr>
        <rFont val="Noto Sans CJK SC"/>
        <b/>
        <color rgb="FF000000"/>
        <sz val="11.0"/>
      </rPr>
      <t>기타</t>
    </r>
    <r>
      <rPr>
        <rFont val="맑은 고딕"/>
        <b/>
        <color rgb="FF000000"/>
        <sz val="11.0"/>
      </rPr>
      <t>/</t>
    </r>
    <r>
      <rPr>
        <rFont val="Noto Sans CJK SC"/>
        <b/>
        <color rgb="FF000000"/>
        <sz val="11.0"/>
      </rPr>
      <t>전공</t>
    </r>
    <r>
      <rPr>
        <rFont val="맑은 고딕"/>
        <b/>
        <color rgb="FF000000"/>
        <sz val="11.0"/>
      </rPr>
      <t>)</t>
    </r>
  </si>
  <si>
    <r>
      <rPr>
        <rFont val="맑은 고딕"/>
        <i/>
        <color rgb="FF7F7F7F"/>
        <sz val="8.0"/>
      </rPr>
      <t>[</t>
    </r>
    <r>
      <rPr>
        <rFont val="Noto Sans CJK SC"/>
        <i/>
        <color rgb="FF7F7F7F"/>
        <sz val="8.0"/>
      </rPr>
      <t xml:space="preserve">기초 </t>
    </r>
    <r>
      <rPr>
        <rFont val="맑은 고딕"/>
        <i/>
        <color rgb="FF7F7F7F"/>
        <sz val="8.0"/>
      </rPr>
      <t xml:space="preserve">/ </t>
    </r>
    <r>
      <rPr>
        <rFont val="Noto Sans CJK SC"/>
        <i/>
        <color rgb="FF7F7F7F"/>
        <sz val="8.0"/>
      </rPr>
      <t xml:space="preserve">활용 </t>
    </r>
    <r>
      <rPr>
        <rFont val="맑은 고딕"/>
        <i/>
        <color rgb="FF7F7F7F"/>
        <sz val="8.0"/>
      </rPr>
      <t xml:space="preserve">/ </t>
    </r>
    <r>
      <rPr>
        <rFont val="Noto Sans CJK SC"/>
        <i/>
        <color rgb="FF7F7F7F"/>
        <sz val="8.0"/>
      </rPr>
      <t>능숙</t>
    </r>
    <r>
      <rPr>
        <rFont val="맑은 고딕"/>
        <i/>
        <color rgb="FF7F7F7F"/>
        <sz val="8.0"/>
      </rPr>
      <t>]</t>
    </r>
  </si>
  <si>
    <r>
      <rPr>
        <rFont val="Noto Sans CJK SC"/>
        <color rgb="FF1F3B8A"/>
        <sz val="10.0"/>
      </rPr>
      <t>노션</t>
    </r>
    <r>
      <rPr>
        <rFont val="맑은 고딕"/>
        <color rgb="FF1F3B8A"/>
        <sz val="10.0"/>
      </rPr>
      <t xml:space="preserve">, </t>
    </r>
    <r>
      <rPr>
        <rFont val="Noto Sans CJK SC"/>
        <color rgb="FF1F3B8A"/>
        <sz val="10.0"/>
      </rPr>
      <t>구글독스</t>
    </r>
    <r>
      <rPr>
        <rFont val="맑은 고딕"/>
        <color rgb="FF1F3B8A"/>
        <sz val="10.0"/>
      </rPr>
      <t xml:space="preserve">, </t>
    </r>
    <r>
      <rPr>
        <rFont val="Noto Sans CJK SC"/>
        <color rgb="FF1F3B8A"/>
        <sz val="10.0"/>
      </rPr>
      <t>카톡</t>
    </r>
  </si>
  <si>
    <t>잘함</t>
  </si>
  <si>
    <r>
      <rPr>
        <rFont val="Noto Sans CJK SC"/>
        <i/>
        <color rgb="FF7F7F7F"/>
        <sz val="8.0"/>
      </rPr>
      <t>출처</t>
    </r>
    <r>
      <rPr>
        <rFont val="맑은 고딕"/>
        <i/>
        <color rgb="FF7F7F7F"/>
        <sz val="8.0"/>
      </rPr>
      <t xml:space="preserve">: </t>
    </r>
    <r>
      <rPr>
        <rFont val="Noto Sans CJK SC"/>
        <i/>
        <color rgb="FF7F7F7F"/>
        <sz val="8.0"/>
      </rPr>
      <t xml:space="preserve">교수 입력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교수 관심 역량 전반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입력 부담 고려해 선택 항목으로</t>
    </r>
  </si>
  <si>
    <r>
      <rPr>
        <rFont val="Noto Sans CJK SC"/>
        <b/>
        <color rgb="FF000000"/>
        <sz val="9.0"/>
      </rPr>
      <t>작성자</t>
    </r>
    <r>
      <rPr>
        <rFont val="맑은 고딕"/>
        <b/>
        <color rgb="FF000000"/>
        <sz val="9.0"/>
      </rPr>
      <t>(</t>
    </r>
    <r>
      <rPr>
        <rFont val="Noto Sans CJK SC"/>
        <b/>
        <color rgb="FF000000"/>
        <sz val="9.0"/>
      </rPr>
      <t>직위</t>
    </r>
    <r>
      <rPr>
        <rFont val="맑은 고딕"/>
        <b/>
        <color rgb="FF000000"/>
        <sz val="9.0"/>
      </rPr>
      <t>)</t>
    </r>
  </si>
  <si>
    <r>
      <rPr>
        <rFont val="Noto Sans CJK SC"/>
        <b/>
        <color rgb="FFFFFFFF"/>
        <sz val="11.0"/>
      </rPr>
      <t>■ 공동체</t>
    </r>
    <r>
      <rPr>
        <rFont val="맑은 고딕"/>
        <b/>
        <color rgb="FFFFFFFF"/>
        <sz val="11.0"/>
      </rPr>
      <t>·</t>
    </r>
    <r>
      <rPr>
        <rFont val="Noto Sans CJK SC"/>
        <b/>
        <color rgb="FFFFFFFF"/>
        <sz val="11.0"/>
      </rPr>
      <t>리더십</t>
    </r>
  </si>
  <si>
    <r>
      <rPr>
        <rFont val="맑은 고딕"/>
        <i/>
        <color rgb="FF7F7F7F"/>
        <sz val="8.0"/>
      </rPr>
      <t>[</t>
    </r>
    <r>
      <rPr>
        <rFont val="Noto Sans CJK SC"/>
        <i/>
        <color rgb="FF7F7F7F"/>
        <sz val="8.0"/>
      </rPr>
      <t xml:space="preserve">지도교수 </t>
    </r>
    <r>
      <rPr>
        <rFont val="맑은 고딕"/>
        <i/>
        <color rgb="FF7F7F7F"/>
        <sz val="8.0"/>
      </rPr>
      <t xml:space="preserve">/ </t>
    </r>
    <r>
      <rPr>
        <rFont val="Noto Sans CJK SC"/>
        <i/>
        <color rgb="FF7F7F7F"/>
        <sz val="8.0"/>
      </rPr>
      <t>수업 담당교수</t>
    </r>
    <r>
      <rPr>
        <rFont val="맑은 고딕"/>
        <i/>
        <color rgb="FF7F7F7F"/>
        <sz val="8.0"/>
      </rPr>
      <t>]</t>
    </r>
  </si>
  <si>
    <r>
      <rPr>
        <rFont val="Noto Sans CJK SC"/>
        <b/>
        <color rgb="FF000000"/>
        <sz val="11.0"/>
      </rPr>
      <t>동아리</t>
    </r>
    <r>
      <rPr>
        <rFont val="맑은 고딕"/>
        <b/>
        <color rgb="FF000000"/>
        <sz val="11.0"/>
      </rPr>
      <t>·</t>
    </r>
    <r>
      <rPr>
        <rFont val="Noto Sans CJK SC"/>
        <b/>
        <color rgb="FF000000"/>
        <sz val="11.0"/>
      </rPr>
      <t>학생회 활동</t>
    </r>
  </si>
  <si>
    <r>
      <rPr>
        <rFont val="Noto Sans CJK SC"/>
        <i/>
        <color rgb="FF7F7F7F"/>
        <sz val="8.0"/>
      </rPr>
      <t>출처</t>
    </r>
    <r>
      <rPr>
        <rFont val="맑은 고딕"/>
        <i/>
        <color rgb="FF7F7F7F"/>
        <sz val="8.0"/>
      </rPr>
      <t>: 3</t>
    </r>
    <r>
      <rPr>
        <rFont val="Noto Sans CJK SC"/>
        <i/>
        <color rgb="FF7F7F7F"/>
        <sz val="8.0"/>
      </rPr>
      <t xml:space="preserve">품인증 시스템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t>
    </r>
    <r>
      <rPr>
        <rFont val="Noto Sans CJK SC"/>
        <i/>
        <color rgb="FF7F7F7F"/>
        <sz val="8.0"/>
      </rPr>
      <t>복수 역량 종합</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 xml:space="preserve">하위 활동과 중복 가산 위험 → 가산점이 아닌 </t>
    </r>
    <r>
      <rPr>
        <rFont val="맑은 고딕"/>
        <i/>
        <color rgb="FF7F7F7F"/>
        <sz val="8.0"/>
      </rPr>
      <t>'</t>
    </r>
    <r>
      <rPr>
        <rFont val="Noto Sans CJK SC"/>
        <i/>
        <color rgb="FF7F7F7F"/>
        <sz val="8.0"/>
      </rPr>
      <t>참고 지표</t>
    </r>
    <r>
      <rPr>
        <rFont val="맑은 고딕"/>
        <i/>
        <color rgb="FF7F7F7F"/>
        <sz val="8.0"/>
      </rPr>
      <t>'</t>
    </r>
    <r>
      <rPr>
        <rFont val="Noto Sans CJK SC"/>
        <i/>
        <color rgb="FF7F7F7F"/>
        <sz val="8.0"/>
      </rPr>
      <t>로 권장</t>
    </r>
  </si>
  <si>
    <r>
      <rPr>
        <rFont val="Noto Sans CJK SC"/>
        <i/>
        <color rgb="FF7F7F7F"/>
        <sz val="8.0"/>
      </rPr>
      <t>출처</t>
    </r>
    <r>
      <rPr>
        <rFont val="맑은 고딕"/>
        <i/>
        <color rgb="FF7F7F7F"/>
        <sz val="8.0"/>
      </rPr>
      <t xml:space="preserve">: </t>
    </r>
    <r>
      <rPr>
        <rFont val="Noto Sans CJK SC"/>
        <i/>
        <color rgb="FF7F7F7F"/>
        <sz val="8.0"/>
      </rPr>
      <t xml:space="preserve">학생 등록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 xml:space="preserve">-IT </t>
    </r>
    <r>
      <rPr>
        <rFont val="Noto Sans CJK SC"/>
        <i/>
        <color rgb="FF7F7F7F"/>
        <sz val="8.0"/>
      </rPr>
      <t>활용</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자원</t>
    </r>
    <r>
      <rPr>
        <rFont val="맑은 고딕"/>
        <i/>
        <color rgb="FF7F7F7F"/>
        <sz val="8.0"/>
      </rPr>
      <t>·</t>
    </r>
    <r>
      <rPr>
        <rFont val="Noto Sans CJK SC"/>
        <i/>
        <color rgb="FF7F7F7F"/>
        <sz val="8.0"/>
      </rPr>
      <t xml:space="preserve">정보기술활용 </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 xml:space="preserve">디지털리터러시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자격증별 </t>
    </r>
    <r>
      <rPr>
        <rFont val="맑은 고딕"/>
        <i/>
        <color rgb="FF7F7F7F"/>
        <sz val="8.0"/>
      </rPr>
      <t>'</t>
    </r>
    <r>
      <rPr>
        <rFont val="Noto Sans CJK SC"/>
        <i/>
        <color rgb="FF7F7F7F"/>
        <sz val="8.0"/>
      </rPr>
      <t>등급</t>
    </r>
    <r>
      <rPr>
        <rFont val="맑은 고딕"/>
        <i/>
        <color rgb="FF7F7F7F"/>
        <sz val="8.0"/>
      </rPr>
      <t>·</t>
    </r>
    <r>
      <rPr>
        <rFont val="Noto Sans CJK SC"/>
        <i/>
        <color rgb="FF7F7F7F"/>
        <sz val="8.0"/>
      </rPr>
      <t>난이도</t>
    </r>
    <r>
      <rPr>
        <rFont val="맑은 고딕"/>
        <i/>
        <color rgb="FF7F7F7F"/>
        <sz val="8.0"/>
      </rPr>
      <t xml:space="preserve">' </t>
    </r>
    <r>
      <rPr>
        <rFont val="Noto Sans CJK SC"/>
        <i/>
        <color rgb="FF7F7F7F"/>
        <sz val="8.0"/>
      </rPr>
      <t>매핑표 필요</t>
    </r>
  </si>
  <si>
    <r>
      <rPr>
        <rFont val="Noto Sans CJK SC"/>
        <b/>
        <color rgb="FF000000"/>
        <sz val="9.0"/>
      </rPr>
      <t>등급</t>
    </r>
    <r>
      <rPr>
        <rFont val="맑은 고딕"/>
        <b/>
        <color rgb="FF000000"/>
        <sz val="9.0"/>
      </rPr>
      <t>·</t>
    </r>
    <r>
      <rPr>
        <rFont val="Noto Sans CJK SC"/>
        <b/>
        <color rgb="FF000000"/>
        <sz val="9.0"/>
      </rPr>
      <t>급수</t>
    </r>
  </si>
  <si>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</si>
  <si>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</si>
  <si>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r>
      <rPr>
        <rFont val="Noto Sans CJK SC"/>
        <b/>
        <color rgb="FF000000"/>
        <sz val="11.0"/>
      </rPr>
      <t>전문직</t>
    </r>
    <r>
      <rPr>
        <rFont val="맑은 고딕"/>
        <b/>
        <color rgb="FF000000"/>
        <sz val="11.0"/>
      </rPr>
      <t>·</t>
    </r>
    <r>
      <rPr>
        <rFont val="Noto Sans CJK SC"/>
        <b/>
        <color rgb="FF000000"/>
        <sz val="11.0"/>
      </rPr>
      <t>공직 시험</t>
    </r>
  </si>
  <si>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</si>
  <si>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r>
      <rPr>
        <rFont val="Noto Sans CJK SC"/>
        <i/>
        <color rgb="FF7F7F7F"/>
        <sz val="8.0"/>
      </rPr>
      <t>출처</t>
    </r>
    <r>
      <rPr>
        <rFont val="맑은 고딕"/>
        <i/>
        <color rgb="FF7F7F7F"/>
        <sz val="8.0"/>
      </rPr>
      <t xml:space="preserve">: </t>
    </r>
    <r>
      <rPr>
        <rFont val="Noto Sans CJK SC"/>
        <i/>
        <color rgb="FF7F7F7F"/>
        <sz val="8.0"/>
      </rPr>
      <t xml:space="preserve">비교과 시스템 </t>
    </r>
    <r>
      <rPr>
        <rFont val="맑은 고딕"/>
        <i/>
        <color rgb="FF7F7F7F"/>
        <sz val="8.0"/>
      </rPr>
      <t xml:space="preserve">· </t>
    </r>
    <r>
      <rPr>
        <rFont val="Noto Sans CJK SC"/>
        <i/>
        <color rgb="FF7F7F7F"/>
        <sz val="8.0"/>
      </rPr>
      <t xml:space="preserve">학생 등록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대인관계 </t>
    </r>
    <r>
      <rPr>
        <rFont val="맑은 고딕"/>
        <i/>
        <color rgb="FF7F7F7F"/>
        <sz val="8.0"/>
      </rPr>
      <t xml:space="preserve">/ </t>
    </r>
    <r>
      <rPr>
        <rFont val="Noto Sans CJK SC"/>
        <i/>
        <color rgb="FF7F7F7F"/>
        <sz val="8.0"/>
      </rPr>
      <t xml:space="preserve">리더십 </t>
    </r>
    <r>
      <rPr>
        <rFont val="맑은 고딕"/>
        <i/>
        <color rgb="FF7F7F7F"/>
        <sz val="8.0"/>
      </rPr>
      <t xml:space="preserve">/ </t>
    </r>
    <r>
      <rPr>
        <rFont val="Noto Sans CJK SC"/>
        <i/>
        <color rgb="FF7F7F7F"/>
        <sz val="8.0"/>
      </rPr>
      <t xml:space="preserve">커뮤니케이션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직책</t>
    </r>
    <r>
      <rPr>
        <rFont val="맑은 고딕"/>
        <i/>
        <color rgb="FF7F7F7F"/>
        <sz val="8.0"/>
      </rPr>
      <t>(</t>
    </r>
    <r>
      <rPr>
        <rFont val="Noto Sans CJK SC"/>
        <i/>
        <color rgb="FF7F7F7F"/>
        <sz val="8.0"/>
      </rPr>
      <t>회장</t>
    </r>
    <r>
      <rPr>
        <rFont val="맑은 고딕"/>
        <i/>
        <color rgb="FF7F7F7F"/>
        <sz val="8.0"/>
      </rPr>
      <t>·</t>
    </r>
    <r>
      <rPr>
        <rFont val="Noto Sans CJK SC"/>
        <i/>
        <color rgb="FF7F7F7F"/>
        <sz val="8.0"/>
      </rPr>
      <t>부장</t>
    </r>
    <r>
      <rPr>
        <rFont val="맑은 고딕"/>
        <i/>
        <color rgb="FF7F7F7F"/>
        <sz val="8.0"/>
      </rPr>
      <t>·</t>
    </r>
    <r>
      <rPr>
        <rFont val="Noto Sans CJK SC"/>
        <i/>
        <color rgb="FF7F7F7F"/>
        <sz val="8.0"/>
      </rPr>
      <t>총무</t>
    </r>
    <r>
      <rPr>
        <rFont val="맑은 고딕"/>
        <i/>
        <color rgb="FF7F7F7F"/>
        <sz val="8.0"/>
      </rPr>
      <t>·</t>
    </r>
    <r>
      <rPr>
        <rFont val="Noto Sans CJK SC"/>
        <i/>
        <color rgb="FF7F7F7F"/>
        <sz val="8.0"/>
      </rPr>
      <t>부원</t>
    </r>
    <r>
      <rPr>
        <rFont val="맑은 고딕"/>
        <i/>
        <color rgb="FF7F7F7F"/>
        <sz val="8.0"/>
      </rPr>
      <t xml:space="preserve">) × </t>
    </r>
    <r>
      <rPr>
        <rFont val="Noto Sans CJK SC"/>
        <i/>
        <color rgb="FF7F7F7F"/>
        <sz val="8.0"/>
      </rPr>
      <t>기간으로 정량화</t>
    </r>
  </si>
  <si>
    <r>
      <rPr>
        <rFont val="맑은 고딕"/>
        <b/>
        <color rgb="FF000000"/>
        <sz val="10.0"/>
      </rPr>
      <t xml:space="preserve">AI </t>
    </r>
    <r>
      <rPr>
        <rFont val="Noto Sans CJK SC"/>
        <b/>
        <color rgb="FF000000"/>
        <sz val="10.0"/>
      </rPr>
      <t>영역</t>
    </r>
  </si>
  <si>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</si>
  <si>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</si>
  <si>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Noto Sans CJK SC"/>
        <b/>
        <color rgb="FF000000"/>
        <sz val="9.0"/>
      </rPr>
      <t>단체 규모</t>
    </r>
    <r>
      <rPr>
        <rFont val="맑은 고딕"/>
        <b/>
        <color rgb="FF000000"/>
        <sz val="9.0"/>
      </rPr>
      <t>(</t>
    </r>
    <r>
      <rPr>
        <rFont val="Noto Sans CJK SC"/>
        <b/>
        <color rgb="FF000000"/>
        <sz val="9.0"/>
      </rPr>
      <t>명</t>
    </r>
    <r>
      <rPr>
        <rFont val="맑은 고딕"/>
        <b/>
        <color rgb="FF000000"/>
        <sz val="9.0"/>
      </rPr>
      <t>)</t>
    </r>
  </si>
  <si>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</si>
  <si>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r>
      <rPr>
        <rFont val="Noto Sans CJK SC"/>
        <b/>
        <color rgb="FF000000"/>
        <sz val="9.0"/>
      </rPr>
      <t>주요 활동</t>
    </r>
    <r>
      <rPr>
        <rFont val="맑은 고딕"/>
        <b/>
        <color rgb="FF000000"/>
        <sz val="9.0"/>
      </rPr>
      <t>·</t>
    </r>
    <r>
      <rPr>
        <rFont val="Noto Sans CJK SC"/>
        <b/>
        <color rgb="FF000000"/>
        <sz val="9.0"/>
      </rPr>
      <t>성과</t>
    </r>
  </si>
  <si>
    <r>
      <rPr>
        <rFont val="맑은 고딕"/>
        <i/>
        <color rgb="FF7F7F7F"/>
        <sz val="8.0"/>
      </rPr>
      <t>[</t>
    </r>
    <r>
      <rPr>
        <rFont val="Noto Sans CJK SC"/>
        <i/>
        <color rgb="FF7F7F7F"/>
        <sz val="8.0"/>
      </rPr>
      <t xml:space="preserve">동아리 </t>
    </r>
    <r>
      <rPr>
        <rFont val="맑은 고딕"/>
        <i/>
        <color rgb="FF7F7F7F"/>
        <sz val="8.0"/>
      </rPr>
      <t xml:space="preserve">/ </t>
    </r>
    <r>
      <rPr>
        <rFont val="Noto Sans CJK SC"/>
        <i/>
        <color rgb="FF7F7F7F"/>
        <sz val="8.0"/>
      </rPr>
      <t xml:space="preserve">학생회 </t>
    </r>
    <r>
      <rPr>
        <rFont val="맑은 고딕"/>
        <i/>
        <color rgb="FF7F7F7F"/>
        <sz val="8.0"/>
      </rPr>
      <t xml:space="preserve">/ </t>
    </r>
    <r>
      <rPr>
        <rFont val="Noto Sans CJK SC"/>
        <i/>
        <color rgb="FF7F7F7F"/>
        <sz val="8.0"/>
      </rPr>
      <t xml:space="preserve">학회 </t>
    </r>
    <r>
      <rPr>
        <rFont val="맑은 고딕"/>
        <i/>
        <color rgb="FF7F7F7F"/>
        <sz val="8.0"/>
      </rPr>
      <t xml:space="preserve">/ </t>
    </r>
    <r>
      <rPr>
        <rFont val="Noto Sans CJK SC"/>
        <i/>
        <color rgb="FF7F7F7F"/>
        <sz val="8.0"/>
      </rPr>
      <t>기타단체</t>
    </r>
    <r>
      <rPr>
        <rFont val="맑은 고딕"/>
        <i/>
        <color rgb="FF7F7F7F"/>
        <sz val="8.0"/>
      </rPr>
      <t>]</t>
    </r>
  </si>
  <si>
    <r>
      <rPr>
        <rFont val="맑은 고딕"/>
        <i/>
        <color rgb="FF7F7F7F"/>
        <sz val="8.0"/>
      </rPr>
      <t>[</t>
    </r>
    <r>
      <rPr>
        <rFont val="Noto Sans CJK SC"/>
        <i/>
        <color rgb="FF7F7F7F"/>
        <sz val="8.0"/>
      </rPr>
      <t xml:space="preserve">회장 </t>
    </r>
    <r>
      <rPr>
        <rFont val="맑은 고딕"/>
        <i/>
        <color rgb="FF7F7F7F"/>
        <sz val="8.0"/>
      </rPr>
      <t xml:space="preserve">/ </t>
    </r>
    <r>
      <rPr>
        <rFont val="Noto Sans CJK SC"/>
        <i/>
        <color rgb="FF7F7F7F"/>
        <sz val="8.0"/>
      </rPr>
      <t xml:space="preserve">부회장 </t>
    </r>
    <r>
      <rPr>
        <rFont val="맑은 고딕"/>
        <i/>
        <color rgb="FF7F7F7F"/>
        <sz val="8.0"/>
      </rPr>
      <t xml:space="preserve">/ </t>
    </r>
    <r>
      <rPr>
        <rFont val="Noto Sans CJK SC"/>
        <i/>
        <color rgb="FF7F7F7F"/>
        <sz val="8.0"/>
      </rPr>
      <t xml:space="preserve">부장 </t>
    </r>
    <r>
      <rPr>
        <rFont val="맑은 고딕"/>
        <i/>
        <color rgb="FF7F7F7F"/>
        <sz val="8.0"/>
      </rPr>
      <t xml:space="preserve">/ </t>
    </r>
    <r>
      <rPr>
        <rFont val="Noto Sans CJK SC"/>
        <i/>
        <color rgb="FF7F7F7F"/>
        <sz val="8.0"/>
      </rPr>
      <t xml:space="preserve">총무 </t>
    </r>
    <r>
      <rPr>
        <rFont val="맑은 고딕"/>
        <i/>
        <color rgb="FF7F7F7F"/>
        <sz val="8.0"/>
      </rPr>
      <t xml:space="preserve">/ </t>
    </r>
    <r>
      <rPr>
        <rFont val="Noto Sans CJK SC"/>
        <i/>
        <color rgb="FF7F7F7F"/>
        <sz val="8.0"/>
      </rPr>
      <t>부원</t>
    </r>
    <r>
      <rPr>
        <rFont val="맑은 고딕"/>
        <i/>
        <color rgb="FF7F7F7F"/>
        <sz val="8.0"/>
      </rPr>
      <t>]</t>
    </r>
  </si>
  <si>
    <r>
      <rPr>
        <rFont val="맑은 고딕"/>
        <i/>
        <color rgb="FF7F7F7F"/>
        <sz val="8.0"/>
      </rPr>
      <t xml:space="preserve">YYYY-MM / </t>
    </r>
    <r>
      <rPr>
        <rFont val="Noto Sans CJK SC"/>
        <i/>
        <color rgb="FF7F7F7F"/>
        <sz val="8.0"/>
      </rPr>
      <t>진행중</t>
    </r>
  </si>
  <si>
    <r>
      <rPr>
        <rFont val="Noto Sans CJK SC"/>
        <i/>
        <color rgb="FF7F7F7F"/>
        <sz val="8.0"/>
      </rPr>
      <t>출처</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t>
    </r>
    <r>
      <rPr>
        <rFont val="Noto Sans CJK SC"/>
        <i/>
        <color rgb="FF7F7F7F"/>
        <sz val="8.0"/>
      </rPr>
      <t>진로개발</t>
    </r>
    <r>
      <rPr>
        <rFont val="맑은 고딕"/>
        <i/>
        <color rgb="FF7F7F7F"/>
        <sz val="8.0"/>
      </rPr>
      <t xml:space="preserve">) </t>
    </r>
    <r>
      <rPr>
        <rFont val="Noto Sans CJK SC"/>
        <i/>
        <color rgb="FF7F7F7F"/>
        <sz val="8.0"/>
      </rPr>
      <t xml:space="preserve">인증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 xml:space="preserve">도전정신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단계</t>
    </r>
    <r>
      <rPr>
        <rFont val="맑은 고딕"/>
        <i/>
        <color rgb="FF7F7F7F"/>
        <sz val="8.0"/>
      </rPr>
      <t>(1</t>
    </r>
    <r>
      <rPr>
        <rFont val="Noto Sans CJK SC"/>
        <i/>
        <color rgb="FF7F7F7F"/>
        <sz val="8.0"/>
      </rPr>
      <t>차</t>
    </r>
    <r>
      <rPr>
        <rFont val="맑은 고딕"/>
        <i/>
        <color rgb="FF7F7F7F"/>
        <sz val="8.0"/>
      </rPr>
      <t>·</t>
    </r>
    <r>
      <rPr>
        <rFont val="Noto Sans CJK SC"/>
        <i/>
        <color rgb="FF7F7F7F"/>
        <sz val="8.0"/>
      </rPr>
      <t>최종</t>
    </r>
    <r>
      <rPr>
        <rFont val="맑은 고딕"/>
        <i/>
        <color rgb="FF7F7F7F"/>
        <sz val="8.0"/>
      </rPr>
      <t xml:space="preserve">) </t>
    </r>
    <r>
      <rPr>
        <rFont val="Noto Sans CJK SC"/>
        <i/>
        <color rgb="FF7F7F7F"/>
        <sz val="8.0"/>
      </rPr>
      <t>구분</t>
    </r>
  </si>
  <si>
    <r>
      <rPr>
        <rFont val="Noto Sans CJK SC"/>
        <color rgb="FF1F3B8A"/>
        <sz val="10.0"/>
      </rPr>
      <t xml:space="preserve">영어토론동아리 </t>
    </r>
    <r>
      <rPr>
        <rFont val="맑은 고딕"/>
        <color rgb="FF1F3B8A"/>
        <sz val="10.0"/>
      </rPr>
      <t xml:space="preserve">/ </t>
    </r>
    <r>
      <rPr>
        <rFont val="Noto Sans CJK SC"/>
        <color rgb="FF1F3B8A"/>
        <sz val="10.0"/>
      </rPr>
      <t>축제기획단</t>
    </r>
  </si>
  <si>
    <t>홍보부장</t>
  </si>
  <si>
    <r>
      <rPr>
        <rFont val="맑은 고딕"/>
        <color rgb="FF1F3B8A"/>
        <sz val="10.0"/>
      </rPr>
      <t>1</t>
    </r>
    <r>
      <rPr>
        <rFont val="Noto Sans CJK SC"/>
        <color rgb="FF1F3B8A"/>
        <sz val="10.0"/>
      </rPr>
      <t>년 반</t>
    </r>
  </si>
  <si>
    <r>
      <rPr>
        <rFont val="맑은 고딕"/>
        <i/>
        <color rgb="FF7F7F7F"/>
        <sz val="8.0"/>
      </rPr>
      <t>[</t>
    </r>
    <r>
      <rPr>
        <rFont val="Noto Sans CJK SC"/>
        <i/>
        <color rgb="FF7F7F7F"/>
        <sz val="8.0"/>
      </rPr>
      <t xml:space="preserve">응시 </t>
    </r>
    <r>
      <rPr>
        <rFont val="맑은 고딕"/>
        <i/>
        <color rgb="FF7F7F7F"/>
        <sz val="8.0"/>
      </rPr>
      <t>/ 1</t>
    </r>
    <r>
      <rPr>
        <rFont val="Noto Sans CJK SC"/>
        <i/>
        <color rgb="FF7F7F7F"/>
        <sz val="8.0"/>
      </rPr>
      <t xml:space="preserve">차 합격 </t>
    </r>
    <r>
      <rPr>
        <rFont val="맑은 고딕"/>
        <i/>
        <color rgb="FF7F7F7F"/>
        <sz val="8.0"/>
      </rPr>
      <t>/ 2</t>
    </r>
    <r>
      <rPr>
        <rFont val="Noto Sans CJK SC"/>
        <i/>
        <color rgb="FF7F7F7F"/>
        <sz val="8.0"/>
      </rPr>
      <t xml:space="preserve">차 합격 </t>
    </r>
    <r>
      <rPr>
        <rFont val="맑은 고딕"/>
        <i/>
        <color rgb="FF7F7F7F"/>
        <sz val="8.0"/>
      </rPr>
      <t xml:space="preserve">/ </t>
    </r>
    <r>
      <rPr>
        <rFont val="Noto Sans CJK SC"/>
        <i/>
        <color rgb="FF7F7F7F"/>
        <sz val="8.0"/>
      </rPr>
      <t>최종 합격</t>
    </r>
    <r>
      <rPr>
        <rFont val="맑은 고딕"/>
        <i/>
        <color rgb="FF7F7F7F"/>
        <sz val="8.0"/>
      </rPr>
      <t>]</t>
    </r>
  </si>
  <si>
    <r>
      <rPr>
        <rFont val="맑은 고딕"/>
        <color rgb="FF1F3B8A"/>
        <sz val="10.0"/>
      </rPr>
      <t xml:space="preserve">SNS </t>
    </r>
    <r>
      <rPr>
        <rFont val="Noto Sans CJK SC"/>
        <color rgb="FF1F3B8A"/>
        <sz val="10.0"/>
      </rPr>
      <t>홍보 담당</t>
    </r>
    <r>
      <rPr>
        <rFont val="맑은 고딕"/>
        <color rgb="FF1F3B8A"/>
        <sz val="10.0"/>
      </rPr>
      <t xml:space="preserve">, </t>
    </r>
    <r>
      <rPr>
        <rFont val="Noto Sans CJK SC"/>
        <color rgb="FF1F3B8A"/>
        <sz val="10.0"/>
      </rPr>
      <t xml:space="preserve">팔로워 </t>
    </r>
    <r>
      <rPr>
        <rFont val="맑은 고딕"/>
        <color rgb="FF1F3B8A"/>
        <sz val="10.0"/>
      </rPr>
      <t>2</t>
    </r>
    <r>
      <rPr>
        <rFont val="Noto Sans CJK SC"/>
        <color rgb="FF1F3B8A"/>
        <sz val="10.0"/>
      </rPr>
      <t>배</t>
    </r>
  </si>
  <si>
    <r>
      <rPr>
        <rFont val="맑은 고딕"/>
        <b/>
        <color rgb="FF000000"/>
        <sz val="11.0"/>
      </rPr>
      <t>3</t>
    </r>
    <r>
      <rPr>
        <rFont val="Noto Sans CJK SC"/>
        <b/>
        <color rgb="FF000000"/>
        <sz val="11.0"/>
      </rPr>
      <t>품인증 취득현황</t>
    </r>
  </si>
  <si>
    <r>
      <rPr>
        <rFont val="Noto Sans CJK SC"/>
        <i/>
        <color rgb="FF7F7F7F"/>
        <sz val="8.0"/>
      </rPr>
      <t>출처</t>
    </r>
    <r>
      <rPr>
        <rFont val="맑은 고딕"/>
        <i/>
        <color rgb="FF7F7F7F"/>
        <sz val="8.0"/>
      </rPr>
      <t xml:space="preserve">: </t>
    </r>
    <r>
      <rPr>
        <rFont val="Noto Sans CJK SC"/>
        <i/>
        <color rgb="FF7F7F7F"/>
        <sz val="8.0"/>
      </rPr>
      <t xml:space="preserve">비교과 시스템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자기관리 </t>
    </r>
    <r>
      <rPr>
        <rFont val="맑은 고딕"/>
        <i/>
        <color rgb="FF7F7F7F"/>
        <sz val="8.0"/>
      </rPr>
      <t xml:space="preserve">/ </t>
    </r>
    <r>
      <rPr>
        <rFont val="Noto Sans CJK SC"/>
        <i/>
        <color rgb="FF7F7F7F"/>
        <sz val="8.0"/>
      </rPr>
      <t>종합적사고력</t>
    </r>
    <r>
      <rPr>
        <rFont val="맑은 고딕"/>
        <i/>
        <color rgb="FF7F7F7F"/>
        <sz val="8.0"/>
      </rPr>
      <t>(</t>
    </r>
    <r>
      <rPr>
        <rFont val="Noto Sans CJK SC"/>
        <i/>
        <color rgb="FF7F7F7F"/>
        <sz val="8.0"/>
      </rPr>
      <t>융합적 사고</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학년 보정 필요</t>
    </r>
  </si>
  <si>
    <r>
      <rPr>
        <rFont val="Noto Sans CJK SC"/>
        <b/>
        <color rgb="FF000000"/>
        <sz val="10.0"/>
      </rPr>
      <t>누적 이수시간</t>
    </r>
    <r>
      <rPr>
        <rFont val="맑은 고딕"/>
        <b/>
        <color rgb="FF000000"/>
        <sz val="10.0"/>
      </rPr>
      <t>(h)</t>
    </r>
  </si>
  <si>
    <r>
      <rPr>
        <rFont val="Noto Sans CJK SC"/>
        <b/>
        <color rgb="FF000000"/>
        <sz val="10.0"/>
      </rPr>
      <t>기준 시간</t>
    </r>
    <r>
      <rPr>
        <rFont val="맑은 고딕"/>
        <b/>
        <color rgb="FF000000"/>
        <sz val="10.0"/>
      </rPr>
      <t>(h)</t>
    </r>
  </si>
  <si>
    <r>
      <rPr>
        <rFont val="Noto Sans CJK SC"/>
        <color rgb="FF7F7F7F"/>
        <sz val="9.0"/>
      </rPr>
      <t>예</t>
    </r>
    <r>
      <rPr>
        <rFont val="맑은 고딕"/>
        <color rgb="FF7F7F7F"/>
        <sz val="9.0"/>
      </rPr>
      <t>: 90</t>
    </r>
  </si>
  <si>
    <r>
      <rPr>
        <rFont val="Noto Sans CJK SC"/>
        <b/>
        <color rgb="FFFFFFFF"/>
        <sz val="11.0"/>
      </rPr>
      <t>■ 진단</t>
    </r>
    <r>
      <rPr>
        <rFont val="맑은 고딕"/>
        <b/>
        <color rgb="FFFFFFFF"/>
        <sz val="11.0"/>
      </rPr>
      <t>·</t>
    </r>
    <r>
      <rPr>
        <rFont val="Noto Sans CJK SC"/>
        <b/>
        <color rgb="FFFFFFFF"/>
        <sz val="11.0"/>
      </rPr>
      <t>자기평가</t>
    </r>
  </si>
  <si>
    <r>
      <rPr>
        <rFont val="맑은 고딕"/>
        <b/>
        <color rgb="FF000000"/>
        <sz val="11.0"/>
      </rPr>
      <t xml:space="preserve">SSCA </t>
    </r>
    <r>
      <rPr>
        <rFont val="Noto Sans CJK SC"/>
        <b/>
        <color rgb="FF000000"/>
        <sz val="11.0"/>
      </rPr>
      <t>학생성공역량진단</t>
    </r>
  </si>
  <si>
    <r>
      <rPr>
        <rFont val="Noto Sans CJK SC"/>
        <i/>
        <color rgb="FF7F7F7F"/>
        <sz val="8.0"/>
      </rPr>
      <t>출처</t>
    </r>
    <r>
      <rPr>
        <rFont val="맑은 고딕"/>
        <i/>
        <color rgb="FF7F7F7F"/>
        <sz val="8.0"/>
      </rPr>
      <t>: 3</t>
    </r>
    <r>
      <rPr>
        <rFont val="Noto Sans CJK SC"/>
        <i/>
        <color rgb="FF7F7F7F"/>
        <sz val="8.0"/>
      </rPr>
      <t xml:space="preserve">품인증 시스템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t>
    </r>
    <r>
      <rPr>
        <rFont val="Noto Sans CJK SC"/>
        <i/>
        <color rgb="FF7F7F7F"/>
        <sz val="8.0"/>
      </rPr>
      <t>복수 역량 종합</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 xml:space="preserve">하위 활동과 중복 가산 위험 → 가산점이 아닌 </t>
    </r>
    <r>
      <rPr>
        <rFont val="맑은 고딕"/>
        <i/>
        <color rgb="FF7F7F7F"/>
        <sz val="8.0"/>
      </rPr>
      <t>'</t>
    </r>
    <r>
      <rPr>
        <rFont val="Noto Sans CJK SC"/>
        <i/>
        <color rgb="FF7F7F7F"/>
        <sz val="8.0"/>
      </rPr>
      <t>참고 지표</t>
    </r>
    <r>
      <rPr>
        <rFont val="맑은 고딕"/>
        <i/>
        <color rgb="FF7F7F7F"/>
        <sz val="8.0"/>
      </rPr>
      <t>'</t>
    </r>
    <r>
      <rPr>
        <rFont val="Noto Sans CJK SC"/>
        <i/>
        <color rgb="FF7F7F7F"/>
        <sz val="8.0"/>
      </rPr>
      <t>로 권장</t>
    </r>
  </si>
  <si>
    <r>
      <rPr>
        <rFont val="Noto Sans CJK SC"/>
        <i/>
        <color rgb="FF7F7F7F"/>
        <sz val="8.0"/>
      </rPr>
      <t>출처</t>
    </r>
    <r>
      <rPr>
        <rFont val="맑은 고딕"/>
        <i/>
        <color rgb="FF7F7F7F"/>
        <sz val="8.0"/>
      </rPr>
      <t>: 1365 · 3</t>
    </r>
    <r>
      <rPr>
        <rFont val="Noto Sans CJK SC"/>
        <i/>
        <color rgb="FF7F7F7F"/>
        <sz val="8.0"/>
      </rPr>
      <t>품</t>
    </r>
    <r>
      <rPr>
        <rFont val="맑은 고딕"/>
        <i/>
        <color rgb="FF7F7F7F"/>
        <sz val="8.0"/>
      </rPr>
      <t>(</t>
    </r>
    <r>
      <rPr>
        <rFont val="Noto Sans CJK SC"/>
        <i/>
        <color rgb="FF7F7F7F"/>
        <sz val="8.0"/>
      </rPr>
      <t>인성</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대인관계 </t>
    </r>
    <r>
      <rPr>
        <rFont val="맑은 고딕"/>
        <i/>
        <color rgb="FF7F7F7F"/>
        <sz val="8.0"/>
      </rPr>
      <t xml:space="preserve">/ </t>
    </r>
    <r>
      <rPr>
        <rFont val="Noto Sans CJK SC"/>
        <i/>
        <color rgb="FF7F7F7F"/>
        <sz val="8.0"/>
      </rPr>
      <t xml:space="preserve">리더십 </t>
    </r>
    <r>
      <rPr>
        <rFont val="맑은 고딕"/>
        <i/>
        <color rgb="FF7F7F7F"/>
        <sz val="8.0"/>
      </rPr>
      <t xml:space="preserve">/ </t>
    </r>
    <r>
      <rPr>
        <rFont val="Noto Sans CJK SC"/>
        <i/>
        <color rgb="FF7F7F7F"/>
        <sz val="8.0"/>
      </rPr>
      <t xml:space="preserve">문화적수용능력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학년 보정</t>
    </r>
    <r>
      <rPr>
        <rFont val="맑은 고딕"/>
        <i/>
        <color rgb="FF7F7F7F"/>
        <sz val="8.0"/>
      </rPr>
      <t>(</t>
    </r>
    <r>
      <rPr>
        <rFont val="Noto Sans CJK SC"/>
        <i/>
        <color rgb="FF7F7F7F"/>
        <sz val="8.0"/>
      </rPr>
      <t>학기당 시간</t>
    </r>
    <r>
      <rPr>
        <rFont val="맑은 고딕"/>
        <i/>
        <color rgb="FF7F7F7F"/>
        <sz val="8.0"/>
      </rPr>
      <t xml:space="preserve">) </t>
    </r>
    <r>
      <rPr>
        <rFont val="Noto Sans CJK SC"/>
        <i/>
        <color rgb="FF7F7F7F"/>
        <sz val="8.0"/>
      </rPr>
      <t>필요</t>
    </r>
  </si>
  <si>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</si>
  <si>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r>
      <rPr>
        <rFont val="Noto Sans CJK SC"/>
        <b/>
        <color rgb="FF000000"/>
        <sz val="10.0"/>
      </rPr>
      <t>총 봉사시간</t>
    </r>
    <r>
      <rPr>
        <rFont val="맑은 고딕"/>
        <b/>
        <color rgb="FF000000"/>
        <sz val="10.0"/>
      </rPr>
      <t>(h)</t>
    </r>
  </si>
  <si>
    <r>
      <rPr>
        <rFont val="Noto Sans CJK SC"/>
        <color rgb="FF1F3B8A"/>
        <sz val="10.0"/>
      </rPr>
      <t xml:space="preserve">약 </t>
    </r>
    <r>
      <rPr>
        <rFont val="맑은 고딕"/>
        <color rgb="FF1F3B8A"/>
        <sz val="10.0"/>
      </rPr>
      <t>30</t>
    </r>
    <r>
      <rPr>
        <rFont val="Noto Sans CJK SC"/>
        <color rgb="FF1F3B8A"/>
        <sz val="10.0"/>
      </rPr>
      <t>시간</t>
    </r>
  </si>
  <si>
    <r>
      <rPr>
        <rFont val="맑은 고딕"/>
        <color rgb="FF7F7F7F"/>
        <sz val="9.0"/>
      </rPr>
      <t xml:space="preserve">1365 </t>
    </r>
    <r>
      <rPr>
        <rFont val="Noto Sans CJK SC"/>
        <color rgb="FF7F7F7F"/>
        <sz val="9.0"/>
      </rPr>
      <t>등 인증 시간 합계</t>
    </r>
  </si>
  <si>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</si>
  <si>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r>
      <rPr>
        <rFont val="Noto Sans CJK SC"/>
        <b/>
        <color rgb="FF000000"/>
        <sz val="9.0"/>
      </rPr>
      <t>기관</t>
    </r>
    <r>
      <rPr>
        <rFont val="맑은 고딕"/>
        <b/>
        <color rgb="FF000000"/>
        <sz val="9.0"/>
      </rPr>
      <t>·</t>
    </r>
    <r>
      <rPr>
        <rFont val="Noto Sans CJK SC"/>
        <b/>
        <color rgb="FF000000"/>
        <sz val="9.0"/>
      </rPr>
      <t>내용</t>
    </r>
  </si>
  <si>
    <r>
      <rPr>
        <rFont val="Noto Sans CJK SC"/>
        <b/>
        <color rgb="FF000000"/>
        <sz val="9.0"/>
      </rPr>
      <t>시간</t>
    </r>
    <r>
      <rPr>
        <rFont val="맑은 고딕"/>
        <b/>
        <color rgb="FF000000"/>
        <sz val="9.0"/>
      </rPr>
      <t>(h)</t>
    </r>
  </si>
  <si>
    <r>
      <rPr>
        <rFont val="맑은 고딕"/>
        <i/>
        <color rgb="FF7F7F7F"/>
        <sz val="8.0"/>
      </rPr>
      <t>[</t>
    </r>
    <r>
      <rPr>
        <rFont val="Noto Sans CJK SC"/>
        <i/>
        <color rgb="FF7F7F7F"/>
        <sz val="8.0"/>
      </rPr>
      <t xml:space="preserve">교내 </t>
    </r>
    <r>
      <rPr>
        <rFont val="맑은 고딕"/>
        <i/>
        <color rgb="FF7F7F7F"/>
        <sz val="8.0"/>
      </rPr>
      <t xml:space="preserve">/ </t>
    </r>
    <r>
      <rPr>
        <rFont val="Noto Sans CJK SC"/>
        <i/>
        <color rgb="FF7F7F7F"/>
        <sz val="8.0"/>
      </rPr>
      <t>교외</t>
    </r>
    <r>
      <rPr>
        <rFont val="맑은 고딕"/>
        <i/>
        <color rgb="FF7F7F7F"/>
        <sz val="8.0"/>
      </rPr>
      <t>(</t>
    </r>
    <r>
      <rPr>
        <rFont val="Noto Sans CJK SC"/>
        <i/>
        <color rgb="FF7F7F7F"/>
        <sz val="8.0"/>
      </rPr>
      <t>국내</t>
    </r>
    <r>
      <rPr>
        <rFont val="맑은 고딕"/>
        <i/>
        <color rgb="FF7F7F7F"/>
        <sz val="8.0"/>
      </rPr>
      <t xml:space="preserve">) / </t>
    </r>
    <r>
      <rPr>
        <rFont val="Noto Sans CJK SC"/>
        <i/>
        <color rgb="FF7F7F7F"/>
        <sz val="8.0"/>
      </rPr>
      <t xml:space="preserve">국외 </t>
    </r>
    <r>
      <rPr>
        <rFont val="맑은 고딕"/>
        <i/>
        <color rgb="FF7F7F7F"/>
        <sz val="8.0"/>
      </rPr>
      <t xml:space="preserve">/ </t>
    </r>
    <r>
      <rPr>
        <rFont val="Noto Sans CJK SC"/>
        <i/>
        <color rgb="FF7F7F7F"/>
        <sz val="8.0"/>
      </rPr>
      <t>유학생 봉사</t>
    </r>
    <r>
      <rPr>
        <rFont val="맑은 고딕"/>
        <i/>
        <color rgb="FF7F7F7F"/>
        <sz val="8.0"/>
      </rPr>
      <t>]</t>
    </r>
  </si>
  <si>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</si>
  <si>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t>교외</t>
  </si>
  <si>
    <r>
      <rPr>
        <rFont val="맑은 고딕"/>
        <color rgb="FF1F3B8A"/>
        <sz val="10.0"/>
      </rPr>
      <t xml:space="preserve">1365 </t>
    </r>
    <r>
      <rPr>
        <rFont val="Noto Sans CJK SC"/>
        <color rgb="FF1F3B8A"/>
        <sz val="10.0"/>
      </rPr>
      <t>봉사 여러 건</t>
    </r>
  </si>
  <si>
    <t>30</t>
  </si>
  <si>
    <r>
      <rPr>
        <rFont val="맑은 고딕"/>
        <b/>
        <color rgb="FF000000"/>
        <sz val="10.0"/>
      </rPr>
      <t xml:space="preserve">AI </t>
    </r>
    <r>
      <rPr>
        <rFont val="Noto Sans CJK SC"/>
        <b/>
        <color rgb="FF000000"/>
        <sz val="10.0"/>
      </rPr>
      <t>영역</t>
    </r>
  </si>
  <si>
    <t>2025</t>
  </si>
  <si>
    <r>
      <rPr>
        <rFont val="Noto Sans CJK SC"/>
        <i/>
        <color rgb="FF7F7F7F"/>
        <sz val="8.0"/>
      </rPr>
      <t>출처</t>
    </r>
    <r>
      <rPr>
        <rFont val="맑은 고딕"/>
        <i/>
        <color rgb="FF7F7F7F"/>
        <sz val="8.0"/>
      </rPr>
      <t xml:space="preserve">: </t>
    </r>
    <r>
      <rPr>
        <rFont val="Noto Sans CJK SC"/>
        <i/>
        <color rgb="FF7F7F7F"/>
        <sz val="8.0"/>
      </rPr>
      <t xml:space="preserve">학생성공 게이트웨이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전 역량</t>
    </r>
    <r>
      <rPr>
        <rFont val="맑은 고딕"/>
        <i/>
        <color rgb="FF7F7F7F"/>
        <sz val="8.0"/>
      </rPr>
      <t>(</t>
    </r>
    <r>
      <rPr>
        <rFont val="Noto Sans CJK SC"/>
        <i/>
        <color rgb="FF7F7F7F"/>
        <sz val="8.0"/>
      </rPr>
      <t>자기인식</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 xml:space="preserve">객관 점수에 합산하지 말고 </t>
    </r>
    <r>
      <rPr>
        <rFont val="맑은 고딕"/>
        <i/>
        <color rgb="FF7F7F7F"/>
        <sz val="8.0"/>
      </rPr>
      <t>'</t>
    </r>
    <r>
      <rPr>
        <rFont val="Noto Sans CJK SC"/>
        <i/>
        <color rgb="FF7F7F7F"/>
        <sz val="8.0"/>
      </rPr>
      <t xml:space="preserve">자기평가 </t>
    </r>
    <r>
      <rPr>
        <rFont val="맑은 고딕"/>
        <i/>
        <color rgb="FF7F7F7F"/>
        <sz val="8.0"/>
      </rPr>
      <t xml:space="preserve">vs </t>
    </r>
    <r>
      <rPr>
        <rFont val="Noto Sans CJK SC"/>
        <i/>
        <color rgb="FF7F7F7F"/>
        <sz val="8.0"/>
      </rPr>
      <t>데이터 평가</t>
    </r>
    <r>
      <rPr>
        <rFont val="맑은 고딕"/>
        <i/>
        <color rgb="FF7F7F7F"/>
        <sz val="8.0"/>
      </rPr>
      <t xml:space="preserve">' </t>
    </r>
    <r>
      <rPr>
        <rFont val="Noto Sans CJK SC"/>
        <i/>
        <color rgb="FF7F7F7F"/>
        <sz val="8.0"/>
      </rPr>
      <t>비교용으로 별도 표시</t>
    </r>
  </si>
  <si>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</si>
  <si>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</si>
  <si>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r>
      <rPr>
        <rFont val="Noto Sans CJK SC"/>
        <b/>
        <color rgb="FF000000"/>
        <sz val="11.0"/>
      </rPr>
      <t>멘토링</t>
    </r>
    <r>
      <rPr>
        <rFont val="맑은 고딕"/>
        <b/>
        <color rgb="FF000000"/>
        <sz val="11.0"/>
      </rPr>
      <t>·</t>
    </r>
    <r>
      <rPr>
        <rFont val="Noto Sans CJK SC"/>
        <b/>
        <color rgb="FF000000"/>
        <sz val="11.0"/>
      </rPr>
      <t>학습공동체</t>
    </r>
  </si>
  <si>
    <r>
      <rPr>
        <rFont val="Noto Sans CJK SC"/>
        <i/>
        <color rgb="FF7F7F7F"/>
        <sz val="8.0"/>
      </rPr>
      <t>출처</t>
    </r>
    <r>
      <rPr>
        <rFont val="맑은 고딕"/>
        <i/>
        <color rgb="FF7F7F7F"/>
        <sz val="8.0"/>
      </rPr>
      <t xml:space="preserve">: </t>
    </r>
    <r>
      <rPr>
        <rFont val="Noto Sans CJK SC"/>
        <i/>
        <color rgb="FF7F7F7F"/>
        <sz val="8.0"/>
      </rPr>
      <t xml:space="preserve">교수학습센터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소통능력 </t>
    </r>
    <r>
      <rPr>
        <rFont val="맑은 고딕"/>
        <i/>
        <color rgb="FF7F7F7F"/>
        <sz val="8.0"/>
      </rPr>
      <t xml:space="preserve">/ </t>
    </r>
    <r>
      <rPr>
        <rFont val="Noto Sans CJK SC"/>
        <i/>
        <color rgb="FF7F7F7F"/>
        <sz val="8.0"/>
      </rPr>
      <t xml:space="preserve">대인관계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교수 관심 </t>
    </r>
    <r>
      <rPr>
        <rFont val="맑은 고딕"/>
        <i/>
        <color rgb="FF7F7F7F"/>
        <sz val="8.0"/>
      </rPr>
      <t>'</t>
    </r>
    <r>
      <rPr>
        <rFont val="Noto Sans CJK SC"/>
        <i/>
        <color rgb="FF7F7F7F"/>
        <sz val="8.0"/>
      </rPr>
      <t>소통능력</t>
    </r>
    <r>
      <rPr>
        <rFont val="맑은 고딕"/>
        <i/>
        <color rgb="FF7F7F7F"/>
        <sz val="8.0"/>
      </rPr>
      <t>'</t>
    </r>
    <r>
      <rPr>
        <rFont val="Noto Sans CJK SC"/>
        <i/>
        <color rgb="FF7F7F7F"/>
        <sz val="8.0"/>
      </rPr>
      <t xml:space="preserve">의 </t>
    </r>
    <r>
      <rPr>
        <rFont val="맑은 고딕"/>
        <i/>
        <color rgb="FF7F7F7F"/>
        <sz val="8.0"/>
      </rPr>
      <t>'</t>
    </r>
    <r>
      <rPr>
        <rFont val="Noto Sans CJK SC"/>
        <i/>
        <color rgb="FF7F7F7F"/>
        <sz val="8.0"/>
      </rPr>
      <t>스터디 참여</t>
    </r>
    <r>
      <rPr>
        <rFont val="맑은 고딕"/>
        <i/>
        <color rgb="FF7F7F7F"/>
        <sz val="8.0"/>
      </rPr>
      <t xml:space="preserve">' </t>
    </r>
    <r>
      <rPr>
        <rFont val="Noto Sans CJK SC"/>
        <i/>
        <color rgb="FF7F7F7F"/>
        <sz val="8.0"/>
      </rPr>
      <t>근거 확보</t>
    </r>
  </si>
  <si>
    <r>
      <rPr>
        <rFont val="Noto Sans CJK SC"/>
        <b/>
        <color rgb="FF000000"/>
        <sz val="9.0"/>
      </rPr>
      <t>역할</t>
    </r>
    <r>
      <rPr>
        <rFont val="맑은 고딕"/>
        <b/>
        <color rgb="FF000000"/>
        <sz val="9.0"/>
      </rPr>
      <t>·</t>
    </r>
    <r>
      <rPr>
        <rFont val="Noto Sans CJK SC"/>
        <b/>
        <color rgb="FF000000"/>
        <sz val="9.0"/>
      </rPr>
      <t>내용</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</si>
  <si>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</si>
  <si>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맑은 고딕"/>
        <i/>
        <color rgb="FF7F7F7F"/>
        <sz val="8.0"/>
      </rPr>
      <t>[</t>
    </r>
    <r>
      <rPr>
        <rFont val="Noto Sans CJK SC"/>
        <i/>
        <color rgb="FF7F7F7F"/>
        <sz val="8.0"/>
      </rPr>
      <t xml:space="preserve">튜터 </t>
    </r>
    <r>
      <rPr>
        <rFont val="맑은 고딕"/>
        <i/>
        <color rgb="FF7F7F7F"/>
        <sz val="8.0"/>
      </rPr>
      <t xml:space="preserve">/ </t>
    </r>
    <r>
      <rPr>
        <rFont val="Noto Sans CJK SC"/>
        <i/>
        <color rgb="FF7F7F7F"/>
        <sz val="8.0"/>
      </rPr>
      <t xml:space="preserve">튜티 </t>
    </r>
    <r>
      <rPr>
        <rFont val="맑은 고딕"/>
        <i/>
        <color rgb="FF7F7F7F"/>
        <sz val="8.0"/>
      </rPr>
      <t xml:space="preserve">/ </t>
    </r>
    <r>
      <rPr>
        <rFont val="Noto Sans CJK SC"/>
        <i/>
        <color rgb="FF7F7F7F"/>
        <sz val="8.0"/>
      </rPr>
      <t xml:space="preserve">멘토 </t>
    </r>
    <r>
      <rPr>
        <rFont val="맑은 고딕"/>
        <i/>
        <color rgb="FF7F7F7F"/>
        <sz val="8.0"/>
      </rPr>
      <t xml:space="preserve">/ </t>
    </r>
    <r>
      <rPr>
        <rFont val="Noto Sans CJK SC"/>
        <i/>
        <color rgb="FF7F7F7F"/>
        <sz val="8.0"/>
      </rPr>
      <t xml:space="preserve">멘티 </t>
    </r>
    <r>
      <rPr>
        <rFont val="맑은 고딕"/>
        <i/>
        <color rgb="FF7F7F7F"/>
        <sz val="8.0"/>
      </rPr>
      <t xml:space="preserve">/ </t>
    </r>
    <r>
      <rPr>
        <rFont val="Noto Sans CJK SC"/>
        <i/>
        <color rgb="FF7F7F7F"/>
        <sz val="8.0"/>
      </rPr>
      <t xml:space="preserve">스터디 </t>
    </r>
    <r>
      <rPr>
        <rFont val="맑은 고딕"/>
        <i/>
        <color rgb="FF7F7F7F"/>
        <sz val="8.0"/>
      </rPr>
      <t xml:space="preserve">/ </t>
    </r>
    <r>
      <rPr>
        <rFont val="Noto Sans CJK SC"/>
        <i/>
        <color rgb="FF7F7F7F"/>
        <sz val="8.0"/>
      </rPr>
      <t>학습공동체</t>
    </r>
    <r>
      <rPr>
        <rFont val="맑은 고딕"/>
        <i/>
        <color rgb="FF7F7F7F"/>
        <sz val="8.0"/>
      </rPr>
      <t>]</t>
    </r>
  </si>
  <si>
    <r>
      <rPr>
        <rFont val="Noto Sans CJK SC"/>
        <i/>
        <color rgb="FF7F7F7F"/>
        <sz val="8.0"/>
      </rPr>
      <t>출처</t>
    </r>
    <r>
      <rPr>
        <rFont val="맑은 고딕"/>
        <i/>
        <color rgb="FF7F7F7F"/>
        <sz val="8.0"/>
      </rPr>
      <t xml:space="preserve">: </t>
    </r>
    <r>
      <rPr>
        <rFont val="Noto Sans CJK SC"/>
        <i/>
        <color rgb="FF7F7F7F"/>
        <sz val="8.0"/>
      </rPr>
      <t xml:space="preserve">비교과 시스템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자기관리 </t>
    </r>
    <r>
      <rPr>
        <rFont val="맑은 고딕"/>
        <i/>
        <color rgb="FF7F7F7F"/>
        <sz val="8.0"/>
      </rPr>
      <t xml:space="preserve">/ </t>
    </r>
    <r>
      <rPr>
        <rFont val="Noto Sans CJK SC"/>
        <i/>
        <color rgb="FF7F7F7F"/>
        <sz val="8.0"/>
      </rPr>
      <t>종합적사고력</t>
    </r>
    <r>
      <rPr>
        <rFont val="맑은 고딕"/>
        <i/>
        <color rgb="FF7F7F7F"/>
        <sz val="8.0"/>
      </rPr>
      <t>(</t>
    </r>
    <r>
      <rPr>
        <rFont val="Noto Sans CJK SC"/>
        <i/>
        <color rgb="FF7F7F7F"/>
        <sz val="8.0"/>
      </rPr>
      <t>융합적 사고</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학년 보정 필요</t>
    </r>
  </si>
  <si>
    <r>
      <rPr>
        <rFont val="Noto Sans CJK SC"/>
        <i/>
        <color rgb="FF7F7F7F"/>
        <sz val="8.0"/>
      </rPr>
      <t>출처</t>
    </r>
    <r>
      <rPr>
        <rFont val="맑은 고딕"/>
        <i/>
        <color rgb="FF7F7F7F"/>
        <sz val="8.0"/>
      </rPr>
      <t xml:space="preserve">: </t>
    </r>
    <r>
      <rPr>
        <rFont val="Noto Sans CJK SC"/>
        <i/>
        <color rgb="FF7F7F7F"/>
        <sz val="8.0"/>
      </rPr>
      <t xml:space="preserve">학생성공 게이트웨이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자기관리 </t>
    </r>
    <r>
      <rPr>
        <rFont val="맑은 고딕"/>
        <i/>
        <color rgb="FF7F7F7F"/>
        <sz val="8.0"/>
      </rPr>
      <t xml:space="preserve">/ </t>
    </r>
    <r>
      <rPr>
        <rFont val="Noto Sans CJK SC"/>
        <i/>
        <color rgb="FF7F7F7F"/>
        <sz val="8.0"/>
      </rPr>
      <t xml:space="preserve">학업성취   </t>
    </r>
    <r>
      <rPr>
        <rFont val="맑은 고딕"/>
        <i/>
        <color rgb="FF7F7F7F"/>
        <sz val="8.0"/>
      </rPr>
      <t xml:space="preserve">|   </t>
    </r>
    <r>
      <rPr>
        <rFont val="Noto Sans CJK SC"/>
        <i/>
        <color rgb="FF7F7F7F"/>
        <sz val="8.0"/>
      </rPr>
      <t>비고</t>
    </r>
    <r>
      <rPr>
        <rFont val="맑은 고딕"/>
        <i/>
        <color rgb="FF7F7F7F"/>
        <sz val="8.0"/>
      </rPr>
      <t>: SSCA</t>
    </r>
    <r>
      <rPr>
        <rFont val="Noto Sans CJK SC"/>
        <i/>
        <color rgb="FF7F7F7F"/>
        <sz val="8.0"/>
      </rPr>
      <t>와 동일하게 비교용 권장</t>
    </r>
  </si>
  <si>
    <r>
      <rPr>
        <rFont val="Noto Sans CJK SC"/>
        <b/>
        <color rgb="FF000000"/>
        <sz val="10.0"/>
      </rPr>
      <t>누적 이수시간</t>
    </r>
    <r>
      <rPr>
        <rFont val="맑은 고딕"/>
        <b/>
        <color rgb="FF000000"/>
        <sz val="10.0"/>
      </rPr>
      <t>(h)</t>
    </r>
  </si>
  <si>
    <r>
      <rPr>
        <rFont val="Noto Sans CJK SC"/>
        <b/>
        <color rgb="FF000000"/>
        <sz val="10.0"/>
      </rPr>
      <t>기준 시간</t>
    </r>
    <r>
      <rPr>
        <rFont val="맑은 고딕"/>
        <b/>
        <color rgb="FF000000"/>
        <sz val="10.0"/>
      </rPr>
      <t>(h)</t>
    </r>
  </si>
  <si>
    <r>
      <rPr>
        <rFont val="Noto Sans CJK SC"/>
        <color rgb="FF7F7F7F"/>
        <sz val="9.0"/>
      </rPr>
      <t>예</t>
    </r>
    <r>
      <rPr>
        <rFont val="맑은 고딕"/>
        <color rgb="FF7F7F7F"/>
        <sz val="9.0"/>
      </rPr>
      <t>: 90</t>
    </r>
  </si>
  <si>
    <r>
      <rPr>
        <rFont val="Noto Sans CJK SC"/>
        <b/>
        <color rgb="FF000000"/>
        <sz val="11.0"/>
      </rPr>
      <t>활동 성찰 기록</t>
    </r>
    <r>
      <rPr>
        <rFont val="맑은 고딕"/>
        <b/>
        <color rgb="FF000000"/>
        <sz val="11.0"/>
      </rPr>
      <t>(STAR)</t>
    </r>
  </si>
  <si>
    <r>
      <rPr>
        <rFont val="Noto Sans CJK SC"/>
        <b/>
        <color rgb="FFFFFFFF"/>
        <sz val="11.0"/>
      </rPr>
      <t>■ 진단</t>
    </r>
    <r>
      <rPr>
        <rFont val="맑은 고딕"/>
        <b/>
        <color rgb="FFFFFFFF"/>
        <sz val="11.0"/>
      </rPr>
      <t>·</t>
    </r>
    <r>
      <rPr>
        <rFont val="Noto Sans CJK SC"/>
        <b/>
        <color rgb="FFFFFFFF"/>
        <sz val="11.0"/>
      </rPr>
      <t>자기평가</t>
    </r>
  </si>
  <si>
    <r>
      <rPr>
        <rFont val="맑은 고딕"/>
        <b/>
        <color rgb="FF000000"/>
        <sz val="11.0"/>
      </rPr>
      <t xml:space="preserve">SSCA </t>
    </r>
    <r>
      <rPr>
        <rFont val="Noto Sans CJK SC"/>
        <b/>
        <color rgb="FF000000"/>
        <sz val="11.0"/>
      </rPr>
      <t>학생성공역량진단</t>
    </r>
  </si>
  <si>
    <r>
      <rPr>
        <rFont val="Noto Sans CJK SC"/>
        <i/>
        <color rgb="FF7F7F7F"/>
        <sz val="8.0"/>
      </rPr>
      <t>출처</t>
    </r>
    <r>
      <rPr>
        <rFont val="맑은 고딕"/>
        <i/>
        <color rgb="FF7F7F7F"/>
        <sz val="8.0"/>
      </rPr>
      <t xml:space="preserve">: LMS(i-Campus)   |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커뮤니케이션</t>
    </r>
    <r>
      <rPr>
        <rFont val="맑은 고딕"/>
        <i/>
        <color rgb="FF7F7F7F"/>
        <sz val="8.0"/>
      </rPr>
      <t>(</t>
    </r>
    <r>
      <rPr>
        <rFont val="Noto Sans CJK SC"/>
        <i/>
        <color rgb="FF7F7F7F"/>
        <sz val="8.0"/>
      </rPr>
      <t>협업</t>
    </r>
    <r>
      <rPr>
        <rFont val="맑은 고딕"/>
        <i/>
        <color rgb="FF7F7F7F"/>
        <sz val="8.0"/>
      </rPr>
      <t xml:space="preserve">) / </t>
    </r>
    <r>
      <rPr>
        <rFont val="Noto Sans CJK SC"/>
        <i/>
        <color rgb="FF7F7F7F"/>
        <sz val="8.0"/>
      </rPr>
      <t xml:space="preserve">대인관계 </t>
    </r>
    <r>
      <rPr>
        <rFont val="맑은 고딕"/>
        <i/>
        <color rgb="FF7F7F7F"/>
        <sz val="8.0"/>
      </rPr>
      <t xml:space="preserve">/ </t>
    </r>
    <r>
      <rPr>
        <rFont val="Noto Sans CJK SC"/>
        <i/>
        <color rgb="FF7F7F7F"/>
        <sz val="8.0"/>
      </rPr>
      <t xml:space="preserve">리더십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대인관계 역량을 </t>
    </r>
    <r>
      <rPr>
        <rFont val="맑은 고딕"/>
        <i/>
        <color rgb="FF7F7F7F"/>
        <sz val="8.0"/>
      </rPr>
      <t>'</t>
    </r>
    <r>
      <rPr>
        <rFont val="Noto Sans CJK SC"/>
        <i/>
        <color rgb="FF7F7F7F"/>
        <sz val="8.0"/>
      </rPr>
      <t>활동 여부</t>
    </r>
    <r>
      <rPr>
        <rFont val="맑은 고딕"/>
        <i/>
        <color rgb="FF7F7F7F"/>
        <sz val="8.0"/>
      </rPr>
      <t>'</t>
    </r>
    <r>
      <rPr>
        <rFont val="Noto Sans CJK SC"/>
        <i/>
        <color rgb="FF7F7F7F"/>
        <sz val="8.0"/>
      </rPr>
      <t xml:space="preserve">가 아닌 </t>
    </r>
    <r>
      <rPr>
        <rFont val="맑은 고딕"/>
        <i/>
        <color rgb="FF7F7F7F"/>
        <sz val="8.0"/>
      </rPr>
      <t>'</t>
    </r>
    <r>
      <rPr>
        <rFont val="Noto Sans CJK SC"/>
        <i/>
        <color rgb="FF7F7F7F"/>
        <sz val="8.0"/>
      </rPr>
      <t>평판</t>
    </r>
    <r>
      <rPr>
        <rFont val="맑은 고딕"/>
        <i/>
        <color rgb="FF7F7F7F"/>
        <sz val="8.0"/>
      </rPr>
      <t>'</t>
    </r>
    <r>
      <rPr>
        <rFont val="Noto Sans CJK SC"/>
        <i/>
        <color rgb="FF7F7F7F"/>
        <sz val="8.0"/>
      </rPr>
      <t>으로 측정할 수 있는 유일한 근거</t>
    </r>
  </si>
  <si>
    <r>
      <rPr>
        <rFont val="Noto Sans CJK SC"/>
        <b/>
        <color rgb="FF000000"/>
        <sz val="9.0"/>
      </rPr>
      <t>평가 인원</t>
    </r>
    <r>
      <rPr>
        <rFont val="맑은 고딕"/>
        <b/>
        <color rgb="FF000000"/>
        <sz val="9.0"/>
      </rPr>
      <t>(</t>
    </r>
    <r>
      <rPr>
        <rFont val="Noto Sans CJK SC"/>
        <b/>
        <color rgb="FF000000"/>
        <sz val="9.0"/>
      </rPr>
      <t>명</t>
    </r>
    <r>
      <rPr>
        <rFont val="맑은 고딕"/>
        <b/>
        <color rgb="FF000000"/>
        <sz val="9.0"/>
      </rPr>
      <t>)</t>
    </r>
  </si>
  <si>
    <r>
      <rPr>
        <rFont val="맑은 고딕"/>
        <i/>
        <color rgb="FF7F7F7F"/>
        <sz val="8.0"/>
      </rPr>
      <t>YYYY-1 / YYYY-2 / YYYY-</t>
    </r>
    <r>
      <rPr>
        <rFont val="Noto Sans CJK SC"/>
        <i/>
        <color rgb="FF7F7F7F"/>
        <sz val="8.0"/>
      </rPr>
      <t xml:space="preserve">여름 </t>
    </r>
    <r>
      <rPr>
        <rFont val="맑은 고딕"/>
        <i/>
        <color rgb="FF7F7F7F"/>
        <sz val="8.0"/>
      </rPr>
      <t>/ YYYY-</t>
    </r>
    <r>
      <rPr>
        <rFont val="Noto Sans CJK SC"/>
        <i/>
        <color rgb="FF7F7F7F"/>
        <sz val="8.0"/>
      </rPr>
      <t>겨울</t>
    </r>
  </si>
  <si>
    <r>
      <rPr>
        <rFont val="Noto Sans CJK SC"/>
        <b/>
        <color rgb="FFFFFFFF"/>
        <sz val="11.0"/>
      </rPr>
      <t>■ 자격</t>
    </r>
    <r>
      <rPr>
        <rFont val="맑은 고딕"/>
        <b/>
        <color rgb="FFFFFFFF"/>
        <sz val="11.0"/>
      </rPr>
      <t>·</t>
    </r>
    <r>
      <rPr>
        <rFont val="Noto Sans CJK SC"/>
        <b/>
        <color rgb="FFFFFFFF"/>
        <sz val="11.0"/>
      </rPr>
      <t>인증</t>
    </r>
  </si>
  <si>
    <r>
      <rPr>
        <rFont val="Noto Sans CJK SC"/>
        <b/>
        <color rgb="FF000000"/>
        <sz val="11.0"/>
      </rPr>
      <t>자격증</t>
    </r>
    <r>
      <rPr>
        <rFont val="맑은 고딕"/>
        <b/>
        <color rgb="FF000000"/>
        <sz val="11.0"/>
      </rPr>
      <t>(</t>
    </r>
    <r>
      <rPr>
        <rFont val="Noto Sans CJK SC"/>
        <b/>
        <color rgb="FF000000"/>
        <sz val="11.0"/>
      </rPr>
      <t>어학</t>
    </r>
    <r>
      <rPr>
        <rFont val="맑은 고딕"/>
        <b/>
        <color rgb="FF000000"/>
        <sz val="11.0"/>
      </rPr>
      <t>)</t>
    </r>
  </si>
  <si>
    <r>
      <rPr>
        <rFont val="Noto Sans CJK SC"/>
        <i/>
        <color rgb="FF7F7F7F"/>
        <sz val="8.0"/>
      </rPr>
      <t>출처</t>
    </r>
    <r>
      <rPr>
        <rFont val="맑은 고딕"/>
        <i/>
        <color rgb="FF7F7F7F"/>
        <sz val="8.0"/>
      </rPr>
      <t xml:space="preserve">: </t>
    </r>
    <r>
      <rPr>
        <rFont val="Noto Sans CJK SC"/>
        <i/>
        <color rgb="FF7F7F7F"/>
        <sz val="8.0"/>
      </rPr>
      <t>학생 입력</t>
    </r>
    <r>
      <rPr>
        <rFont val="맑은 고딕"/>
        <i/>
        <color rgb="FF7F7F7F"/>
        <sz val="8.0"/>
      </rPr>
      <t>(</t>
    </r>
    <r>
      <rPr>
        <rFont val="Noto Sans CJK SC"/>
        <i/>
        <color rgb="FF7F7F7F"/>
        <sz val="8.0"/>
      </rPr>
      <t>포트폴리오</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리더십 </t>
    </r>
    <r>
      <rPr>
        <rFont val="맑은 고딕"/>
        <i/>
        <color rgb="FF7F7F7F"/>
        <sz val="8.0"/>
      </rPr>
      <t xml:space="preserve">/ </t>
    </r>
    <r>
      <rPr>
        <rFont val="Noto Sans CJK SC"/>
        <i/>
        <color rgb="FF7F7F7F"/>
        <sz val="8.0"/>
      </rPr>
      <t xml:space="preserve">문제해결력 </t>
    </r>
    <r>
      <rPr>
        <rFont val="맑은 고딕"/>
        <i/>
        <color rgb="FF7F7F7F"/>
        <sz val="8.0"/>
      </rPr>
      <t xml:space="preserve">/ </t>
    </r>
    <r>
      <rPr>
        <rFont val="Noto Sans CJK SC"/>
        <i/>
        <color rgb="FF7F7F7F"/>
        <sz val="8.0"/>
      </rPr>
      <t xml:space="preserve">커뮤니케이션 등 정성 역량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정성 루브릭이 판단할 </t>
    </r>
    <r>
      <rPr>
        <rFont val="맑은 고딕"/>
        <i/>
        <color rgb="FF7F7F7F"/>
        <sz val="8.0"/>
      </rPr>
      <t>'</t>
    </r>
    <r>
      <rPr>
        <rFont val="Noto Sans CJK SC"/>
        <i/>
        <color rgb="FF7F7F7F"/>
        <sz val="8.0"/>
      </rPr>
      <t>질적 근거</t>
    </r>
    <r>
      <rPr>
        <rFont val="맑은 고딕"/>
        <i/>
        <color rgb="FF7F7F7F"/>
        <sz val="8.0"/>
      </rPr>
      <t>'</t>
    </r>
    <r>
      <rPr>
        <rFont val="Noto Sans CJK SC"/>
        <i/>
        <color rgb="FF7F7F7F"/>
        <sz val="8.0"/>
      </rPr>
      <t>가 현재 거의 없음 → 가장 우선 확보 권장</t>
    </r>
  </si>
  <si>
    <r>
      <rPr>
        <rFont val="Noto Sans CJK SC"/>
        <b/>
        <color rgb="FF000000"/>
        <sz val="9.0"/>
      </rPr>
      <t xml:space="preserve">관련 카테고리 </t>
    </r>
    <r>
      <rPr>
        <rFont val="맑은 고딕"/>
        <b/>
        <color rgb="FF000000"/>
        <sz val="9.0"/>
      </rPr>
      <t>No</t>
    </r>
  </si>
  <si>
    <r>
      <rPr>
        <rFont val="Noto Sans CJK SC"/>
        <b/>
        <color rgb="FF000000"/>
        <sz val="9.0"/>
      </rPr>
      <t>상황</t>
    </r>
    <r>
      <rPr>
        <rFont val="맑은 고딕"/>
        <b/>
        <color rgb="FF000000"/>
        <sz val="9.0"/>
      </rPr>
      <t>(S)</t>
    </r>
  </si>
  <si>
    <r>
      <rPr>
        <rFont val="Noto Sans CJK SC"/>
        <b/>
        <color rgb="FF000000"/>
        <sz val="9.0"/>
      </rPr>
      <t>과제</t>
    </r>
    <r>
      <rPr>
        <rFont val="맑은 고딕"/>
        <b/>
        <color rgb="FF000000"/>
        <sz val="9.0"/>
      </rPr>
      <t>·</t>
    </r>
    <r>
      <rPr>
        <rFont val="Noto Sans CJK SC"/>
        <b/>
        <color rgb="FF000000"/>
        <sz val="9.0"/>
      </rPr>
      <t>역할</t>
    </r>
    <r>
      <rPr>
        <rFont val="맑은 고딕"/>
        <b/>
        <color rgb="FF000000"/>
        <sz val="9.0"/>
      </rPr>
      <t>(T)</t>
    </r>
  </si>
  <si>
    <r>
      <rPr>
        <rFont val="Noto Sans CJK SC"/>
        <b/>
        <color rgb="FF000000"/>
        <sz val="9.0"/>
      </rPr>
      <t>행동</t>
    </r>
    <r>
      <rPr>
        <rFont val="맑은 고딕"/>
        <b/>
        <color rgb="FF000000"/>
        <sz val="9.0"/>
      </rPr>
      <t>(A)</t>
    </r>
  </si>
  <si>
    <r>
      <rPr>
        <rFont val="Noto Sans CJK SC"/>
        <b/>
        <color rgb="FF000000"/>
        <sz val="9.0"/>
      </rPr>
      <t>결과</t>
    </r>
    <r>
      <rPr>
        <rFont val="맑은 고딕"/>
        <b/>
        <color rgb="FF000000"/>
        <sz val="9.0"/>
      </rPr>
      <t>(R)</t>
    </r>
  </si>
  <si>
    <r>
      <rPr>
        <rFont val="Noto Sans CJK SC"/>
        <i/>
        <color rgb="FF7F7F7F"/>
        <sz val="8.0"/>
      </rPr>
      <t>출처</t>
    </r>
    <r>
      <rPr>
        <rFont val="맑은 고딕"/>
        <i/>
        <color rgb="FF7F7F7F"/>
        <sz val="8.0"/>
      </rPr>
      <t xml:space="preserve">: </t>
    </r>
    <r>
      <rPr>
        <rFont val="Noto Sans CJK SC"/>
        <i/>
        <color rgb="FF7F7F7F"/>
        <sz val="8.0"/>
      </rPr>
      <t xml:space="preserve">학생성공 게이트웨이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전 역량</t>
    </r>
    <r>
      <rPr>
        <rFont val="맑은 고딕"/>
        <i/>
        <color rgb="FF7F7F7F"/>
        <sz val="8.0"/>
      </rPr>
      <t>(</t>
    </r>
    <r>
      <rPr>
        <rFont val="Noto Sans CJK SC"/>
        <i/>
        <color rgb="FF7F7F7F"/>
        <sz val="8.0"/>
      </rPr>
      <t>자기인식</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 xml:space="preserve">객관 점수에 합산하지 말고 </t>
    </r>
    <r>
      <rPr>
        <rFont val="맑은 고딕"/>
        <i/>
        <color rgb="FF7F7F7F"/>
        <sz val="8.0"/>
      </rPr>
      <t>'</t>
    </r>
    <r>
      <rPr>
        <rFont val="Noto Sans CJK SC"/>
        <i/>
        <color rgb="FF7F7F7F"/>
        <sz val="8.0"/>
      </rPr>
      <t xml:space="preserve">자기평가 </t>
    </r>
    <r>
      <rPr>
        <rFont val="맑은 고딕"/>
        <i/>
        <color rgb="FF7F7F7F"/>
        <sz val="8.0"/>
      </rPr>
      <t xml:space="preserve">vs </t>
    </r>
    <r>
      <rPr>
        <rFont val="Noto Sans CJK SC"/>
        <i/>
        <color rgb="FF7F7F7F"/>
        <sz val="8.0"/>
      </rPr>
      <t>데이터 평가</t>
    </r>
    <r>
      <rPr>
        <rFont val="맑은 고딕"/>
        <i/>
        <color rgb="FF7F7F7F"/>
        <sz val="8.0"/>
      </rPr>
      <t xml:space="preserve">' </t>
    </r>
    <r>
      <rPr>
        <rFont val="Noto Sans CJK SC"/>
        <i/>
        <color rgb="FF7F7F7F"/>
        <sz val="8.0"/>
      </rPr>
      <t>비교용으로 별도 표시</t>
    </r>
  </si>
  <si>
    <r>
      <rPr>
        <rFont val="Noto Sans CJK SC"/>
        <i/>
        <color rgb="FF7F7F7F"/>
        <sz val="8.0"/>
      </rPr>
      <t xml:space="preserve">숫자 </t>
    </r>
    <r>
      <rPr>
        <rFont val="맑은 고딕"/>
        <i/>
        <color rgb="FF7F7F7F"/>
        <sz val="8.0"/>
      </rPr>
      <t>1~34</t>
    </r>
  </si>
  <si>
    <t>2026-03-05</t>
  </si>
  <si>
    <r>
      <rPr>
        <rFont val="Noto Sans CJK SC"/>
        <i/>
        <color rgb="FF7F7F7F"/>
        <sz val="8.0"/>
      </rPr>
      <t>서술</t>
    </r>
    <r>
      <rPr>
        <rFont val="맑은 고딕"/>
        <i/>
        <color rgb="FF7F7F7F"/>
        <sz val="8.0"/>
      </rPr>
      <t>(</t>
    </r>
    <r>
      <rPr>
        <rFont val="Noto Sans CJK SC"/>
        <i/>
        <color rgb="FF7F7F7F"/>
        <sz val="8.0"/>
      </rPr>
      <t>수치 포함 권장</t>
    </r>
    <r>
      <rPr>
        <rFont val="맑은 고딕"/>
        <i/>
        <color rgb="FF7F7F7F"/>
        <sz val="8.0"/>
      </rPr>
      <t>)</t>
    </r>
  </si>
  <si>
    <r>
      <rPr>
        <rFont val="Noto Sans CJK SC"/>
        <i/>
        <color rgb="FF7F7F7F"/>
        <sz val="8.0"/>
      </rPr>
      <t>출처</t>
    </r>
    <r>
      <rPr>
        <rFont val="맑은 고딕"/>
        <i/>
        <color rgb="FF7F7F7F"/>
        <sz val="8.0"/>
      </rPr>
      <t xml:space="preserve">: </t>
    </r>
    <r>
      <rPr>
        <rFont val="Noto Sans CJK SC"/>
        <i/>
        <color rgb="FF7F7F7F"/>
        <sz val="8.0"/>
      </rPr>
      <t>학생 등록</t>
    </r>
    <r>
      <rPr>
        <rFont val="맑은 고딕"/>
        <i/>
        <color rgb="FF7F7F7F"/>
        <sz val="8.0"/>
      </rPr>
      <t>(</t>
    </r>
    <r>
      <rPr>
        <rFont val="Noto Sans CJK SC"/>
        <i/>
        <color rgb="FF7F7F7F"/>
        <sz val="8.0"/>
      </rPr>
      <t>성적표</t>
    </r>
    <r>
      <rPr>
        <rFont val="맑은 고딕"/>
        <i/>
        <color rgb="FF7F7F7F"/>
        <sz val="8.0"/>
      </rPr>
      <t>) · 3</t>
    </r>
    <r>
      <rPr>
        <rFont val="Noto Sans CJK SC"/>
        <i/>
        <color rgb="FF7F7F7F"/>
        <sz val="8.0"/>
      </rPr>
      <t>품</t>
    </r>
    <r>
      <rPr>
        <rFont val="맑은 고딕"/>
        <i/>
        <color rgb="FF7F7F7F"/>
        <sz val="8.0"/>
      </rPr>
      <t>(</t>
    </r>
    <r>
      <rPr>
        <rFont val="Noto Sans CJK SC"/>
        <i/>
        <color rgb="FF7F7F7F"/>
        <sz val="8.0"/>
      </rPr>
      <t>글로벌</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글로벌</t>
    </r>
    <r>
      <rPr>
        <rFont val="맑은 고딕"/>
        <i/>
        <color rgb="FF7F7F7F"/>
        <sz val="8.0"/>
      </rPr>
      <t>(</t>
    </r>
    <r>
      <rPr>
        <rFont val="Noto Sans CJK SC"/>
        <i/>
        <color rgb="FF7F7F7F"/>
        <sz val="8.0"/>
      </rPr>
      <t>언어 사용능력</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시험별 공통 척도 환산표 필요</t>
    </r>
  </si>
  <si>
    <r>
      <rPr>
        <rFont val="Noto Sans CJK SC"/>
        <b/>
        <color rgb="FF000000"/>
        <sz val="9.0"/>
      </rPr>
      <t>등급</t>
    </r>
    <r>
      <rPr>
        <rFont val="맑은 고딕"/>
        <b/>
        <color rgb="FF000000"/>
        <sz val="9.0"/>
      </rPr>
      <t>·</t>
    </r>
    <r>
      <rPr>
        <rFont val="Noto Sans CJK SC"/>
        <b/>
        <color rgb="FF000000"/>
        <sz val="9.0"/>
      </rPr>
      <t>레벨</t>
    </r>
  </si>
  <si>
    <r>
      <rPr>
        <rFont val="맑은 고딕"/>
        <i/>
        <color rgb="FF7F7F7F"/>
        <sz val="8.0"/>
      </rPr>
      <t xml:space="preserve">[TOEIC / TOEFL iBT / TOEIC Speaking / OPIc / HSK / JPT / JLPT / DELF/DALF / DELE / </t>
    </r>
    <r>
      <rPr>
        <rFont val="Noto Sans CJK SC"/>
        <i/>
        <color rgb="FF7F7F7F"/>
        <sz val="8.0"/>
      </rPr>
      <t>기타</t>
    </r>
    <r>
      <rPr>
        <rFont val="맑은 고딕"/>
        <i/>
        <color rgb="FF7F7F7F"/>
        <sz val="8.0"/>
      </rPr>
      <t>]</t>
    </r>
  </si>
  <si>
    <r>
      <rPr>
        <rFont val="Noto Sans CJK SC"/>
        <i/>
        <color rgb="FF7F7F7F"/>
        <sz val="8.0"/>
      </rPr>
      <t>예</t>
    </r>
    <r>
      <rPr>
        <rFont val="맑은 고딕"/>
        <i/>
        <color rgb="FF7F7F7F"/>
        <sz val="8.0"/>
      </rPr>
      <t>: IH, N1, 5</t>
    </r>
    <r>
      <rPr>
        <rFont val="Noto Sans CJK SC"/>
        <i/>
        <color rgb="FF7F7F7F"/>
        <sz val="8.0"/>
      </rPr>
      <t>급</t>
    </r>
  </si>
  <si>
    <t>TOEIC 850, OPIc IM2</t>
  </si>
  <si>
    <t>작년 겨울</t>
  </si>
  <si>
    <r>
      <rPr>
        <rFont val="Noto Sans CJK SC"/>
        <b/>
        <color rgb="FF000000"/>
        <sz val="11.0"/>
      </rPr>
      <t>자격증</t>
    </r>
    <r>
      <rPr>
        <rFont val="맑은 고딕"/>
        <b/>
        <color rgb="FF000000"/>
        <sz val="11.0"/>
      </rPr>
      <t>(</t>
    </r>
    <r>
      <rPr>
        <rFont val="Noto Sans CJK SC"/>
        <b/>
        <color rgb="FF000000"/>
        <sz val="11.0"/>
      </rPr>
      <t>기타</t>
    </r>
    <r>
      <rPr>
        <rFont val="맑은 고딕"/>
        <b/>
        <color rgb="FF000000"/>
        <sz val="11.0"/>
      </rPr>
      <t>/</t>
    </r>
    <r>
      <rPr>
        <rFont val="Noto Sans CJK SC"/>
        <b/>
        <color rgb="FF000000"/>
        <sz val="11.0"/>
      </rPr>
      <t>전공</t>
    </r>
    <r>
      <rPr>
        <rFont val="맑은 고딕"/>
        <b/>
        <color rgb="FF000000"/>
        <sz val="11.0"/>
      </rPr>
      <t>)</t>
    </r>
  </si>
  <si>
    <r>
      <rPr>
        <rFont val="Noto Sans CJK SC"/>
        <i/>
        <color rgb="FF7F7F7F"/>
        <sz val="8.0"/>
      </rPr>
      <t>출처</t>
    </r>
    <r>
      <rPr>
        <rFont val="맑은 고딕"/>
        <i/>
        <color rgb="FF7F7F7F"/>
        <sz val="8.0"/>
      </rPr>
      <t xml:space="preserve">: </t>
    </r>
    <r>
      <rPr>
        <rFont val="Noto Sans CJK SC"/>
        <i/>
        <color rgb="FF7F7F7F"/>
        <sz val="8.0"/>
      </rPr>
      <t xml:space="preserve">교수 입력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교수 관심 역량 전반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입력 부담 고려해 선택 항목으로</t>
    </r>
  </si>
  <si>
    <r>
      <rPr>
        <rFont val="Noto Sans CJK SC"/>
        <b/>
        <color rgb="FF000000"/>
        <sz val="9.0"/>
      </rPr>
      <t>작성자</t>
    </r>
    <r>
      <rPr>
        <rFont val="맑은 고딕"/>
        <b/>
        <color rgb="FF000000"/>
        <sz val="9.0"/>
      </rPr>
      <t>(</t>
    </r>
    <r>
      <rPr>
        <rFont val="Noto Sans CJK SC"/>
        <b/>
        <color rgb="FF000000"/>
        <sz val="9.0"/>
      </rPr>
      <t>직위</t>
    </r>
    <r>
      <rPr>
        <rFont val="맑은 고딕"/>
        <b/>
        <color rgb="FF000000"/>
        <sz val="9.0"/>
      </rPr>
      <t>)</t>
    </r>
  </si>
  <si>
    <r>
      <rPr>
        <rFont val="Noto Sans CJK SC"/>
        <i/>
        <color rgb="FF7F7F7F"/>
        <sz val="8.0"/>
      </rPr>
      <t>출처</t>
    </r>
    <r>
      <rPr>
        <rFont val="맑은 고딕"/>
        <i/>
        <color rgb="FF7F7F7F"/>
        <sz val="8.0"/>
      </rPr>
      <t xml:space="preserve">: </t>
    </r>
    <r>
      <rPr>
        <rFont val="Noto Sans CJK SC"/>
        <i/>
        <color rgb="FF7F7F7F"/>
        <sz val="8.0"/>
      </rPr>
      <t xml:space="preserve">학생성공 게이트웨이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자기관리 </t>
    </r>
    <r>
      <rPr>
        <rFont val="맑은 고딕"/>
        <i/>
        <color rgb="FF7F7F7F"/>
        <sz val="8.0"/>
      </rPr>
      <t xml:space="preserve">/ </t>
    </r>
    <r>
      <rPr>
        <rFont val="Noto Sans CJK SC"/>
        <i/>
        <color rgb="FF7F7F7F"/>
        <sz val="8.0"/>
      </rPr>
      <t xml:space="preserve">학업성취   </t>
    </r>
    <r>
      <rPr>
        <rFont val="맑은 고딕"/>
        <i/>
        <color rgb="FF7F7F7F"/>
        <sz val="8.0"/>
      </rPr>
      <t xml:space="preserve">|   </t>
    </r>
    <r>
      <rPr>
        <rFont val="Noto Sans CJK SC"/>
        <i/>
        <color rgb="FF7F7F7F"/>
        <sz val="8.0"/>
      </rPr>
      <t>비고</t>
    </r>
    <r>
      <rPr>
        <rFont val="맑은 고딕"/>
        <i/>
        <color rgb="FF7F7F7F"/>
        <sz val="8.0"/>
      </rPr>
      <t>: SSCA</t>
    </r>
    <r>
      <rPr>
        <rFont val="Noto Sans CJK SC"/>
        <i/>
        <color rgb="FF7F7F7F"/>
        <sz val="8.0"/>
      </rPr>
      <t>와 동일하게 비교용 권장</t>
    </r>
  </si>
  <si>
    <r>
      <rPr>
        <rFont val="맑은 고딕"/>
        <i/>
        <color rgb="FF7F7F7F"/>
        <sz val="8.0"/>
      </rPr>
      <t>[</t>
    </r>
    <r>
      <rPr>
        <rFont val="Noto Sans CJK SC"/>
        <i/>
        <color rgb="FF7F7F7F"/>
        <sz val="8.0"/>
      </rPr>
      <t xml:space="preserve">지도교수 </t>
    </r>
    <r>
      <rPr>
        <rFont val="맑은 고딕"/>
        <i/>
        <color rgb="FF7F7F7F"/>
        <sz val="8.0"/>
      </rPr>
      <t xml:space="preserve">/ </t>
    </r>
    <r>
      <rPr>
        <rFont val="Noto Sans CJK SC"/>
        <i/>
        <color rgb="FF7F7F7F"/>
        <sz val="8.0"/>
      </rPr>
      <t>수업 담당교수</t>
    </r>
    <r>
      <rPr>
        <rFont val="맑은 고딕"/>
        <i/>
        <color rgb="FF7F7F7F"/>
        <sz val="8.0"/>
      </rPr>
      <t>]</t>
    </r>
  </si>
  <si>
    <t>학습 전략 탐색 단계</t>
  </si>
  <si>
    <r>
      <rPr>
        <rFont val="Noto Sans CJK SC"/>
        <i/>
        <color rgb="FF7F7F7F"/>
        <sz val="8.0"/>
      </rPr>
      <t>출처</t>
    </r>
    <r>
      <rPr>
        <rFont val="맑은 고딕"/>
        <i/>
        <color rgb="FF7F7F7F"/>
        <sz val="8.0"/>
      </rPr>
      <t xml:space="preserve">: </t>
    </r>
    <r>
      <rPr>
        <rFont val="Noto Sans CJK SC"/>
        <i/>
        <color rgb="FF7F7F7F"/>
        <sz val="8.0"/>
      </rPr>
      <t xml:space="preserve">학생 등록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 xml:space="preserve">-IT </t>
    </r>
    <r>
      <rPr>
        <rFont val="Noto Sans CJK SC"/>
        <i/>
        <color rgb="FF7F7F7F"/>
        <sz val="8.0"/>
      </rPr>
      <t>활용</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자원</t>
    </r>
    <r>
      <rPr>
        <rFont val="맑은 고딕"/>
        <i/>
        <color rgb="FF7F7F7F"/>
        <sz val="8.0"/>
      </rPr>
      <t>·</t>
    </r>
    <r>
      <rPr>
        <rFont val="Noto Sans CJK SC"/>
        <i/>
        <color rgb="FF7F7F7F"/>
        <sz val="8.0"/>
      </rPr>
      <t xml:space="preserve">정보기술활용 </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 xml:space="preserve">디지털리터러시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자격증별 </t>
    </r>
    <r>
      <rPr>
        <rFont val="맑은 고딕"/>
        <i/>
        <color rgb="FF7F7F7F"/>
        <sz val="8.0"/>
      </rPr>
      <t>'</t>
    </r>
    <r>
      <rPr>
        <rFont val="Noto Sans CJK SC"/>
        <i/>
        <color rgb="FF7F7F7F"/>
        <sz val="8.0"/>
      </rPr>
      <t>등급</t>
    </r>
    <r>
      <rPr>
        <rFont val="맑은 고딕"/>
        <i/>
        <color rgb="FF7F7F7F"/>
        <sz val="8.0"/>
      </rPr>
      <t>·</t>
    </r>
    <r>
      <rPr>
        <rFont val="Noto Sans CJK SC"/>
        <i/>
        <color rgb="FF7F7F7F"/>
        <sz val="8.0"/>
      </rPr>
      <t>난이도</t>
    </r>
    <r>
      <rPr>
        <rFont val="맑은 고딕"/>
        <i/>
        <color rgb="FF7F7F7F"/>
        <sz val="8.0"/>
      </rPr>
      <t xml:space="preserve">' </t>
    </r>
    <r>
      <rPr>
        <rFont val="Noto Sans CJK SC"/>
        <i/>
        <color rgb="FF7F7F7F"/>
        <sz val="8.0"/>
      </rPr>
      <t>매핑표 필요</t>
    </r>
  </si>
  <si>
    <r>
      <rPr>
        <rFont val="Noto Sans CJK SC"/>
        <b/>
        <color rgb="FF000000"/>
        <sz val="11.0"/>
      </rPr>
      <t>활동 성찰 기록</t>
    </r>
    <r>
      <rPr>
        <rFont val="맑은 고딕"/>
        <b/>
        <color rgb="FF000000"/>
        <sz val="11.0"/>
      </rPr>
      <t>(STAR)</t>
    </r>
  </si>
  <si>
    <r>
      <rPr>
        <rFont val="Noto Sans CJK SC"/>
        <b/>
        <color rgb="FF000000"/>
        <sz val="9.0"/>
      </rPr>
      <t>등급</t>
    </r>
    <r>
      <rPr>
        <rFont val="맑은 고딕"/>
        <b/>
        <color rgb="FF000000"/>
        <sz val="9.0"/>
      </rPr>
      <t>·</t>
    </r>
    <r>
      <rPr>
        <rFont val="Noto Sans CJK SC"/>
        <b/>
        <color rgb="FF000000"/>
        <sz val="9.0"/>
      </rPr>
      <t>급수</t>
    </r>
  </si>
  <si>
    <r>
      <rPr>
        <rFont val="Noto Sans CJK SC"/>
        <color rgb="FF1F3B8A"/>
        <sz val="10.0"/>
      </rPr>
      <t>컴활</t>
    </r>
    <r>
      <rPr>
        <rFont val="맑은 고딕"/>
        <color rgb="FF1F3B8A"/>
        <sz val="10.0"/>
      </rPr>
      <t>2</t>
    </r>
    <r>
      <rPr>
        <rFont val="Noto Sans CJK SC"/>
        <color rgb="FF1F3B8A"/>
        <sz val="10.0"/>
      </rPr>
      <t>급</t>
    </r>
    <r>
      <rPr>
        <rFont val="맑은 고딕"/>
        <color rgb="FF1F3B8A"/>
        <sz val="10.0"/>
      </rPr>
      <t>(</t>
    </r>
    <r>
      <rPr>
        <rFont val="Noto Sans CJK SC"/>
        <color rgb="FF1F3B8A"/>
        <sz val="10.0"/>
      </rPr>
      <t>필기만</t>
    </r>
    <r>
      <rPr>
        <rFont val="맑은 고딕"/>
        <color rgb="FF1F3B8A"/>
        <sz val="10.0"/>
      </rPr>
      <t>)</t>
    </r>
  </si>
  <si>
    <r>
      <rPr>
        <rFont val="Noto Sans CJK SC"/>
        <b/>
        <color rgb="FF000000"/>
        <sz val="11.0"/>
      </rPr>
      <t>전문직</t>
    </r>
    <r>
      <rPr>
        <rFont val="맑은 고딕"/>
        <b/>
        <color rgb="FF000000"/>
        <sz val="11.0"/>
      </rPr>
      <t>·</t>
    </r>
    <r>
      <rPr>
        <rFont val="Noto Sans CJK SC"/>
        <b/>
        <color rgb="FF000000"/>
        <sz val="11.0"/>
      </rPr>
      <t>공직 시험</t>
    </r>
  </si>
  <si>
    <r>
      <rPr>
        <rFont val="Noto Sans CJK SC"/>
        <i/>
        <color rgb="FF7F7F7F"/>
        <sz val="8.0"/>
      </rPr>
      <t>출처</t>
    </r>
    <r>
      <rPr>
        <rFont val="맑은 고딕"/>
        <i/>
        <color rgb="FF7F7F7F"/>
        <sz val="8.0"/>
      </rPr>
      <t xml:space="preserve">: </t>
    </r>
    <r>
      <rPr>
        <rFont val="Noto Sans CJK SC"/>
        <i/>
        <color rgb="FF7F7F7F"/>
        <sz val="8.0"/>
      </rPr>
      <t>학생 입력</t>
    </r>
    <r>
      <rPr>
        <rFont val="맑은 고딕"/>
        <i/>
        <color rgb="FF7F7F7F"/>
        <sz val="8.0"/>
      </rPr>
      <t>(</t>
    </r>
    <r>
      <rPr>
        <rFont val="Noto Sans CJK SC"/>
        <i/>
        <color rgb="FF7F7F7F"/>
        <sz val="8.0"/>
      </rPr>
      <t>포트폴리오</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리더십 </t>
    </r>
    <r>
      <rPr>
        <rFont val="맑은 고딕"/>
        <i/>
        <color rgb="FF7F7F7F"/>
        <sz val="8.0"/>
      </rPr>
      <t xml:space="preserve">/ </t>
    </r>
    <r>
      <rPr>
        <rFont val="Noto Sans CJK SC"/>
        <i/>
        <color rgb="FF7F7F7F"/>
        <sz val="8.0"/>
      </rPr>
      <t xml:space="preserve">문제해결력 </t>
    </r>
    <r>
      <rPr>
        <rFont val="맑은 고딕"/>
        <i/>
        <color rgb="FF7F7F7F"/>
        <sz val="8.0"/>
      </rPr>
      <t xml:space="preserve">/ </t>
    </r>
    <r>
      <rPr>
        <rFont val="Noto Sans CJK SC"/>
        <i/>
        <color rgb="FF7F7F7F"/>
        <sz val="8.0"/>
      </rPr>
      <t xml:space="preserve">커뮤니케이션 등 정성 역량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정성 루브릭이 판단할 </t>
    </r>
    <r>
      <rPr>
        <rFont val="맑은 고딕"/>
        <i/>
        <color rgb="FF7F7F7F"/>
        <sz val="8.0"/>
      </rPr>
      <t>'</t>
    </r>
    <r>
      <rPr>
        <rFont val="Noto Sans CJK SC"/>
        <i/>
        <color rgb="FF7F7F7F"/>
        <sz val="8.0"/>
      </rPr>
      <t>질적 근거</t>
    </r>
    <r>
      <rPr>
        <rFont val="맑은 고딕"/>
        <i/>
        <color rgb="FF7F7F7F"/>
        <sz val="8.0"/>
      </rPr>
      <t>'</t>
    </r>
    <r>
      <rPr>
        <rFont val="Noto Sans CJK SC"/>
        <i/>
        <color rgb="FF7F7F7F"/>
        <sz val="8.0"/>
      </rPr>
      <t>가 현재 거의 없음 → 가장 우선 확보 권장</t>
    </r>
  </si>
  <si>
    <r>
      <rPr>
        <rFont val="Noto Sans CJK SC"/>
        <b/>
        <color rgb="FF000000"/>
        <sz val="9.0"/>
      </rPr>
      <t xml:space="preserve">관련 카테고리 </t>
    </r>
    <r>
      <rPr>
        <rFont val="맑은 고딕"/>
        <b/>
        <color rgb="FF000000"/>
        <sz val="9.0"/>
      </rPr>
      <t>No</t>
    </r>
  </si>
  <si>
    <r>
      <rPr>
        <rFont val="Noto Sans CJK SC"/>
        <b/>
        <color rgb="FF000000"/>
        <sz val="9.0"/>
      </rPr>
      <t>상황</t>
    </r>
    <r>
      <rPr>
        <rFont val="맑은 고딕"/>
        <b/>
        <color rgb="FF000000"/>
        <sz val="9.0"/>
      </rPr>
      <t>(S)</t>
    </r>
  </si>
  <si>
    <r>
      <rPr>
        <rFont val="Noto Sans CJK SC"/>
        <b/>
        <color rgb="FF000000"/>
        <sz val="9.0"/>
      </rPr>
      <t>과제</t>
    </r>
    <r>
      <rPr>
        <rFont val="맑은 고딕"/>
        <b/>
        <color rgb="FF000000"/>
        <sz val="9.0"/>
      </rPr>
      <t>·</t>
    </r>
    <r>
      <rPr>
        <rFont val="Noto Sans CJK SC"/>
        <b/>
        <color rgb="FF000000"/>
        <sz val="9.0"/>
      </rPr>
      <t>역할</t>
    </r>
    <r>
      <rPr>
        <rFont val="맑은 고딕"/>
        <b/>
        <color rgb="FF000000"/>
        <sz val="9.0"/>
      </rPr>
      <t>(T)</t>
    </r>
  </si>
  <si>
    <r>
      <rPr>
        <rFont val="Noto Sans CJK SC"/>
        <b/>
        <color rgb="FF000000"/>
        <sz val="9.0"/>
      </rPr>
      <t>행동</t>
    </r>
    <r>
      <rPr>
        <rFont val="맑은 고딕"/>
        <b/>
        <color rgb="FF000000"/>
        <sz val="9.0"/>
      </rPr>
      <t>(A)</t>
    </r>
  </si>
  <si>
    <r>
      <rPr>
        <rFont val="Noto Sans CJK SC"/>
        <b/>
        <color rgb="FF000000"/>
        <sz val="9.0"/>
      </rPr>
      <t>결과</t>
    </r>
    <r>
      <rPr>
        <rFont val="맑은 고딕"/>
        <b/>
        <color rgb="FF000000"/>
        <sz val="9.0"/>
      </rPr>
      <t>(R)</t>
    </r>
  </si>
  <si>
    <r>
      <rPr>
        <rFont val="맑은 고딕"/>
        <b/>
        <color rgb="FF2F4A8A"/>
        <sz val="14.0"/>
      </rPr>
      <t>[</t>
    </r>
    <r>
      <rPr>
        <rFont val="Noto Sans CJK SC"/>
        <b/>
        <color rgb="FF2F4A8A"/>
        <sz val="14.0"/>
      </rPr>
      <t xml:space="preserve">샘플 </t>
    </r>
    <r>
      <rPr>
        <rFont val="맑은 고딕"/>
        <b/>
        <color rgb="FF2F4A8A"/>
        <sz val="14.0"/>
      </rPr>
      <t xml:space="preserve">S06] </t>
    </r>
    <r>
      <rPr>
        <rFont val="Noto Sans CJK SC"/>
        <b/>
        <color rgb="FF2F4A8A"/>
        <sz val="14.0"/>
      </rPr>
      <t>한도윤 — 편입</t>
    </r>
    <r>
      <rPr>
        <rFont val="맑은 고딕"/>
        <b/>
        <color rgb="FF2F4A8A"/>
        <sz val="14.0"/>
      </rPr>
      <t>·</t>
    </r>
    <r>
      <rPr>
        <rFont val="Noto Sans CJK SC"/>
        <b/>
        <color rgb="FF2F4A8A"/>
        <sz val="14.0"/>
      </rPr>
      <t xml:space="preserve">편중형 </t>
    </r>
    <r>
      <rPr>
        <rFont val="맑은 고딕"/>
        <b/>
        <color rgb="FF2F4A8A"/>
        <sz val="14.0"/>
      </rPr>
      <t xml:space="preserve">+ </t>
    </r>
    <r>
      <rPr>
        <rFont val="Noto Sans CJK SC"/>
        <b/>
        <color rgb="FF2F4A8A"/>
        <sz val="14.0"/>
      </rPr>
      <t xml:space="preserve">기본정보 불일치 </t>
    </r>
    <r>
      <rPr>
        <rFont val="맑은 고딕"/>
        <b/>
        <color rgb="FF2F4A8A"/>
        <sz val="14.0"/>
      </rPr>
      <t>(</t>
    </r>
    <r>
      <rPr>
        <rFont val="Noto Sans CJK SC"/>
        <b/>
        <color rgb="FF2F4A8A"/>
        <sz val="14.0"/>
      </rPr>
      <t>가상 데이터</t>
    </r>
    <r>
      <rPr>
        <rFont val="맑은 고딕"/>
        <b/>
        <color rgb="FF2F4A8A"/>
        <sz val="14.0"/>
      </rPr>
      <t>)</t>
    </r>
  </si>
  <si>
    <r>
      <rPr>
        <rFont val="Noto Sans CJK SC"/>
        <i/>
        <color rgb="FF7F7F7F"/>
        <sz val="8.0"/>
      </rPr>
      <t>출처</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t>
    </r>
    <r>
      <rPr>
        <rFont val="Noto Sans CJK SC"/>
        <i/>
        <color rgb="FF7F7F7F"/>
        <sz val="8.0"/>
      </rPr>
      <t>진로개발</t>
    </r>
    <r>
      <rPr>
        <rFont val="맑은 고딕"/>
        <i/>
        <color rgb="FF7F7F7F"/>
        <sz val="8.0"/>
      </rPr>
      <t xml:space="preserve">) </t>
    </r>
    <r>
      <rPr>
        <rFont val="Noto Sans CJK SC"/>
        <i/>
        <color rgb="FF7F7F7F"/>
        <sz val="8.0"/>
      </rPr>
      <t xml:space="preserve">인증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 xml:space="preserve">도전정신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단계</t>
    </r>
    <r>
      <rPr>
        <rFont val="맑은 고딕"/>
        <i/>
        <color rgb="FF7F7F7F"/>
        <sz val="8.0"/>
      </rPr>
      <t>(1</t>
    </r>
    <r>
      <rPr>
        <rFont val="Noto Sans CJK SC"/>
        <i/>
        <color rgb="FF7F7F7F"/>
        <sz val="8.0"/>
      </rPr>
      <t>차</t>
    </r>
    <r>
      <rPr>
        <rFont val="맑은 고딕"/>
        <i/>
        <color rgb="FF7F7F7F"/>
        <sz val="8.0"/>
      </rPr>
      <t>·</t>
    </r>
    <r>
      <rPr>
        <rFont val="Noto Sans CJK SC"/>
        <i/>
        <color rgb="FF7F7F7F"/>
        <sz val="8.0"/>
      </rPr>
      <t>최종</t>
    </r>
    <r>
      <rPr>
        <rFont val="맑은 고딕"/>
        <i/>
        <color rgb="FF7F7F7F"/>
        <sz val="8.0"/>
      </rPr>
      <t xml:space="preserve">) </t>
    </r>
    <r>
      <rPr>
        <rFont val="Noto Sans CJK SC"/>
        <i/>
        <color rgb="FF7F7F7F"/>
        <sz val="8.0"/>
      </rPr>
      <t>구분</t>
    </r>
  </si>
  <si>
    <r>
      <rPr>
        <rFont val="Noto Sans CJK SC"/>
        <i/>
        <color rgb="FF7F7F7F"/>
        <sz val="8.0"/>
      </rPr>
      <t xml:space="preserve">숫자 </t>
    </r>
    <r>
      <rPr>
        <rFont val="맑은 고딕"/>
        <i/>
        <color rgb="FF7F7F7F"/>
        <sz val="8.0"/>
      </rPr>
      <t>1~34</t>
    </r>
  </si>
  <si>
    <r>
      <rPr>
        <rFont val="Noto Sans CJK SC"/>
        <i/>
        <color rgb="FF7F7F7F"/>
        <sz val="8.0"/>
      </rPr>
      <t>서술</t>
    </r>
    <r>
      <rPr>
        <rFont val="맑은 고딕"/>
        <i/>
        <color rgb="FF7F7F7F"/>
        <sz val="8.0"/>
      </rPr>
      <t>(</t>
    </r>
    <r>
      <rPr>
        <rFont val="Noto Sans CJK SC"/>
        <i/>
        <color rgb="FF7F7F7F"/>
        <sz val="8.0"/>
      </rPr>
      <t>수치 포함 권장</t>
    </r>
    <r>
      <rPr>
        <rFont val="맑은 고딕"/>
        <i/>
        <color rgb="FF7F7F7F"/>
        <sz val="8.0"/>
      </rPr>
      <t>)</t>
    </r>
  </si>
  <si>
    <r>
      <rPr>
        <rFont val="Noto Sans CJK SC"/>
        <color rgb="FF595959"/>
        <sz val="9.0"/>
      </rPr>
      <t>평가 테스트 포인트</t>
    </r>
    <r>
      <rPr>
        <rFont val="맑은 고딕"/>
        <color rgb="FF595959"/>
        <sz val="9.0"/>
      </rPr>
      <t xml:space="preserve">: </t>
    </r>
    <r>
      <rPr>
        <rFont val="Noto Sans CJK SC"/>
        <color rgb="FF595959"/>
        <sz val="9.0"/>
      </rPr>
      <t xml:space="preserve">편입 후 본교 </t>
    </r>
    <r>
      <rPr>
        <rFont val="맑은 고딕"/>
        <color rgb="FF595959"/>
        <sz val="9.0"/>
      </rPr>
      <t>1</t>
    </r>
    <r>
      <rPr>
        <rFont val="Noto Sans CJK SC"/>
        <color rgb="FF595959"/>
        <sz val="9.0"/>
      </rPr>
      <t>학기</t>
    </r>
    <r>
      <rPr>
        <rFont val="맑은 고딕"/>
        <color rgb="FF595959"/>
        <sz val="9.0"/>
      </rPr>
      <t xml:space="preserve">, </t>
    </r>
    <r>
      <rPr>
        <rFont val="Noto Sans CJK SC"/>
        <color rgb="FF595959"/>
        <sz val="9.0"/>
      </rPr>
      <t>글로벌</t>
    </r>
    <r>
      <rPr>
        <rFont val="맑은 고딕"/>
        <color rgb="FF595959"/>
        <sz val="9.0"/>
      </rPr>
      <t>·</t>
    </r>
    <r>
      <rPr>
        <rFont val="Noto Sans CJK SC"/>
        <color rgb="FF595959"/>
        <sz val="9.0"/>
      </rPr>
      <t>어학 데이터만 풍부</t>
    </r>
    <r>
      <rPr>
        <rFont val="맑은 고딕"/>
        <color rgb="FF595959"/>
        <sz val="9.0"/>
      </rPr>
      <t xml:space="preserve">, </t>
    </r>
    <r>
      <rPr>
        <rFont val="Noto Sans CJK SC"/>
        <color rgb="FF595959"/>
        <sz val="9.0"/>
      </rPr>
      <t>시트 학년</t>
    </r>
    <r>
      <rPr>
        <rFont val="맑은 고딕"/>
        <color rgb="FF595959"/>
        <sz val="9.0"/>
      </rPr>
      <t>(4)≠</t>
    </r>
    <r>
      <rPr>
        <rFont val="Noto Sans CJK SC"/>
        <color rgb="FF595959"/>
        <sz val="9.0"/>
      </rPr>
      <t>학사 명부</t>
    </r>
    <r>
      <rPr>
        <rFont val="맑은 고딕"/>
        <color rgb="FF595959"/>
        <sz val="9.0"/>
      </rPr>
      <t>(3) → '</t>
    </r>
    <r>
      <rPr>
        <rFont val="Noto Sans CJK SC"/>
        <color rgb="FF595959"/>
        <sz val="9.0"/>
      </rPr>
      <t>데이터 불일치 경고</t>
    </r>
    <r>
      <rPr>
        <rFont val="맑은 고딕"/>
        <color rgb="FF595959"/>
        <sz val="9.0"/>
      </rPr>
      <t>'</t>
    </r>
    <r>
      <rPr>
        <rFont val="Noto Sans CJK SC"/>
        <color rgb="FF595959"/>
        <sz val="9.0"/>
      </rPr>
      <t xml:space="preserve">와 편입생 공학인증 </t>
    </r>
    <r>
      <rPr>
        <rFont val="맑은 고딕"/>
        <color rgb="FF595959"/>
        <sz val="9.0"/>
      </rPr>
      <t>'</t>
    </r>
    <r>
      <rPr>
        <rFont val="Noto Sans CJK SC"/>
        <color rgb="FF595959"/>
        <sz val="9.0"/>
      </rPr>
      <t>해당 없음</t>
    </r>
    <r>
      <rPr>
        <rFont val="맑은 고딕"/>
        <color rgb="FF595959"/>
        <sz val="9.0"/>
      </rPr>
      <t xml:space="preserve">' </t>
    </r>
    <r>
      <rPr>
        <rFont val="Noto Sans CJK SC"/>
        <color rgb="FF595959"/>
        <sz val="9.0"/>
      </rPr>
      <t>처리 확인</t>
    </r>
  </si>
  <si>
    <r>
      <rPr>
        <rFont val="맑은 고딕"/>
        <i/>
        <color rgb="FF7F7F7F"/>
        <sz val="8.0"/>
      </rPr>
      <t>[</t>
    </r>
    <r>
      <rPr>
        <rFont val="Noto Sans CJK SC"/>
        <i/>
        <color rgb="FF7F7F7F"/>
        <sz val="8.0"/>
      </rPr>
      <t xml:space="preserve">응시 </t>
    </r>
    <r>
      <rPr>
        <rFont val="맑은 고딕"/>
        <i/>
        <color rgb="FF7F7F7F"/>
        <sz val="8.0"/>
      </rPr>
      <t>/ 1</t>
    </r>
    <r>
      <rPr>
        <rFont val="Noto Sans CJK SC"/>
        <i/>
        <color rgb="FF7F7F7F"/>
        <sz val="8.0"/>
      </rPr>
      <t xml:space="preserve">차 합격 </t>
    </r>
    <r>
      <rPr>
        <rFont val="맑은 고딕"/>
        <i/>
        <color rgb="FF7F7F7F"/>
        <sz val="8.0"/>
      </rPr>
      <t>/ 2</t>
    </r>
    <r>
      <rPr>
        <rFont val="Noto Sans CJK SC"/>
        <i/>
        <color rgb="FF7F7F7F"/>
        <sz val="8.0"/>
      </rPr>
      <t xml:space="preserve">차 합격 </t>
    </r>
    <r>
      <rPr>
        <rFont val="맑은 고딕"/>
        <i/>
        <color rgb="FF7F7F7F"/>
        <sz val="8.0"/>
      </rPr>
      <t xml:space="preserve">/ </t>
    </r>
    <r>
      <rPr>
        <rFont val="Noto Sans CJK SC"/>
        <i/>
        <color rgb="FF7F7F7F"/>
        <sz val="8.0"/>
      </rPr>
      <t>최종 합격</t>
    </r>
    <r>
      <rPr>
        <rFont val="맑은 고딕"/>
        <i/>
        <color rgb="FF7F7F7F"/>
        <sz val="8.0"/>
      </rPr>
      <t>]</t>
    </r>
  </si>
  <si>
    <t>알고리즘 문제를 혼자 풀다 막히는 일이 많았음</t>
  </si>
  <si>
    <t>스터디 참여</t>
  </si>
  <si>
    <r>
      <rPr>
        <rFont val="Noto Sans CJK SC"/>
        <color rgb="FF1F3B8A"/>
        <sz val="10.0"/>
      </rPr>
      <t xml:space="preserve">주 </t>
    </r>
    <r>
      <rPr>
        <rFont val="맑은 고딕"/>
        <color rgb="FF1F3B8A"/>
        <sz val="10.0"/>
      </rPr>
      <t>1</t>
    </r>
    <r>
      <rPr>
        <rFont val="Noto Sans CJK SC"/>
        <color rgb="FF1F3B8A"/>
        <sz val="10.0"/>
      </rPr>
      <t>회 스터디에서 풀이 공유</t>
    </r>
  </si>
  <si>
    <r>
      <rPr>
        <rFont val="Noto Sans CJK SC"/>
        <color rgb="FF1F3B8A"/>
        <sz val="10.0"/>
      </rPr>
      <t xml:space="preserve">백준 문제 </t>
    </r>
    <r>
      <rPr>
        <rFont val="맑은 고딕"/>
        <color rgb="FF1F3B8A"/>
        <sz val="10.0"/>
      </rPr>
      <t>40</t>
    </r>
    <r>
      <rPr>
        <rFont val="Noto Sans CJK SC"/>
        <color rgb="FF1F3B8A"/>
        <sz val="10.0"/>
      </rPr>
      <t>개 해결</t>
    </r>
  </si>
  <si>
    <r>
      <rPr>
        <rFont val="맑은 고딕"/>
        <b/>
        <color rgb="FF000000"/>
        <sz val="11.0"/>
      </rPr>
      <t>3</t>
    </r>
    <r>
      <rPr>
        <rFont val="Noto Sans CJK SC"/>
        <b/>
        <color rgb="FF000000"/>
        <sz val="11.0"/>
      </rPr>
      <t>품인증 취득현황</t>
    </r>
  </si>
  <si>
    <r>
      <rPr>
        <rFont val="맑은 고딕"/>
        <color rgb="FF000000"/>
        <sz val="9.0"/>
      </rPr>
      <t xml:space="preserve">SKKU </t>
    </r>
    <r>
      <rPr>
        <rFont val="Noto Sans CJK SC"/>
        <color rgb="FF000000"/>
        <sz val="9.0"/>
      </rPr>
      <t>확보가능</t>
    </r>
  </si>
  <si>
    <r>
      <rPr>
        <rFont val="Noto Sans CJK SC"/>
        <color rgb="FF595959"/>
        <sz val="9.0"/>
      </rPr>
      <t>데이터 상태</t>
    </r>
    <r>
      <rPr>
        <rFont val="맑은 고딕"/>
        <color rgb="FF595959"/>
        <sz val="9.0"/>
      </rPr>
      <t xml:space="preserve">: </t>
    </r>
    <r>
      <rPr>
        <rFont val="Noto Sans CJK SC"/>
        <color rgb="FF595959"/>
        <sz val="9.0"/>
      </rPr>
      <t xml:space="preserve">값 있음 </t>
    </r>
    <r>
      <rPr>
        <rFont val="맑은 고딕"/>
        <color rgb="FF595959"/>
        <sz val="9.0"/>
      </rPr>
      <t xml:space="preserve">/ </t>
    </r>
    <r>
      <rPr>
        <rFont val="Noto Sans CJK SC"/>
        <color rgb="FF595959"/>
        <sz val="9.0"/>
      </rPr>
      <t>활동 없음</t>
    </r>
    <r>
      <rPr>
        <rFont val="맑은 고딕"/>
        <color rgb="FF595959"/>
        <sz val="9.0"/>
      </rPr>
      <t>(0</t>
    </r>
    <r>
      <rPr>
        <rFont val="Noto Sans CJK SC"/>
        <color rgb="FF595959"/>
        <sz val="9.0"/>
      </rPr>
      <t>점</t>
    </r>
    <r>
      <rPr>
        <rFont val="맑은 고딕"/>
        <color rgb="FF595959"/>
        <sz val="9.0"/>
      </rPr>
      <t xml:space="preserve">) / </t>
    </r>
    <r>
      <rPr>
        <rFont val="Noto Sans CJK SC"/>
        <color rgb="FF595959"/>
        <sz val="9.0"/>
      </rPr>
      <t>미수집</t>
    </r>
    <r>
      <rPr>
        <rFont val="맑은 고딕"/>
        <color rgb="FF595959"/>
        <sz val="9.0"/>
      </rPr>
      <t>(</t>
    </r>
    <r>
      <rPr>
        <rFont val="Noto Sans CJK SC"/>
        <color rgb="FF595959"/>
        <sz val="9.0"/>
      </rPr>
      <t>계산 제외</t>
    </r>
    <r>
      <rPr>
        <rFont val="맑은 고딕"/>
        <color rgb="FF595959"/>
        <sz val="9.0"/>
      </rPr>
      <t xml:space="preserve">) / </t>
    </r>
    <r>
      <rPr>
        <rFont val="Noto Sans CJK SC"/>
        <color rgb="FF595959"/>
        <sz val="9.0"/>
      </rPr>
      <t>해당 없음</t>
    </r>
    <r>
      <rPr>
        <rFont val="맑은 고딕"/>
        <color rgb="FF595959"/>
        <sz val="9.0"/>
      </rPr>
      <t>(</t>
    </r>
    <r>
      <rPr>
        <rFont val="Noto Sans CJK SC"/>
        <color rgb="FF595959"/>
        <sz val="9.0"/>
      </rPr>
      <t>불이익 없음</t>
    </r>
    <r>
      <rPr>
        <rFont val="맑은 고딕"/>
        <color rgb="FF595959"/>
        <sz val="9.0"/>
      </rPr>
      <t xml:space="preserve">) · </t>
    </r>
    <r>
      <rPr>
        <rFont val="Noto Sans CJK SC"/>
        <color rgb="FF595959"/>
        <sz val="9.0"/>
      </rPr>
      <t xml:space="preserve">상태 미선택 </t>
    </r>
    <r>
      <rPr>
        <rFont val="맑은 고딕"/>
        <color rgb="FF595959"/>
        <sz val="9.0"/>
      </rPr>
      <t xml:space="preserve">= </t>
    </r>
    <r>
      <rPr>
        <rFont val="Noto Sans CJK SC"/>
        <color rgb="FF595959"/>
        <sz val="9.0"/>
      </rPr>
      <t>미수집 간주</t>
    </r>
  </si>
  <si>
    <r>
      <rPr>
        <rFont val="Noto Sans CJK SC"/>
        <b/>
        <color rgb="FFFFFFFF"/>
        <sz val="11.0"/>
      </rPr>
      <t xml:space="preserve">■ 학생 기본정보  </t>
    </r>
    <r>
      <rPr>
        <rFont val="맑은 고딕"/>
        <b/>
        <color rgb="FFFFFFFF"/>
        <sz val="11.0"/>
      </rPr>
      <t>(</t>
    </r>
    <r>
      <rPr>
        <rFont val="Noto Sans CJK SC"/>
        <b/>
        <color rgb="FFFFFFFF"/>
        <sz val="11.0"/>
      </rPr>
      <t>학년 보정</t>
    </r>
    <r>
      <rPr>
        <rFont val="맑은 고딕"/>
        <b/>
        <color rgb="FFFFFFFF"/>
        <sz val="11.0"/>
      </rPr>
      <t>·</t>
    </r>
    <r>
      <rPr>
        <rFont val="Noto Sans CJK SC"/>
        <b/>
        <color rgb="FFFFFFFF"/>
        <sz val="11.0"/>
      </rPr>
      <t>학적 구분</t>
    </r>
    <r>
      <rPr>
        <rFont val="맑은 고딕"/>
        <b/>
        <color rgb="FFFFFFFF"/>
        <sz val="11.0"/>
      </rPr>
      <t>·</t>
    </r>
    <r>
      <rPr>
        <rFont val="Noto Sans CJK SC"/>
        <b/>
        <color rgb="FFFFFFFF"/>
        <sz val="11.0"/>
      </rPr>
      <t>전공 특수성 판단에 사용</t>
    </r>
    <r>
      <rPr>
        <rFont val="맑은 고딕"/>
        <b/>
        <color rgb="FFFFFFFF"/>
        <sz val="11.0"/>
      </rPr>
      <t>)</t>
    </r>
  </si>
  <si>
    <r>
      <rPr>
        <rFont val="Noto Sans CJK SC"/>
        <i/>
        <color rgb="FF7F7F7F"/>
        <sz val="8.0"/>
      </rPr>
      <t>출처</t>
    </r>
    <r>
      <rPr>
        <rFont val="맑은 고딕"/>
        <i/>
        <color rgb="FF7F7F7F"/>
        <sz val="8.0"/>
      </rPr>
      <t>: 3</t>
    </r>
    <r>
      <rPr>
        <rFont val="Noto Sans CJK SC"/>
        <i/>
        <color rgb="FF7F7F7F"/>
        <sz val="8.0"/>
      </rPr>
      <t xml:space="preserve">품인증 시스템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t>
    </r>
    <r>
      <rPr>
        <rFont val="Noto Sans CJK SC"/>
        <i/>
        <color rgb="FF7F7F7F"/>
        <sz val="8.0"/>
      </rPr>
      <t>복수 역량 종합</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 xml:space="preserve">하위 활동과 중복 가산 위험 → 가산점이 아닌 </t>
    </r>
    <r>
      <rPr>
        <rFont val="맑은 고딕"/>
        <i/>
        <color rgb="FF7F7F7F"/>
        <sz val="8.0"/>
      </rPr>
      <t>'</t>
    </r>
    <r>
      <rPr>
        <rFont val="Noto Sans CJK SC"/>
        <i/>
        <color rgb="FF7F7F7F"/>
        <sz val="8.0"/>
      </rPr>
      <t>참고 지표</t>
    </r>
    <r>
      <rPr>
        <rFont val="맑은 고딕"/>
        <i/>
        <color rgb="FF7F7F7F"/>
        <sz val="8.0"/>
      </rPr>
      <t>'</t>
    </r>
    <r>
      <rPr>
        <rFont val="Noto Sans CJK SC"/>
        <i/>
        <color rgb="FF7F7F7F"/>
        <sz val="8.0"/>
      </rPr>
      <t>로 권장</t>
    </r>
  </si>
  <si>
    <t>O</t>
  </si>
  <si>
    <r>
      <rPr>
        <rFont val="Noto Sans CJK SC"/>
        <i/>
        <color rgb="FF7F7F7F"/>
        <sz val="8.0"/>
      </rPr>
      <t>출처</t>
    </r>
    <r>
      <rPr>
        <rFont val="맑은 고딕"/>
        <i/>
        <color rgb="FF7F7F7F"/>
        <sz val="8.0"/>
      </rPr>
      <t xml:space="preserve">: </t>
    </r>
    <r>
      <rPr>
        <rFont val="Noto Sans CJK SC"/>
        <i/>
        <color rgb="FF7F7F7F"/>
        <sz val="8.0"/>
      </rPr>
      <t xml:space="preserve">교수 입력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교수 관심 역량 전반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입력 부담 고려해 선택 항목으로</t>
    </r>
  </si>
  <si>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</si>
  <si>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t>X</t>
  </si>
  <si>
    <r>
      <rPr>
        <rFont val="Noto Sans CJK SC"/>
        <b/>
        <color rgb="FF000000"/>
        <sz val="9.0"/>
      </rPr>
      <t>작성자</t>
    </r>
    <r>
      <rPr>
        <rFont val="맑은 고딕"/>
        <b/>
        <color rgb="FF000000"/>
        <sz val="9.0"/>
      </rPr>
      <t>(</t>
    </r>
    <r>
      <rPr>
        <rFont val="Noto Sans CJK SC"/>
        <b/>
        <color rgb="FF000000"/>
        <sz val="9.0"/>
      </rPr>
      <t>직위</t>
    </r>
    <r>
      <rPr>
        <rFont val="맑은 고딕"/>
        <b/>
        <color rgb="FF000000"/>
        <sz val="9.0"/>
      </rPr>
      <t>)</t>
    </r>
  </si>
  <si>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</si>
  <si>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</si>
  <si>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r>
      <rPr>
        <rFont val="Noto Sans CJK SC"/>
        <color rgb="FF7F7F7F"/>
        <sz val="9.0"/>
      </rPr>
      <t xml:space="preserve">숫자 </t>
    </r>
    <r>
      <rPr>
        <rFont val="맑은 고딕"/>
        <color rgb="FF7F7F7F"/>
        <sz val="9.0"/>
      </rPr>
      <t>10</t>
    </r>
    <r>
      <rPr>
        <rFont val="Noto Sans CJK SC"/>
        <color rgb="FF7F7F7F"/>
        <sz val="9.0"/>
      </rPr>
      <t>자리</t>
    </r>
    <r>
      <rPr>
        <rFont val="맑은 고딕"/>
        <color rgb="FF7F7F7F"/>
        <sz val="9.0"/>
      </rPr>
      <t>(</t>
    </r>
    <r>
      <rPr>
        <rFont val="Noto Sans CJK SC"/>
        <color rgb="FF7F7F7F"/>
        <sz val="9.0"/>
      </rPr>
      <t>텍스트</t>
    </r>
    <r>
      <rPr>
        <rFont val="맑은 고딕"/>
        <color rgb="FF7F7F7F"/>
        <sz val="9.0"/>
      </rPr>
      <t>)</t>
    </r>
  </si>
  <si>
    <r>
      <rPr>
        <rFont val="맑은 고딕"/>
        <b/>
        <color rgb="FF000000"/>
        <sz val="10.0"/>
      </rPr>
      <t xml:space="preserve">AI </t>
    </r>
    <r>
      <rPr>
        <rFont val="Noto Sans CJK SC"/>
        <b/>
        <color rgb="FF000000"/>
        <sz val="10.0"/>
      </rPr>
      <t>영역</t>
    </r>
  </si>
  <si>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</si>
  <si>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</si>
  <si>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r>
      <rPr>
        <rFont val="Noto Sans CJK SC"/>
        <color rgb="FF7F7F7F"/>
        <sz val="9.0"/>
      </rPr>
      <t>예</t>
    </r>
    <r>
      <rPr>
        <rFont val="맑은 고딕"/>
        <color rgb="FF7F7F7F"/>
        <sz val="9.0"/>
      </rPr>
      <t xml:space="preserve">: </t>
    </r>
    <r>
      <rPr>
        <rFont val="Noto Sans CJK SC"/>
        <color rgb="FF7F7F7F"/>
        <sz val="9.0"/>
      </rPr>
      <t>공과대학</t>
    </r>
  </si>
  <si>
    <r>
      <rPr>
        <rFont val="Noto Sans CJK SC"/>
        <b/>
        <color rgb="FF000000"/>
        <sz val="10.0"/>
      </rPr>
      <t>주전공</t>
    </r>
    <r>
      <rPr>
        <rFont val="맑은 고딕"/>
        <b/>
        <color rgb="FF000000"/>
        <sz val="10.0"/>
      </rPr>
      <t>(</t>
    </r>
    <r>
      <rPr>
        <rFont val="Noto Sans CJK SC"/>
        <b/>
        <color rgb="FF000000"/>
        <sz val="10.0"/>
      </rPr>
      <t>학과</t>
    </r>
    <r>
      <rPr>
        <rFont val="맑은 고딕"/>
        <b/>
        <color rgb="FF000000"/>
        <sz val="10.0"/>
      </rPr>
      <t>)</t>
    </r>
  </si>
  <si>
    <r>
      <rPr>
        <rFont val="Noto Sans CJK SC"/>
        <color rgb="FF7F7F7F"/>
        <sz val="9.0"/>
      </rPr>
      <t>예</t>
    </r>
    <r>
      <rPr>
        <rFont val="맑은 고딕"/>
        <color rgb="FF7F7F7F"/>
        <sz val="9.0"/>
      </rPr>
      <t xml:space="preserve">: </t>
    </r>
    <r>
      <rPr>
        <rFont val="Noto Sans CJK SC"/>
        <color rgb="FF7F7F7F"/>
        <sz val="9.0"/>
      </rPr>
      <t>기계공학부</t>
    </r>
  </si>
  <si>
    <r>
      <rPr>
        <rFont val="Noto Sans CJK SC"/>
        <color rgb="FF7F7F7F"/>
        <sz val="9.0"/>
      </rPr>
      <t xml:space="preserve">숫자 </t>
    </r>
    <r>
      <rPr>
        <rFont val="맑은 고딕"/>
        <color rgb="FF7F7F7F"/>
        <sz val="9.0"/>
      </rPr>
      <t>1~6</t>
    </r>
  </si>
  <si>
    <r>
      <rPr>
        <rFont val="맑은 고딕"/>
        <i/>
        <color rgb="FF7F7F7F"/>
        <sz val="8.0"/>
      </rPr>
      <t>[</t>
    </r>
    <r>
      <rPr>
        <rFont val="Noto Sans CJK SC"/>
        <i/>
        <color rgb="FF7F7F7F"/>
        <sz val="8.0"/>
      </rPr>
      <t xml:space="preserve">지도교수 </t>
    </r>
    <r>
      <rPr>
        <rFont val="맑은 고딕"/>
        <i/>
        <color rgb="FF7F7F7F"/>
        <sz val="8.0"/>
      </rPr>
      <t xml:space="preserve">/ </t>
    </r>
    <r>
      <rPr>
        <rFont val="Noto Sans CJK SC"/>
        <i/>
        <color rgb="FF7F7F7F"/>
        <sz val="8.0"/>
      </rPr>
      <t>수업 담당교수</t>
    </r>
    <r>
      <rPr>
        <rFont val="맑은 고딕"/>
        <i/>
        <color rgb="FF7F7F7F"/>
        <sz val="8.0"/>
      </rPr>
      <t>]</t>
    </r>
  </si>
  <si>
    <r>
      <rPr>
        <rFont val="Noto Sans CJK SC"/>
        <color rgb="FF7F7F7F"/>
        <sz val="9.0"/>
      </rPr>
      <t>학사시스템 기준 현재 학년</t>
    </r>
    <r>
      <rPr>
        <rFont val="맑은 고딕"/>
        <color rgb="FF7F7F7F"/>
        <sz val="9.0"/>
      </rPr>
      <t>(</t>
    </r>
    <r>
      <rPr>
        <rFont val="Noto Sans CJK SC"/>
        <color rgb="FF7F7F7F"/>
        <sz val="9.0"/>
      </rPr>
      <t>숫자만</t>
    </r>
    <r>
      <rPr>
        <rFont val="맑은 고딕"/>
        <color rgb="FF7F7F7F"/>
        <sz val="9.0"/>
      </rPr>
      <t>)</t>
    </r>
  </si>
  <si>
    <r>
      <rPr>
        <rFont val="Noto Sans CJK SC"/>
        <color rgb="FF7F7F7F"/>
        <sz val="9.0"/>
      </rPr>
      <t>휴학 학기 제외</t>
    </r>
    <r>
      <rPr>
        <rFont val="맑은 고딕"/>
        <color rgb="FF7F7F7F"/>
        <sz val="9.0"/>
      </rPr>
      <t xml:space="preserve">, </t>
    </r>
    <r>
      <rPr>
        <rFont val="Noto Sans CJK SC"/>
        <color rgb="FF7F7F7F"/>
        <sz val="9.0"/>
      </rPr>
      <t>본교 기준</t>
    </r>
    <r>
      <rPr>
        <rFont val="맑은 고딕"/>
        <color rgb="FF7F7F7F"/>
        <sz val="9.0"/>
      </rPr>
      <t xml:space="preserve">. </t>
    </r>
    <r>
      <rPr>
        <rFont val="Noto Sans CJK SC"/>
        <color rgb="FF7F7F7F"/>
        <sz val="9.0"/>
      </rPr>
      <t>학년 보정에 사용</t>
    </r>
  </si>
  <si>
    <r>
      <rPr>
        <rFont val="Noto Sans CJK SC"/>
        <i/>
        <color rgb="FF7F7F7F"/>
        <sz val="8.0"/>
      </rPr>
      <t>출처</t>
    </r>
    <r>
      <rPr>
        <rFont val="맑은 고딕"/>
        <i/>
        <color rgb="FF7F7F7F"/>
        <sz val="8.0"/>
      </rPr>
      <t xml:space="preserve">: </t>
    </r>
    <r>
      <rPr>
        <rFont val="Noto Sans CJK SC"/>
        <i/>
        <color rgb="FF7F7F7F"/>
        <sz val="8.0"/>
      </rPr>
      <t xml:space="preserve">비교과 시스템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자기관리 </t>
    </r>
    <r>
      <rPr>
        <rFont val="맑은 고딕"/>
        <i/>
        <color rgb="FF7F7F7F"/>
        <sz val="8.0"/>
      </rPr>
      <t xml:space="preserve">/ </t>
    </r>
    <r>
      <rPr>
        <rFont val="Noto Sans CJK SC"/>
        <i/>
        <color rgb="FF7F7F7F"/>
        <sz val="8.0"/>
      </rPr>
      <t>종합적사고력</t>
    </r>
    <r>
      <rPr>
        <rFont val="맑은 고딕"/>
        <i/>
        <color rgb="FF7F7F7F"/>
        <sz val="8.0"/>
      </rPr>
      <t>(</t>
    </r>
    <r>
      <rPr>
        <rFont val="Noto Sans CJK SC"/>
        <i/>
        <color rgb="FF7F7F7F"/>
        <sz val="8.0"/>
      </rPr>
      <t>융합적 사고</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학년 보정 필요</t>
    </r>
  </si>
  <si>
    <t>편입학</t>
  </si>
  <si>
    <r>
      <rPr>
        <rFont val="Noto Sans CJK SC"/>
        <b/>
        <color rgb="FF000000"/>
        <sz val="10.0"/>
      </rPr>
      <t>누적 이수시간</t>
    </r>
    <r>
      <rPr>
        <rFont val="맑은 고딕"/>
        <b/>
        <color rgb="FF000000"/>
        <sz val="10.0"/>
      </rPr>
      <t>(h)</t>
    </r>
  </si>
  <si>
    <r>
      <rPr>
        <rFont val="맑은 고딕"/>
        <color rgb="FF1F3B8A"/>
        <sz val="10.0"/>
      </rPr>
      <t>40</t>
    </r>
    <r>
      <rPr>
        <rFont val="Noto Sans CJK SC"/>
        <color rgb="FF1F3B8A"/>
        <sz val="10.0"/>
      </rPr>
      <t>시간 이상</t>
    </r>
  </si>
  <si>
    <r>
      <rPr>
        <rFont val="Noto Sans CJK SC"/>
        <b/>
        <color rgb="FF000000"/>
        <sz val="10.0"/>
      </rPr>
      <t>기준 시간</t>
    </r>
    <r>
      <rPr>
        <rFont val="맑은 고딕"/>
        <b/>
        <color rgb="FF000000"/>
        <sz val="10.0"/>
      </rPr>
      <t>(h)</t>
    </r>
  </si>
  <si>
    <r>
      <rPr>
        <rFont val="Noto Sans CJK SC"/>
        <color rgb="FF7F7F7F"/>
        <sz val="9.0"/>
      </rPr>
      <t>예</t>
    </r>
    <r>
      <rPr>
        <rFont val="맑은 고딕"/>
        <color rgb="FF7F7F7F"/>
        <sz val="9.0"/>
      </rPr>
      <t>: 90</t>
    </r>
  </si>
  <si>
    <r>
      <rPr>
        <rFont val="Noto Sans CJK SC"/>
        <color rgb="FF7F7F7F"/>
        <sz val="9.0"/>
      </rPr>
      <t>예</t>
    </r>
    <r>
      <rPr>
        <rFont val="맑은 고딕"/>
        <color rgb="FF7F7F7F"/>
        <sz val="9.0"/>
      </rPr>
      <t>: 2023-03</t>
    </r>
  </si>
  <si>
    <r>
      <rPr>
        <rFont val="Noto Sans CJK SC"/>
        <b/>
        <color rgb="FFFFFFFF"/>
        <sz val="11.0"/>
      </rPr>
      <t>■ 진단</t>
    </r>
    <r>
      <rPr>
        <rFont val="맑은 고딕"/>
        <b/>
        <color rgb="FFFFFFFF"/>
        <sz val="11.0"/>
      </rPr>
      <t>·</t>
    </r>
    <r>
      <rPr>
        <rFont val="Noto Sans CJK SC"/>
        <b/>
        <color rgb="FFFFFFFF"/>
        <sz val="11.0"/>
      </rPr>
      <t>자기평가</t>
    </r>
  </si>
  <si>
    <r>
      <rPr>
        <rFont val="맑은 고딕"/>
        <b/>
        <color rgb="FF000000"/>
        <sz val="11.0"/>
      </rPr>
      <t xml:space="preserve">SSCA </t>
    </r>
    <r>
      <rPr>
        <rFont val="Noto Sans CJK SC"/>
        <b/>
        <color rgb="FF000000"/>
        <sz val="11.0"/>
      </rPr>
      <t>학생성공역량진단</t>
    </r>
  </si>
  <si>
    <r>
      <rPr>
        <rFont val="맑은 고딕"/>
        <color rgb="FF7F7F7F"/>
        <sz val="9.0"/>
      </rPr>
      <t>N</t>
    </r>
    <r>
      <rPr>
        <rFont val="Noto Sans CJK SC"/>
        <color rgb="FF7F7F7F"/>
        <sz val="9.0"/>
      </rPr>
      <t xml:space="preserve">이면 </t>
    </r>
    <r>
      <rPr>
        <rFont val="맑은 고딕"/>
        <color rgb="FF7F7F7F"/>
        <sz val="9.0"/>
      </rPr>
      <t>4</t>
    </r>
    <r>
      <rPr>
        <rFont val="Noto Sans CJK SC"/>
        <color rgb="FF7F7F7F"/>
        <sz val="9.0"/>
      </rPr>
      <t xml:space="preserve">번 카테고리는 </t>
    </r>
    <r>
      <rPr>
        <rFont val="맑은 고딕"/>
        <color rgb="FF7F7F7F"/>
        <sz val="9.0"/>
      </rPr>
      <t>'</t>
    </r>
    <r>
      <rPr>
        <rFont val="Noto Sans CJK SC"/>
        <color rgb="FF7F7F7F"/>
        <sz val="9.0"/>
      </rPr>
      <t>해당 없음</t>
    </r>
    <r>
      <rPr>
        <rFont val="맑은 고딕"/>
        <color rgb="FF7F7F7F"/>
        <sz val="9.0"/>
      </rPr>
      <t>'</t>
    </r>
  </si>
  <si>
    <r>
      <rPr>
        <rFont val="Noto Sans CJK SC"/>
        <color rgb="FF7F7F7F"/>
        <sz val="9.0"/>
      </rPr>
      <t>데이터 추출</t>
    </r>
    <r>
      <rPr>
        <rFont val="맑은 고딕"/>
        <color rgb="FF7F7F7F"/>
        <sz val="9.0"/>
      </rPr>
      <t>(</t>
    </r>
    <r>
      <rPr>
        <rFont val="Noto Sans CJK SC"/>
        <color rgb="FF7F7F7F"/>
        <sz val="9.0"/>
      </rPr>
      <t>또는 제출</t>
    </r>
    <r>
      <rPr>
        <rFont val="맑은 고딕"/>
        <color rgb="FF7F7F7F"/>
        <sz val="9.0"/>
      </rPr>
      <t xml:space="preserve">) </t>
    </r>
    <r>
      <rPr>
        <rFont val="Noto Sans CJK SC"/>
        <color rgb="FF7F7F7F"/>
        <sz val="9.0"/>
      </rPr>
      <t>기준일</t>
    </r>
  </si>
  <si>
    <r>
      <rPr>
        <rFont val="Noto Sans CJK SC"/>
        <b/>
        <color rgb="FF000000"/>
        <sz val="10.0"/>
      </rPr>
      <t>개인정보 수집</t>
    </r>
    <r>
      <rPr>
        <rFont val="맑은 고딕"/>
        <b/>
        <color rgb="FF000000"/>
        <sz val="10.0"/>
      </rPr>
      <t>·</t>
    </r>
    <r>
      <rPr>
        <rFont val="Noto Sans CJK SC"/>
        <b/>
        <color rgb="FF000000"/>
        <sz val="10.0"/>
      </rPr>
      <t>이용 동의</t>
    </r>
  </si>
  <si>
    <r>
      <rPr>
        <rFont val="맑은 고딕"/>
        <color rgb="FF7F7F7F"/>
        <sz val="9.0"/>
      </rPr>
      <t>N</t>
    </r>
    <r>
      <rPr>
        <rFont val="Noto Sans CJK SC"/>
        <color rgb="FF7F7F7F"/>
        <sz val="9.0"/>
      </rPr>
      <t>이면 평가 대상에서 제외</t>
    </r>
  </si>
  <si>
    <r>
      <rPr>
        <rFont val="Noto Sans CJK SC"/>
        <b/>
        <color rgb="FFFFFFFF"/>
        <sz val="11.0"/>
      </rPr>
      <t>■ 학업</t>
    </r>
    <r>
      <rPr>
        <rFont val="맑은 고딕"/>
        <b/>
        <color rgb="FFFFFFFF"/>
        <sz val="11.0"/>
      </rPr>
      <t>·</t>
    </r>
    <r>
      <rPr>
        <rFont val="Noto Sans CJK SC"/>
        <b/>
        <color rgb="FFFFFFFF"/>
        <sz val="11.0"/>
      </rPr>
      <t>교과</t>
    </r>
  </si>
  <si>
    <r>
      <rPr>
        <rFont val="Noto Sans CJK SC"/>
        <i/>
        <color rgb="FF7F7F7F"/>
        <sz val="8.0"/>
      </rPr>
      <t>출처</t>
    </r>
    <r>
      <rPr>
        <rFont val="맑은 고딕"/>
        <i/>
        <color rgb="FF7F7F7F"/>
        <sz val="8.0"/>
      </rPr>
      <t xml:space="preserve">: </t>
    </r>
    <r>
      <rPr>
        <rFont val="Noto Sans CJK SC"/>
        <i/>
        <color rgb="FF7F7F7F"/>
        <sz val="8.0"/>
      </rPr>
      <t xml:space="preserve">학생성공 게이트웨이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전 역량</t>
    </r>
    <r>
      <rPr>
        <rFont val="맑은 고딕"/>
        <i/>
        <color rgb="FF7F7F7F"/>
        <sz val="8.0"/>
      </rPr>
      <t>(</t>
    </r>
    <r>
      <rPr>
        <rFont val="Noto Sans CJK SC"/>
        <i/>
        <color rgb="FF7F7F7F"/>
        <sz val="8.0"/>
      </rPr>
      <t>자기인식</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 xml:space="preserve">객관 점수에 합산하지 말고 </t>
    </r>
    <r>
      <rPr>
        <rFont val="맑은 고딕"/>
        <i/>
        <color rgb="FF7F7F7F"/>
        <sz val="8.0"/>
      </rPr>
      <t>'</t>
    </r>
    <r>
      <rPr>
        <rFont val="Noto Sans CJK SC"/>
        <i/>
        <color rgb="FF7F7F7F"/>
        <sz val="8.0"/>
      </rPr>
      <t xml:space="preserve">자기평가 </t>
    </r>
    <r>
      <rPr>
        <rFont val="맑은 고딕"/>
        <i/>
        <color rgb="FF7F7F7F"/>
        <sz val="8.0"/>
      </rPr>
      <t xml:space="preserve">vs </t>
    </r>
    <r>
      <rPr>
        <rFont val="Noto Sans CJK SC"/>
        <i/>
        <color rgb="FF7F7F7F"/>
        <sz val="8.0"/>
      </rPr>
      <t>데이터 평가</t>
    </r>
    <r>
      <rPr>
        <rFont val="맑은 고딕"/>
        <i/>
        <color rgb="FF7F7F7F"/>
        <sz val="8.0"/>
      </rPr>
      <t xml:space="preserve">' </t>
    </r>
    <r>
      <rPr>
        <rFont val="Noto Sans CJK SC"/>
        <i/>
        <color rgb="FF7F7F7F"/>
        <sz val="8.0"/>
      </rPr>
      <t>비교용으로 별도 표시</t>
    </r>
  </si>
  <si>
    <r>
      <rPr>
        <rFont val="Noto Sans CJK SC"/>
        <b/>
        <color rgb="FF000000"/>
        <sz val="11.0"/>
      </rPr>
      <t>성적데이터</t>
    </r>
    <r>
      <rPr>
        <rFont val="맑은 고딕"/>
        <b/>
        <color rgb="FF000000"/>
        <sz val="11.0"/>
      </rPr>
      <t>(</t>
    </r>
    <r>
      <rPr>
        <rFont val="Noto Sans CJK SC"/>
        <b/>
        <color rgb="FF000000"/>
        <sz val="11.0"/>
      </rPr>
      <t>전공</t>
    </r>
    <r>
      <rPr>
        <rFont val="맑은 고딕"/>
        <b/>
        <color rgb="FF000000"/>
        <sz val="11.0"/>
      </rPr>
      <t>·</t>
    </r>
    <r>
      <rPr>
        <rFont val="Noto Sans CJK SC"/>
        <b/>
        <color rgb="FF000000"/>
        <sz val="11.0"/>
      </rPr>
      <t>학기별</t>
    </r>
    <r>
      <rPr>
        <rFont val="맑은 고딕"/>
        <b/>
        <color rgb="FF000000"/>
        <sz val="11.0"/>
      </rPr>
      <t>)</t>
    </r>
  </si>
  <si>
    <r>
      <rPr>
        <rFont val="Noto Sans CJK SC"/>
        <i/>
        <color rgb="FF7F7F7F"/>
        <sz val="8.0"/>
      </rPr>
      <t>출처</t>
    </r>
    <r>
      <rPr>
        <rFont val="맑은 고딕"/>
        <i/>
        <color rgb="FF7F7F7F"/>
        <sz val="8.0"/>
      </rPr>
      <t xml:space="preserve">: </t>
    </r>
    <r>
      <rPr>
        <rFont val="Noto Sans CJK SC"/>
        <i/>
        <color rgb="FF7F7F7F"/>
        <sz val="8.0"/>
      </rPr>
      <t>학사시스템</t>
    </r>
    <r>
      <rPr>
        <rFont val="맑은 고딕"/>
        <i/>
        <color rgb="FF7F7F7F"/>
        <sz val="8.0"/>
      </rPr>
      <t>(</t>
    </r>
    <r>
      <rPr>
        <rFont val="Noto Sans CJK SC"/>
        <i/>
        <color rgb="FF7F7F7F"/>
        <sz val="8.0"/>
      </rPr>
      <t>성적</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학업성취 </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xml:space="preserve">: [C] </t>
    </r>
    <r>
      <rPr>
        <rFont val="Noto Sans CJK SC"/>
        <i/>
        <color rgb="FF7F7F7F"/>
        <sz val="8.0"/>
      </rPr>
      <t>전공별</t>
    </r>
    <r>
      <rPr>
        <rFont val="맑은 고딕"/>
        <i/>
        <color rgb="FF7F7F7F"/>
        <sz val="8.0"/>
      </rPr>
      <t>·</t>
    </r>
    <r>
      <rPr>
        <rFont val="Noto Sans CJK SC"/>
        <i/>
        <color rgb="FF7F7F7F"/>
        <sz val="8.0"/>
      </rPr>
      <t>학기별 성적 통합</t>
    </r>
    <r>
      <rPr>
        <rFont val="맑은 고딕"/>
        <i/>
        <color rgb="FF7F7F7F"/>
        <sz val="8.0"/>
      </rPr>
      <t xml:space="preserve">. </t>
    </r>
    <r>
      <rPr>
        <rFont val="Noto Sans CJK SC"/>
        <i/>
        <color rgb="FF7F7F7F"/>
        <sz val="8.0"/>
      </rPr>
      <t xml:space="preserve">학기별 추이로 </t>
    </r>
    <r>
      <rPr>
        <rFont val="맑은 고딕"/>
        <i/>
        <color rgb="FF7F7F7F"/>
        <sz val="8.0"/>
      </rPr>
      <t>'</t>
    </r>
    <r>
      <rPr>
        <rFont val="Noto Sans CJK SC"/>
        <i/>
        <color rgb="FF7F7F7F"/>
        <sz val="8.0"/>
      </rPr>
      <t>성장</t>
    </r>
    <r>
      <rPr>
        <rFont val="맑은 고딕"/>
        <i/>
        <color rgb="FF7F7F7F"/>
        <sz val="8.0"/>
      </rPr>
      <t xml:space="preserve">' </t>
    </r>
    <r>
      <rPr>
        <rFont val="Noto Sans CJK SC"/>
        <i/>
        <color rgb="FF7F7F7F"/>
        <sz val="8.0"/>
      </rPr>
      <t>지표 추가 가능</t>
    </r>
  </si>
  <si>
    <r>
      <rPr>
        <rFont val="Noto Sans CJK SC"/>
        <b/>
        <color rgb="FF000000"/>
        <sz val="10.0"/>
      </rPr>
      <t>전체 평점</t>
    </r>
    <r>
      <rPr>
        <rFont val="맑은 고딕"/>
        <b/>
        <color rgb="FF000000"/>
        <sz val="10.0"/>
      </rPr>
      <t>(</t>
    </r>
    <r>
      <rPr>
        <rFont val="Noto Sans CJK SC"/>
        <b/>
        <color rgb="FF000000"/>
        <sz val="10.0"/>
      </rPr>
      <t>누적</t>
    </r>
    <r>
      <rPr>
        <rFont val="맑은 고딕"/>
        <b/>
        <color rgb="FF000000"/>
        <sz val="10.0"/>
      </rPr>
      <t>)</t>
    </r>
  </si>
  <si>
    <r>
      <rPr>
        <rFont val="Noto Sans CJK SC"/>
        <color rgb="FF7F7F7F"/>
        <sz val="9.0"/>
      </rPr>
      <t>숫자</t>
    </r>
    <r>
      <rPr>
        <rFont val="맑은 고딕"/>
        <color rgb="FF7F7F7F"/>
        <sz val="9.0"/>
      </rPr>
      <t>(</t>
    </r>
    <r>
      <rPr>
        <rFont val="Noto Sans CJK SC"/>
        <color rgb="FF7F7F7F"/>
        <sz val="9.0"/>
      </rPr>
      <t xml:space="preserve">소수 </t>
    </r>
    <r>
      <rPr>
        <rFont val="맑은 고딕"/>
        <color rgb="FF7F7F7F"/>
        <sz val="9.0"/>
      </rPr>
      <t>2</t>
    </r>
    <r>
      <rPr>
        <rFont val="Noto Sans CJK SC"/>
        <color rgb="FF7F7F7F"/>
        <sz val="9.0"/>
      </rPr>
      <t>자리</t>
    </r>
    <r>
      <rPr>
        <rFont val="맑은 고딕"/>
        <color rgb="FF7F7F7F"/>
        <sz val="9.0"/>
      </rPr>
      <t>)</t>
    </r>
  </si>
  <si>
    <r>
      <rPr>
        <rFont val="Noto Sans CJK SC"/>
        <color rgb="FF7F7F7F"/>
        <sz val="9.0"/>
      </rPr>
      <t>예</t>
    </r>
    <r>
      <rPr>
        <rFont val="맑은 고딕"/>
        <color rgb="FF7F7F7F"/>
        <sz val="9.0"/>
      </rPr>
      <t>: 3.85</t>
    </r>
  </si>
  <si>
    <r>
      <rPr>
        <rFont val="Noto Sans CJK SC"/>
        <b/>
        <color rgb="FF000000"/>
        <sz val="10.0"/>
      </rPr>
      <t>전공 평점</t>
    </r>
    <r>
      <rPr>
        <rFont val="맑은 고딕"/>
        <b/>
        <color rgb="FF000000"/>
        <sz val="10.0"/>
      </rPr>
      <t>(</t>
    </r>
    <r>
      <rPr>
        <rFont val="Noto Sans CJK SC"/>
        <b/>
        <color rgb="FF000000"/>
        <sz val="10.0"/>
      </rPr>
      <t>누적</t>
    </r>
    <r>
      <rPr>
        <rFont val="맑은 고딕"/>
        <b/>
        <color rgb="FF000000"/>
        <sz val="10.0"/>
      </rPr>
      <t>)</t>
    </r>
  </si>
  <si>
    <r>
      <rPr>
        <rFont val="Noto Sans CJK SC"/>
        <i/>
        <color rgb="FF7F7F7F"/>
        <sz val="8.0"/>
      </rPr>
      <t>출처</t>
    </r>
    <r>
      <rPr>
        <rFont val="맑은 고딕"/>
        <i/>
        <color rgb="FF7F7F7F"/>
        <sz val="8.0"/>
      </rPr>
      <t xml:space="preserve">: </t>
    </r>
    <r>
      <rPr>
        <rFont val="Noto Sans CJK SC"/>
        <i/>
        <color rgb="FF7F7F7F"/>
        <sz val="8.0"/>
      </rPr>
      <t xml:space="preserve">학생성공 게이트웨이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자기관리 </t>
    </r>
    <r>
      <rPr>
        <rFont val="맑은 고딕"/>
        <i/>
        <color rgb="FF7F7F7F"/>
        <sz val="8.0"/>
      </rPr>
      <t xml:space="preserve">/ </t>
    </r>
    <r>
      <rPr>
        <rFont val="Noto Sans CJK SC"/>
        <i/>
        <color rgb="FF7F7F7F"/>
        <sz val="8.0"/>
      </rPr>
      <t xml:space="preserve">학업성취   </t>
    </r>
    <r>
      <rPr>
        <rFont val="맑은 고딕"/>
        <i/>
        <color rgb="FF7F7F7F"/>
        <sz val="8.0"/>
      </rPr>
      <t xml:space="preserve">|   </t>
    </r>
    <r>
      <rPr>
        <rFont val="Noto Sans CJK SC"/>
        <i/>
        <color rgb="FF7F7F7F"/>
        <sz val="8.0"/>
      </rPr>
      <t>비고</t>
    </r>
    <r>
      <rPr>
        <rFont val="맑은 고딕"/>
        <i/>
        <color rgb="FF7F7F7F"/>
        <sz val="8.0"/>
      </rPr>
      <t>: SSCA</t>
    </r>
    <r>
      <rPr>
        <rFont val="Noto Sans CJK SC"/>
        <i/>
        <color rgb="FF7F7F7F"/>
        <sz val="8.0"/>
      </rPr>
      <t>와 동일하게 비교용 권장</t>
    </r>
  </si>
  <si>
    <r>
      <rPr>
        <rFont val="Noto Sans CJK SC"/>
        <color rgb="FF7F7F7F"/>
        <sz val="9.0"/>
      </rPr>
      <t>숫자</t>
    </r>
    <r>
      <rPr>
        <rFont val="맑은 고딕"/>
        <color rgb="FF7F7F7F"/>
        <sz val="9.0"/>
      </rPr>
      <t>(</t>
    </r>
    <r>
      <rPr>
        <rFont val="Noto Sans CJK SC"/>
        <color rgb="FF7F7F7F"/>
        <sz val="9.0"/>
      </rPr>
      <t xml:space="preserve">소수 </t>
    </r>
    <r>
      <rPr>
        <rFont val="맑은 고딕"/>
        <color rgb="FF7F7F7F"/>
        <sz val="9.0"/>
      </rPr>
      <t>2</t>
    </r>
    <r>
      <rPr>
        <rFont val="Noto Sans CJK SC"/>
        <color rgb="FF7F7F7F"/>
        <sz val="9.0"/>
      </rPr>
      <t>자리</t>
    </r>
    <r>
      <rPr>
        <rFont val="맑은 고딕"/>
        <color rgb="FF7F7F7F"/>
        <sz val="9.0"/>
      </rPr>
      <t>)</t>
    </r>
  </si>
  <si>
    <r>
      <rPr>
        <rFont val="Noto Sans CJK SC"/>
        <color rgb="FF7F7F7F"/>
        <sz val="9.0"/>
      </rPr>
      <t>예</t>
    </r>
    <r>
      <rPr>
        <rFont val="맑은 고딕"/>
        <color rgb="FF7F7F7F"/>
        <sz val="9.0"/>
      </rPr>
      <t>: 3.92</t>
    </r>
  </si>
  <si>
    <r>
      <rPr>
        <rFont val="Noto Sans CJK SC"/>
        <color rgb="FF7F7F7F"/>
        <sz val="9.0"/>
      </rPr>
      <t xml:space="preserve">성균관대 </t>
    </r>
    <r>
      <rPr>
        <rFont val="맑은 고딕"/>
        <color rgb="FF7F7F7F"/>
        <sz val="9.0"/>
      </rPr>
      <t>4.5</t>
    </r>
  </si>
  <si>
    <r>
      <rPr>
        <rFont val="맑은 고딕"/>
        <i/>
        <color rgb="FF7F7F7F"/>
        <sz val="8.0"/>
      </rPr>
      <t>YYYY-1 / YYYY-2 / YYYY-</t>
    </r>
    <r>
      <rPr>
        <rFont val="Noto Sans CJK SC"/>
        <i/>
        <color rgb="FF7F7F7F"/>
        <sz val="8.0"/>
      </rPr>
      <t xml:space="preserve">여름 </t>
    </r>
    <r>
      <rPr>
        <rFont val="맑은 고딕"/>
        <i/>
        <color rgb="FF7F7F7F"/>
        <sz val="8.0"/>
      </rPr>
      <t>/ YYYY-</t>
    </r>
    <r>
      <rPr>
        <rFont val="Noto Sans CJK SC"/>
        <i/>
        <color rgb="FF7F7F7F"/>
        <sz val="8.0"/>
      </rPr>
      <t>겨울</t>
    </r>
  </si>
  <si>
    <r>
      <rPr>
        <rFont val="Noto Sans CJK SC"/>
        <b/>
        <color rgb="FF000000"/>
        <sz val="11.0"/>
      </rPr>
      <t>활동 성찰 기록</t>
    </r>
    <r>
      <rPr>
        <rFont val="맑은 고딕"/>
        <b/>
        <color rgb="FF000000"/>
        <sz val="11.0"/>
      </rPr>
      <t>(STAR)</t>
    </r>
  </si>
  <si>
    <r>
      <rPr>
        <rFont val="Noto Sans CJK SC"/>
        <i/>
        <color rgb="FF7F7F7F"/>
        <sz val="8.0"/>
      </rPr>
      <t>휴학</t>
    </r>
    <r>
      <rPr>
        <rFont val="맑은 고딕"/>
        <i/>
        <color rgb="FF7F7F7F"/>
        <sz val="8.0"/>
      </rPr>
      <t>·</t>
    </r>
    <r>
      <rPr>
        <rFont val="Noto Sans CJK SC"/>
        <i/>
        <color rgb="FF7F7F7F"/>
        <sz val="8.0"/>
      </rPr>
      <t>계절 등</t>
    </r>
  </si>
  <si>
    <r>
      <rPr>
        <rFont val="Noto Sans CJK SC"/>
        <color rgb="FF1F3B8A"/>
        <sz val="10.0"/>
      </rPr>
      <t>편입 후 첫 학기</t>
    </r>
    <r>
      <rPr>
        <rFont val="맑은 고딕"/>
        <color rgb="FF1F3B8A"/>
        <sz val="10.0"/>
      </rPr>
      <t>(</t>
    </r>
    <r>
      <rPr>
        <rFont val="Noto Sans CJK SC"/>
        <color rgb="FF1F3B8A"/>
        <sz val="10.0"/>
      </rPr>
      <t>전적대 성적 미포함</t>
    </r>
    <r>
      <rPr>
        <rFont val="맑은 고딕"/>
        <color rgb="FF1F3B8A"/>
        <sz val="10.0"/>
      </rPr>
      <t>)</t>
    </r>
  </si>
  <si>
    <r>
      <rPr>
        <rFont val="Noto Sans CJK SC"/>
        <i/>
        <color rgb="FF7F7F7F"/>
        <sz val="8.0"/>
      </rPr>
      <t>출처</t>
    </r>
    <r>
      <rPr>
        <rFont val="맑은 고딕"/>
        <i/>
        <color rgb="FF7F7F7F"/>
        <sz val="8.0"/>
      </rPr>
      <t xml:space="preserve">: </t>
    </r>
    <r>
      <rPr>
        <rFont val="Noto Sans CJK SC"/>
        <i/>
        <color rgb="FF7F7F7F"/>
        <sz val="8.0"/>
      </rPr>
      <t>학생 입력</t>
    </r>
    <r>
      <rPr>
        <rFont val="맑은 고딕"/>
        <i/>
        <color rgb="FF7F7F7F"/>
        <sz val="8.0"/>
      </rPr>
      <t>(</t>
    </r>
    <r>
      <rPr>
        <rFont val="Noto Sans CJK SC"/>
        <i/>
        <color rgb="FF7F7F7F"/>
        <sz val="8.0"/>
      </rPr>
      <t>포트폴리오</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리더십 </t>
    </r>
    <r>
      <rPr>
        <rFont val="맑은 고딕"/>
        <i/>
        <color rgb="FF7F7F7F"/>
        <sz val="8.0"/>
      </rPr>
      <t xml:space="preserve">/ </t>
    </r>
    <r>
      <rPr>
        <rFont val="Noto Sans CJK SC"/>
        <i/>
        <color rgb="FF7F7F7F"/>
        <sz val="8.0"/>
      </rPr>
      <t xml:space="preserve">문제해결력 </t>
    </r>
    <r>
      <rPr>
        <rFont val="맑은 고딕"/>
        <i/>
        <color rgb="FF7F7F7F"/>
        <sz val="8.0"/>
      </rPr>
      <t xml:space="preserve">/ </t>
    </r>
    <r>
      <rPr>
        <rFont val="Noto Sans CJK SC"/>
        <i/>
        <color rgb="FF7F7F7F"/>
        <sz val="8.0"/>
      </rPr>
      <t xml:space="preserve">커뮤니케이션 등 정성 역량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정성 루브릭이 판단할 </t>
    </r>
    <r>
      <rPr>
        <rFont val="맑은 고딕"/>
        <i/>
        <color rgb="FF7F7F7F"/>
        <sz val="8.0"/>
      </rPr>
      <t>'</t>
    </r>
    <r>
      <rPr>
        <rFont val="Noto Sans CJK SC"/>
        <i/>
        <color rgb="FF7F7F7F"/>
        <sz val="8.0"/>
      </rPr>
      <t>질적 근거</t>
    </r>
    <r>
      <rPr>
        <rFont val="맑은 고딕"/>
        <i/>
        <color rgb="FF7F7F7F"/>
        <sz val="8.0"/>
      </rPr>
      <t>'</t>
    </r>
    <r>
      <rPr>
        <rFont val="Noto Sans CJK SC"/>
        <i/>
        <color rgb="FF7F7F7F"/>
        <sz val="8.0"/>
      </rPr>
      <t>가 현재 거의 없음 → 가장 우선 확보 권장</t>
    </r>
  </si>
  <si>
    <r>
      <rPr>
        <rFont val="Noto Sans CJK SC"/>
        <b/>
        <color rgb="FF000000"/>
        <sz val="9.0"/>
      </rPr>
      <t xml:space="preserve">관련 카테고리 </t>
    </r>
    <r>
      <rPr>
        <rFont val="맑은 고딕"/>
        <b/>
        <color rgb="FF000000"/>
        <sz val="9.0"/>
      </rPr>
      <t>No</t>
    </r>
  </si>
  <si>
    <r>
      <rPr>
        <rFont val="Noto Sans CJK SC"/>
        <b/>
        <color rgb="FF000000"/>
        <sz val="9.0"/>
      </rPr>
      <t>상황</t>
    </r>
    <r>
      <rPr>
        <rFont val="맑은 고딕"/>
        <b/>
        <color rgb="FF000000"/>
        <sz val="9.0"/>
      </rPr>
      <t>(S)</t>
    </r>
  </si>
  <si>
    <r>
      <rPr>
        <rFont val="Noto Sans CJK SC"/>
        <b/>
        <color rgb="FF000000"/>
        <sz val="9.0"/>
      </rPr>
      <t>과제</t>
    </r>
    <r>
      <rPr>
        <rFont val="맑은 고딕"/>
        <b/>
        <color rgb="FF000000"/>
        <sz val="9.0"/>
      </rPr>
      <t>·</t>
    </r>
    <r>
      <rPr>
        <rFont val="Noto Sans CJK SC"/>
        <b/>
        <color rgb="FF000000"/>
        <sz val="9.0"/>
      </rPr>
      <t>역할</t>
    </r>
    <r>
      <rPr>
        <rFont val="맑은 고딕"/>
        <b/>
        <color rgb="FF000000"/>
        <sz val="9.0"/>
      </rPr>
      <t>(T)</t>
    </r>
  </si>
  <si>
    <r>
      <rPr>
        <rFont val="Noto Sans CJK SC"/>
        <b/>
        <color rgb="FF000000"/>
        <sz val="9.0"/>
      </rPr>
      <t>행동</t>
    </r>
    <r>
      <rPr>
        <rFont val="맑은 고딕"/>
        <b/>
        <color rgb="FF000000"/>
        <sz val="9.0"/>
      </rPr>
      <t>(A)</t>
    </r>
  </si>
  <si>
    <r>
      <rPr>
        <rFont val="Noto Sans CJK SC"/>
        <b/>
        <color rgb="FF000000"/>
        <sz val="9.0"/>
      </rPr>
      <t>결과</t>
    </r>
    <r>
      <rPr>
        <rFont val="맑은 고딕"/>
        <b/>
        <color rgb="FF000000"/>
        <sz val="9.0"/>
      </rPr>
      <t>(R)</t>
    </r>
  </si>
  <si>
    <r>
      <rPr>
        <rFont val="Noto Sans CJK SC"/>
        <i/>
        <color rgb="FF7F7F7F"/>
        <sz val="8.0"/>
      </rPr>
      <t xml:space="preserve">숫자 </t>
    </r>
    <r>
      <rPr>
        <rFont val="맑은 고딕"/>
        <i/>
        <color rgb="FF7F7F7F"/>
        <sz val="8.0"/>
      </rPr>
      <t>1~34</t>
    </r>
  </si>
  <si>
    <r>
      <rPr>
        <rFont val="Noto Sans CJK SC"/>
        <i/>
        <color rgb="FF7F7F7F"/>
        <sz val="8.0"/>
      </rPr>
      <t>서술</t>
    </r>
    <r>
      <rPr>
        <rFont val="맑은 고딕"/>
        <i/>
        <color rgb="FF7F7F7F"/>
        <sz val="8.0"/>
      </rPr>
      <t>(</t>
    </r>
    <r>
      <rPr>
        <rFont val="Noto Sans CJK SC"/>
        <i/>
        <color rgb="FF7F7F7F"/>
        <sz val="8.0"/>
      </rPr>
      <t>수치 포함 권장</t>
    </r>
    <r>
      <rPr>
        <rFont val="맑은 고딕"/>
        <i/>
        <color rgb="FF7F7F7F"/>
        <sz val="8.0"/>
      </rPr>
      <t>)</t>
    </r>
  </si>
  <si>
    <t>영어토론동아리</t>
  </si>
  <si>
    <r>
      <rPr>
        <rFont val="Noto Sans CJK SC"/>
        <color rgb="FF1F3B8A"/>
        <sz val="10.0"/>
      </rPr>
      <t>동아리에서 홍보를 맡았는데 처음엔 인스타 팔로워가 너무 적어서 고민이 많았고 그래서 카드뉴스를 매주 만들고 다른 동아리랑 콜라보도 해서 결국 팔로워가 두 배가 됐다</t>
    </r>
    <r>
      <rPr>
        <rFont val="맑은 고딕"/>
        <color rgb="FF1F3B8A"/>
        <sz val="10.0"/>
      </rPr>
      <t xml:space="preserve">. </t>
    </r>
    <r>
      <rPr>
        <rFont val="Noto Sans CJK SC"/>
        <color rgb="FF1F3B8A"/>
        <sz val="10.0"/>
      </rPr>
      <t>이 경험으로 꾸준함이 중요하다는 걸 느꼈다</t>
    </r>
    <r>
      <rPr>
        <rFont val="맑은 고딕"/>
        <color rgb="FF1F3B8A"/>
        <sz val="10.0"/>
      </rPr>
      <t>.</t>
    </r>
  </si>
  <si>
    <t>코드표 — 데이터 상태 정의와 드롭다운 허용값</t>
  </si>
  <si>
    <t>데이터 상태</t>
  </si>
  <si>
    <t>언제 쓰나</t>
  </si>
  <si>
    <t>입력 칸 처리</t>
  </si>
  <si>
    <r>
      <rPr>
        <rFont val="Noto Sans CJK SC"/>
        <b/>
        <color rgb="FFFFFFFF"/>
        <sz val="10.0"/>
      </rPr>
      <t>평가 시 처리</t>
    </r>
    <r>
      <rPr>
        <rFont val="맑은 고딕"/>
        <b/>
        <color rgb="FFFFFFFF"/>
        <sz val="10.0"/>
      </rPr>
      <t>(</t>
    </r>
    <r>
      <rPr>
        <rFont val="Noto Sans CJK SC"/>
        <b/>
        <color rgb="FFFFFFFF"/>
        <sz val="10.0"/>
      </rPr>
      <t xml:space="preserve">프롬프트 </t>
    </r>
    <r>
      <rPr>
        <rFont val="맑은 고딕"/>
        <b/>
        <color rgb="FFFFFFFF"/>
        <sz val="10.0"/>
      </rPr>
      <t>R2)</t>
    </r>
  </si>
  <si>
    <t>실제 값이 하나라도 있을 때</t>
  </si>
  <si>
    <r>
      <rPr>
        <rFont val="Noto Sans CJK SC"/>
        <i/>
        <color rgb="FF7F7F7F"/>
        <sz val="8.0"/>
      </rPr>
      <t>출처</t>
    </r>
    <r>
      <rPr>
        <rFont val="맑은 고딕"/>
        <i/>
        <color rgb="FF7F7F7F"/>
        <sz val="8.0"/>
      </rPr>
      <t xml:space="preserve">: </t>
    </r>
    <r>
      <rPr>
        <rFont val="Noto Sans CJK SC"/>
        <i/>
        <color rgb="FF7F7F7F"/>
        <sz val="8.0"/>
      </rPr>
      <t>학사시스템</t>
    </r>
    <r>
      <rPr>
        <rFont val="맑은 고딕"/>
        <i/>
        <color rgb="FF7F7F7F"/>
        <sz val="8.0"/>
      </rPr>
      <t>(</t>
    </r>
    <r>
      <rPr>
        <rFont val="Noto Sans CJK SC"/>
        <i/>
        <color rgb="FF7F7F7F"/>
        <sz val="8.0"/>
      </rPr>
      <t>과목별 성적</t>
    </r>
    <r>
      <rPr>
        <rFont val="맑은 고딕"/>
        <i/>
        <color rgb="FF7F7F7F"/>
        <sz val="8.0"/>
      </rPr>
      <t>) + LMS(</t>
    </r>
    <r>
      <rPr>
        <rFont val="Noto Sans CJK SC"/>
        <i/>
        <color rgb="FF7F7F7F"/>
        <sz val="8.0"/>
      </rPr>
      <t>과제점수</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발표력 </t>
    </r>
    <r>
      <rPr>
        <rFont val="맑은 고딕"/>
        <i/>
        <color rgb="FF7F7F7F"/>
        <sz val="8.0"/>
      </rPr>
      <t xml:space="preserve">/ </t>
    </r>
    <r>
      <rPr>
        <rFont val="Noto Sans CJK SC"/>
        <i/>
        <color rgb="FF7F7F7F"/>
        <sz val="8.0"/>
      </rPr>
      <t xml:space="preserve">논리적사고 </t>
    </r>
    <r>
      <rPr>
        <rFont val="맑은 고딕"/>
        <i/>
        <color rgb="FF7F7F7F"/>
        <sz val="8.0"/>
      </rPr>
      <t xml:space="preserve">/ </t>
    </r>
    <r>
      <rPr>
        <rFont val="Noto Sans CJK SC"/>
        <i/>
        <color rgb="FF7F7F7F"/>
        <sz val="8.0"/>
      </rPr>
      <t xml:space="preserve">학업성취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과목에 </t>
    </r>
    <r>
      <rPr>
        <rFont val="맑은 고딕"/>
        <i/>
        <color rgb="FF7F7F7F"/>
        <sz val="8.0"/>
      </rPr>
      <t>'</t>
    </r>
    <r>
      <rPr>
        <rFont val="Noto Sans CJK SC"/>
        <i/>
        <color rgb="FF7F7F7F"/>
        <sz val="8.0"/>
      </rPr>
      <t>발표형</t>
    </r>
    <r>
      <rPr>
        <rFont val="맑은 고딕"/>
        <i/>
        <color rgb="FF7F7F7F"/>
        <sz val="8.0"/>
      </rPr>
      <t>·</t>
    </r>
    <r>
      <rPr>
        <rFont val="Noto Sans CJK SC"/>
        <i/>
        <color rgb="FF7F7F7F"/>
        <sz val="8.0"/>
      </rPr>
      <t>토론형</t>
    </r>
    <r>
      <rPr>
        <rFont val="맑은 고딕"/>
        <i/>
        <color rgb="FF7F7F7F"/>
        <sz val="8.0"/>
      </rPr>
      <t xml:space="preserve">' </t>
    </r>
    <r>
      <rPr>
        <rFont val="Noto Sans CJK SC"/>
        <i/>
        <color rgb="FF7F7F7F"/>
        <sz val="8.0"/>
      </rPr>
      <t>태그가 있어야 자동 분류 가능</t>
    </r>
  </si>
  <si>
    <t>값을 입력</t>
  </si>
  <si>
    <r>
      <rPr>
        <rFont val="Noto Sans CJK SC"/>
        <i/>
        <color rgb="FF7F7F7F"/>
        <sz val="8.0"/>
      </rPr>
      <t>출처</t>
    </r>
    <r>
      <rPr>
        <rFont val="맑은 고딕"/>
        <i/>
        <color rgb="FF7F7F7F"/>
        <sz val="8.0"/>
      </rPr>
      <t xml:space="preserve">: </t>
    </r>
    <r>
      <rPr>
        <rFont val="Noto Sans CJK SC"/>
        <i/>
        <color rgb="FF7F7F7F"/>
        <sz val="8.0"/>
      </rPr>
      <t xml:space="preserve">교수 입력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교수 관심 역량 전반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입력 부담 고려해 선택 항목으로</t>
    </r>
  </si>
  <si>
    <t>계산에 사용</t>
  </si>
  <si>
    <t>TOEIC 905</t>
  </si>
  <si>
    <r>
      <rPr>
        <rFont val="Noto Sans CJK SC"/>
        <b/>
        <color rgb="FF000000"/>
        <sz val="9.0"/>
      </rPr>
      <t>작성자</t>
    </r>
    <r>
      <rPr>
        <rFont val="맑은 고딕"/>
        <b/>
        <color rgb="FF000000"/>
        <sz val="9.0"/>
      </rPr>
      <t>(</t>
    </r>
    <r>
      <rPr>
        <rFont val="Noto Sans CJK SC"/>
        <b/>
        <color rgb="FF000000"/>
        <sz val="9.0"/>
      </rPr>
      <t>직위</t>
    </r>
    <r>
      <rPr>
        <rFont val="맑은 고딕"/>
        <b/>
        <color rgb="FF000000"/>
        <sz val="9.0"/>
      </rPr>
      <t>)</t>
    </r>
  </si>
  <si>
    <t>확인 결과 해당 활동이 없을 때</t>
  </si>
  <si>
    <t>비워 둠</t>
  </si>
  <si>
    <r>
      <rPr>
        <rFont val="맑은 고딕"/>
        <color rgb="FF000000"/>
        <sz val="9.0"/>
      </rPr>
      <t>0</t>
    </r>
    <r>
      <rPr>
        <rFont val="Noto Sans CJK SC"/>
        <color rgb="FF000000"/>
        <sz val="9.0"/>
      </rPr>
      <t>점으로 계산에 포함</t>
    </r>
  </si>
  <si>
    <r>
      <rPr>
        <rFont val="Noto Sans CJK SC"/>
        <b/>
        <color rgb="FF000000"/>
        <sz val="9.0"/>
      </rPr>
      <t>과제</t>
    </r>
    <r>
      <rPr>
        <rFont val="맑은 고딕"/>
        <b/>
        <color rgb="FF000000"/>
        <sz val="9.0"/>
      </rPr>
      <t>·</t>
    </r>
    <r>
      <rPr>
        <rFont val="Noto Sans CJK SC"/>
        <b/>
        <color rgb="FF000000"/>
        <sz val="9.0"/>
      </rPr>
      <t>보고서 점수</t>
    </r>
  </si>
  <si>
    <r>
      <rPr>
        <rFont val="맑은 고딕"/>
        <i/>
        <color rgb="FF7F7F7F"/>
        <sz val="8.0"/>
      </rPr>
      <t>[</t>
    </r>
    <r>
      <rPr>
        <rFont val="Noto Sans CJK SC"/>
        <i/>
        <color rgb="FF7F7F7F"/>
        <sz val="8.0"/>
      </rPr>
      <t xml:space="preserve">지도교수 </t>
    </r>
    <r>
      <rPr>
        <rFont val="맑은 고딕"/>
        <i/>
        <color rgb="FF7F7F7F"/>
        <sz val="8.0"/>
      </rPr>
      <t xml:space="preserve">/ </t>
    </r>
    <r>
      <rPr>
        <rFont val="Noto Sans CJK SC"/>
        <i/>
        <color rgb="FF7F7F7F"/>
        <sz val="8.0"/>
      </rPr>
      <t>수업 담당교수</t>
    </r>
    <r>
      <rPr>
        <rFont val="맑은 고딕"/>
        <i/>
        <color rgb="FF7F7F7F"/>
        <sz val="8.0"/>
      </rPr>
      <t>]</t>
    </r>
  </si>
  <si>
    <r>
      <rPr>
        <rFont val="Noto Sans CJK SC"/>
        <color rgb="FF000000"/>
        <sz val="9.0"/>
      </rPr>
      <t xml:space="preserve">봉사 이력 조회 결과 </t>
    </r>
    <r>
      <rPr>
        <rFont val="맑은 고딕"/>
        <color rgb="FF000000"/>
        <sz val="9.0"/>
      </rPr>
      <t>0</t>
    </r>
    <r>
      <rPr>
        <rFont val="Noto Sans CJK SC"/>
        <color rgb="FF000000"/>
        <sz val="9.0"/>
      </rPr>
      <t>건</t>
    </r>
  </si>
  <si>
    <r>
      <rPr>
        <rFont val="맑은 고딕"/>
        <i/>
        <color rgb="FF7F7F7F"/>
        <sz val="8.0"/>
      </rPr>
      <t>YYYY-1 / YYYY-2 / YYYY-</t>
    </r>
    <r>
      <rPr>
        <rFont val="Noto Sans CJK SC"/>
        <i/>
        <color rgb="FF7F7F7F"/>
        <sz val="8.0"/>
      </rPr>
      <t xml:space="preserve">여름 </t>
    </r>
    <r>
      <rPr>
        <rFont val="맑은 고딕"/>
        <i/>
        <color rgb="FF7F7F7F"/>
        <sz val="8.0"/>
      </rPr>
      <t>/ YYYY-</t>
    </r>
    <r>
      <rPr>
        <rFont val="Noto Sans CJK SC"/>
        <i/>
        <color rgb="FF7F7F7F"/>
        <sz val="8.0"/>
      </rPr>
      <t>겨울</t>
    </r>
  </si>
  <si>
    <r>
      <rPr>
        <rFont val="Noto Sans CJK SC"/>
        <color rgb="FF000000"/>
        <sz val="9.0"/>
      </rPr>
      <t>시스템 미연동</t>
    </r>
    <r>
      <rPr>
        <rFont val="맑은 고딕"/>
        <color rgb="FF000000"/>
        <sz val="9.0"/>
      </rPr>
      <t>·</t>
    </r>
    <r>
      <rPr>
        <rFont val="Noto Sans CJK SC"/>
        <color rgb="FF000000"/>
        <sz val="9.0"/>
      </rPr>
      <t>학생 미제출 등으로 확인 못 했을 때</t>
    </r>
  </si>
  <si>
    <r>
      <rPr>
        <rFont val="맑은 고딕"/>
        <i/>
        <color rgb="FF7F7F7F"/>
        <sz val="8.0"/>
      </rPr>
      <t>[</t>
    </r>
    <r>
      <rPr>
        <rFont val="Noto Sans CJK SC"/>
        <i/>
        <color rgb="FF7F7F7F"/>
        <sz val="8.0"/>
      </rPr>
      <t xml:space="preserve">발표형 </t>
    </r>
    <r>
      <rPr>
        <rFont val="맑은 고딕"/>
        <i/>
        <color rgb="FF7F7F7F"/>
        <sz val="8.0"/>
      </rPr>
      <t xml:space="preserve">/ </t>
    </r>
    <r>
      <rPr>
        <rFont val="Noto Sans CJK SC"/>
        <i/>
        <color rgb="FF7F7F7F"/>
        <sz val="8.0"/>
      </rPr>
      <t xml:space="preserve">토론형 </t>
    </r>
    <r>
      <rPr>
        <rFont val="맑은 고딕"/>
        <i/>
        <color rgb="FF7F7F7F"/>
        <sz val="8.0"/>
      </rPr>
      <t xml:space="preserve">/ </t>
    </r>
    <r>
      <rPr>
        <rFont val="Noto Sans CJK SC"/>
        <i/>
        <color rgb="FF7F7F7F"/>
        <sz val="8.0"/>
      </rPr>
      <t>과제</t>
    </r>
    <r>
      <rPr>
        <rFont val="맑은 고딕"/>
        <i/>
        <color rgb="FF7F7F7F"/>
        <sz val="8.0"/>
      </rPr>
      <t>·</t>
    </r>
    <r>
      <rPr>
        <rFont val="Noto Sans CJK SC"/>
        <i/>
        <color rgb="FF7F7F7F"/>
        <sz val="8.0"/>
      </rPr>
      <t xml:space="preserve">보고서형 </t>
    </r>
    <r>
      <rPr>
        <rFont val="맑은 고딕"/>
        <i/>
        <color rgb="FF7F7F7F"/>
        <sz val="8.0"/>
      </rPr>
      <t>/ PBL</t>
    </r>
    <r>
      <rPr>
        <rFont val="Noto Sans CJK SC"/>
        <i/>
        <color rgb="FF7F7F7F"/>
        <sz val="8.0"/>
      </rPr>
      <t>형</t>
    </r>
    <r>
      <rPr>
        <rFont val="맑은 고딕"/>
        <i/>
        <color rgb="FF7F7F7F"/>
        <sz val="8.0"/>
      </rPr>
      <t>]</t>
    </r>
  </si>
  <si>
    <r>
      <rPr>
        <rFont val="Noto Sans CJK SC"/>
        <i/>
        <color rgb="FF7F7F7F"/>
        <sz val="8.0"/>
      </rPr>
      <t>숫자</t>
    </r>
    <r>
      <rPr>
        <rFont val="맑은 고딕"/>
        <i/>
        <color rgb="FF7F7F7F"/>
        <sz val="8.0"/>
      </rPr>
      <t>(100</t>
    </r>
    <r>
      <rPr>
        <rFont val="Noto Sans CJK SC"/>
        <i/>
        <color rgb="FF7F7F7F"/>
        <sz val="8.0"/>
      </rPr>
      <t>점</t>
    </r>
    <r>
      <rPr>
        <rFont val="맑은 고딕"/>
        <i/>
        <color rgb="FF7F7F7F"/>
        <sz val="8.0"/>
      </rPr>
      <t>)</t>
    </r>
  </si>
  <si>
    <r>
      <rPr>
        <rFont val="Noto Sans CJK SC"/>
        <color rgb="FF000000"/>
        <sz val="9.0"/>
      </rPr>
      <t>계산</t>
    </r>
    <r>
      <rPr>
        <rFont val="맑은 고딕"/>
        <color rgb="FF000000"/>
        <sz val="9.0"/>
      </rPr>
      <t>·</t>
    </r>
    <r>
      <rPr>
        <rFont val="Noto Sans CJK SC"/>
        <color rgb="FF000000"/>
        <sz val="9.0"/>
      </rPr>
      <t>분모에서 제외</t>
    </r>
    <r>
      <rPr>
        <rFont val="맑은 고딕"/>
        <color rgb="FF000000"/>
        <sz val="9.0"/>
      </rPr>
      <t xml:space="preserve">, </t>
    </r>
    <r>
      <rPr>
        <rFont val="Noto Sans CJK SC"/>
        <color rgb="FF000000"/>
        <sz val="9.0"/>
      </rPr>
      <t xml:space="preserve">데이터 충족도 하락 </t>
    </r>
    <r>
      <rPr>
        <rFont val="맑은 고딕"/>
        <color rgb="FF000000"/>
        <sz val="9.0"/>
      </rPr>
      <t>(0</t>
    </r>
    <r>
      <rPr>
        <rFont val="Noto Sans CJK SC"/>
        <color rgb="FF000000"/>
        <sz val="9.0"/>
      </rPr>
      <t>점 처리 금지</t>
    </r>
    <r>
      <rPr>
        <rFont val="맑은 고딕"/>
        <color rgb="FF000000"/>
        <sz val="9.0"/>
      </rPr>
      <t>)</t>
    </r>
  </si>
  <si>
    <t>화공열역학</t>
  </si>
  <si>
    <r>
      <rPr>
        <rFont val="맑은 고딕"/>
        <color rgb="FF000000"/>
        <sz val="9.0"/>
      </rPr>
      <t xml:space="preserve">SSCA </t>
    </r>
    <r>
      <rPr>
        <rFont val="Noto Sans CJK SC"/>
        <color rgb="FF000000"/>
        <sz val="9.0"/>
      </rPr>
      <t>미응시</t>
    </r>
    <r>
      <rPr>
        <rFont val="맑은 고딕"/>
        <color rgb="FF000000"/>
        <sz val="9.0"/>
      </rPr>
      <t xml:space="preserve">, LMS </t>
    </r>
    <r>
      <rPr>
        <rFont val="Noto Sans CJK SC"/>
        <color rgb="FF000000"/>
        <sz val="9.0"/>
      </rPr>
      <t>미연동</t>
    </r>
  </si>
  <si>
    <t>제도상 대상이 아닐 때</t>
  </si>
  <si>
    <r>
      <rPr>
        <rFont val="Noto Sans CJK SC"/>
        <color rgb="FF1F3B8A"/>
        <sz val="10.0"/>
      </rPr>
      <t>과제</t>
    </r>
    <r>
      <rPr>
        <rFont val="맑은 고딕"/>
        <color rgb="FF1F3B8A"/>
        <sz val="10.0"/>
      </rPr>
      <t>·</t>
    </r>
    <r>
      <rPr>
        <rFont val="Noto Sans CJK SC"/>
        <color rgb="FF1F3B8A"/>
        <sz val="10.0"/>
      </rPr>
      <t>보고서형</t>
    </r>
  </si>
  <si>
    <r>
      <rPr>
        <rFont val="Noto Sans CJK SC"/>
        <color rgb="FF000000"/>
        <sz val="9.0"/>
      </rPr>
      <t>제외</t>
    </r>
    <r>
      <rPr>
        <rFont val="맑은 고딕"/>
        <color rgb="FF000000"/>
        <sz val="9.0"/>
      </rPr>
      <t xml:space="preserve">, </t>
    </r>
    <r>
      <rPr>
        <rFont val="Noto Sans CJK SC"/>
        <color rgb="FF000000"/>
        <sz val="9.0"/>
      </rPr>
      <t>불이익 없음</t>
    </r>
  </si>
  <si>
    <r>
      <rPr>
        <rFont val="Noto Sans CJK SC"/>
        <color rgb="FF000000"/>
        <sz val="9.0"/>
      </rPr>
      <t>비공학 전공의 공학인증</t>
    </r>
    <r>
      <rPr>
        <rFont val="맑은 고딕"/>
        <color rgb="FF000000"/>
        <sz val="9.0"/>
      </rPr>
      <t xml:space="preserve">, </t>
    </r>
    <r>
      <rPr>
        <rFont val="Noto Sans CJK SC"/>
        <color rgb="FF000000"/>
        <sz val="9.0"/>
      </rPr>
      <t>편입생 인증 비대상</t>
    </r>
  </si>
  <si>
    <r>
      <rPr>
        <rFont val="맑은 고딕"/>
        <b/>
        <color rgb="FF000000"/>
        <sz val="9.0"/>
      </rPr>
      <t>(</t>
    </r>
    <r>
      <rPr>
        <rFont val="Noto Sans CJK SC"/>
        <b/>
        <color rgb="FF000000"/>
        <sz val="9.0"/>
      </rPr>
      <t>미선택</t>
    </r>
    <r>
      <rPr>
        <rFont val="맑은 고딕"/>
        <b/>
        <color rgb="FF000000"/>
        <sz val="9.0"/>
      </rPr>
      <t>)</t>
    </r>
  </si>
  <si>
    <t>상태를 고르지 않음</t>
  </si>
  <si>
    <r>
      <rPr>
        <rFont val="Noto Sans CJK SC"/>
        <color rgb="FF000000"/>
        <sz val="9.0"/>
      </rPr>
      <t xml:space="preserve">미수집으로 간주 </t>
    </r>
    <r>
      <rPr>
        <rFont val="맑은 고딕"/>
        <color rgb="FF000000"/>
        <sz val="9.0"/>
      </rPr>
      <t xml:space="preserve">+ </t>
    </r>
    <r>
      <rPr>
        <rFont val="Noto Sans CJK SC"/>
        <color rgb="FF000000"/>
        <sz val="9.0"/>
      </rPr>
      <t>자동점검 표시</t>
    </r>
  </si>
  <si>
    <r>
      <rPr>
        <rFont val="Noto Sans CJK SC"/>
        <b/>
        <color rgb="FF000000"/>
        <sz val="11.0"/>
      </rPr>
      <t>수강과목</t>
    </r>
    <r>
      <rPr>
        <rFont val="맑은 고딕"/>
        <b/>
        <color rgb="FF000000"/>
        <sz val="11.0"/>
      </rPr>
      <t>·</t>
    </r>
    <r>
      <rPr>
        <rFont val="Noto Sans CJK SC"/>
        <b/>
        <color rgb="FF000000"/>
        <sz val="11.0"/>
      </rPr>
      <t>심화</t>
    </r>
    <r>
      <rPr>
        <rFont val="맑은 고딕"/>
        <b/>
        <color rgb="FF000000"/>
        <sz val="11.0"/>
      </rPr>
      <t>·</t>
    </r>
    <r>
      <rPr>
        <rFont val="Noto Sans CJK SC"/>
        <b/>
        <color rgb="FF000000"/>
        <sz val="11.0"/>
      </rPr>
      <t>융합 이수</t>
    </r>
  </si>
  <si>
    <r>
      <rPr>
        <rFont val="Noto Sans CJK SC"/>
        <color rgb="FF595959"/>
        <sz val="9.0"/>
      </rPr>
      <t>※ 항목 단위 규칙</t>
    </r>
    <r>
      <rPr>
        <rFont val="맑은 고딕"/>
        <color rgb="FF595959"/>
        <sz val="9.0"/>
      </rPr>
      <t xml:space="preserve">: </t>
    </r>
    <r>
      <rPr>
        <rFont val="Noto Sans CJK SC"/>
        <color rgb="FF595959"/>
        <sz val="9.0"/>
      </rPr>
      <t xml:space="preserve">상태가 </t>
    </r>
    <r>
      <rPr>
        <rFont val="맑은 고딕"/>
        <color rgb="FF595959"/>
        <sz val="9.0"/>
      </rPr>
      <t>'</t>
    </r>
    <r>
      <rPr>
        <rFont val="Noto Sans CJK SC"/>
        <color rgb="FF595959"/>
        <sz val="9.0"/>
      </rPr>
      <t>값 있음</t>
    </r>
    <r>
      <rPr>
        <rFont val="맑은 고딕"/>
        <color rgb="FF595959"/>
        <sz val="9.0"/>
      </rPr>
      <t>'</t>
    </r>
    <r>
      <rPr>
        <rFont val="Noto Sans CJK SC"/>
        <color rgb="FF595959"/>
        <sz val="9.0"/>
      </rPr>
      <t>인 카테고리 안에서 일부 칸만 빈 경우</t>
    </r>
    <r>
      <rPr>
        <rFont val="맑은 고딕"/>
        <color rgb="FF595959"/>
        <sz val="9.0"/>
      </rPr>
      <t xml:space="preserve">, </t>
    </r>
    <r>
      <rPr>
        <rFont val="Noto Sans CJK SC"/>
        <color rgb="FF595959"/>
        <sz val="9.0"/>
      </rPr>
      <t>그 칸만 미수집으로 봅니다</t>
    </r>
    <r>
      <rPr>
        <rFont val="맑은 고딕"/>
        <color rgb="FF595959"/>
        <sz val="9.0"/>
      </rPr>
      <t xml:space="preserve">. </t>
    </r>
    <r>
      <rPr>
        <rFont val="Noto Sans CJK SC"/>
        <color rgb="FF595959"/>
        <sz val="9.0"/>
      </rPr>
      <t xml:space="preserve">수치 </t>
    </r>
    <r>
      <rPr>
        <rFont val="맑은 고딕"/>
        <color rgb="FF595959"/>
        <sz val="9.0"/>
      </rPr>
      <t>0</t>
    </r>
    <r>
      <rPr>
        <rFont val="Noto Sans CJK SC"/>
        <color rgb="FF595959"/>
        <sz val="9.0"/>
      </rPr>
      <t xml:space="preserve">은 </t>
    </r>
    <r>
      <rPr>
        <rFont val="맑은 고딕"/>
        <color rgb="FF595959"/>
        <sz val="9.0"/>
      </rPr>
      <t>'</t>
    </r>
    <r>
      <rPr>
        <rFont val="Noto Sans CJK SC"/>
        <color rgb="FF595959"/>
        <sz val="9.0"/>
      </rPr>
      <t xml:space="preserve">측정된 </t>
    </r>
    <r>
      <rPr>
        <rFont val="맑은 고딕"/>
        <color rgb="FF595959"/>
        <sz val="9.0"/>
      </rPr>
      <t>0'(</t>
    </r>
    <r>
      <rPr>
        <rFont val="Noto Sans CJK SC"/>
        <color rgb="FF595959"/>
        <sz val="9.0"/>
      </rPr>
      <t>값 있음</t>
    </r>
    <r>
      <rPr>
        <rFont val="맑은 고딕"/>
        <color rgb="FF595959"/>
        <sz val="9.0"/>
      </rPr>
      <t>)</t>
    </r>
    <r>
      <rPr>
        <rFont val="Noto Sans CJK SC"/>
        <color rgb="FF595959"/>
        <sz val="9.0"/>
      </rPr>
      <t>입니다</t>
    </r>
    <r>
      <rPr>
        <rFont val="맑은 고딕"/>
        <color rgb="FF595959"/>
        <sz val="9.0"/>
      </rPr>
      <t>.</t>
    </r>
  </si>
  <si>
    <r>
      <rPr>
        <rFont val="Noto Sans CJK SC"/>
        <b/>
        <color rgb="FFFFFFFF"/>
        <sz val="10.0"/>
      </rPr>
      <t>허용값</t>
    </r>
    <r>
      <rPr>
        <rFont val="맑은 고딕"/>
        <b/>
        <color rgb="FFFFFFFF"/>
        <sz val="10.0"/>
      </rPr>
      <t>(</t>
    </r>
    <r>
      <rPr>
        <rFont val="Noto Sans CJK SC"/>
        <b/>
        <color rgb="FFFFFFFF"/>
        <sz val="10.0"/>
      </rPr>
      <t>드롭다운</t>
    </r>
    <r>
      <rPr>
        <rFont val="맑은 고딕"/>
        <b/>
        <color rgb="FFFFFFFF"/>
        <sz val="10.0"/>
      </rPr>
      <t>)</t>
    </r>
  </si>
  <si>
    <t>기본</t>
  </si>
  <si>
    <t>학생 기본정보</t>
  </si>
  <si>
    <r>
      <rPr>
        <rFont val="Noto Sans CJK SC"/>
        <color rgb="FF000000"/>
        <sz val="9.0"/>
      </rPr>
      <t xml:space="preserve">학부 </t>
    </r>
    <r>
      <rPr>
        <rFont val="맑은 고딕"/>
        <color rgb="FF000000"/>
        <sz val="9.0"/>
      </rPr>
      <t xml:space="preserve">/ </t>
    </r>
    <r>
      <rPr>
        <rFont val="Noto Sans CJK SC"/>
        <color rgb="FF000000"/>
        <sz val="9.0"/>
      </rPr>
      <t xml:space="preserve">석사 </t>
    </r>
    <r>
      <rPr>
        <rFont val="맑은 고딕"/>
        <color rgb="FF000000"/>
        <sz val="9.0"/>
      </rPr>
      <t xml:space="preserve">/ </t>
    </r>
    <r>
      <rPr>
        <rFont val="Noto Sans CJK SC"/>
        <color rgb="FF000000"/>
        <sz val="9.0"/>
      </rPr>
      <t xml:space="preserve">박사 </t>
    </r>
    <r>
      <rPr>
        <rFont val="맑은 고딕"/>
        <color rgb="FF000000"/>
        <sz val="9.0"/>
      </rPr>
      <t xml:space="preserve">/ </t>
    </r>
    <r>
      <rPr>
        <rFont val="Noto Sans CJK SC"/>
        <color rgb="FF000000"/>
        <sz val="9.0"/>
      </rPr>
      <t>석박통합</t>
    </r>
  </si>
  <si>
    <r>
      <rPr>
        <rFont val="Noto Sans CJK SC"/>
        <color rgb="FF000000"/>
        <sz val="9.0"/>
      </rPr>
      <t xml:space="preserve">신입학 </t>
    </r>
    <r>
      <rPr>
        <rFont val="맑은 고딕"/>
        <color rgb="FF000000"/>
        <sz val="9.0"/>
      </rPr>
      <t xml:space="preserve">/ </t>
    </r>
    <r>
      <rPr>
        <rFont val="Noto Sans CJK SC"/>
        <color rgb="FF000000"/>
        <sz val="9.0"/>
      </rPr>
      <t xml:space="preserve">편입학 </t>
    </r>
    <r>
      <rPr>
        <rFont val="맑은 고딕"/>
        <color rgb="FF000000"/>
        <sz val="9.0"/>
      </rPr>
      <t xml:space="preserve">/ </t>
    </r>
    <r>
      <rPr>
        <rFont val="Noto Sans CJK SC"/>
        <color rgb="FF000000"/>
        <sz val="9.0"/>
      </rPr>
      <t>재입학</t>
    </r>
  </si>
  <si>
    <r>
      <rPr>
        <rFont val="Noto Sans CJK SC"/>
        <color rgb="FF000000"/>
        <sz val="9.0"/>
      </rPr>
      <t xml:space="preserve">재학 </t>
    </r>
    <r>
      <rPr>
        <rFont val="맑은 고딕"/>
        <color rgb="FF000000"/>
        <sz val="9.0"/>
      </rPr>
      <t xml:space="preserve">/ </t>
    </r>
    <r>
      <rPr>
        <rFont val="Noto Sans CJK SC"/>
        <color rgb="FF000000"/>
        <sz val="9.0"/>
      </rPr>
      <t xml:space="preserve">휴학 </t>
    </r>
    <r>
      <rPr>
        <rFont val="맑은 고딕"/>
        <color rgb="FF000000"/>
        <sz val="9.0"/>
      </rPr>
      <t xml:space="preserve">/ </t>
    </r>
    <r>
      <rPr>
        <rFont val="Noto Sans CJK SC"/>
        <color rgb="FF000000"/>
        <sz val="9.0"/>
      </rPr>
      <t>수료</t>
    </r>
  </si>
  <si>
    <t>Y / N</t>
  </si>
  <si>
    <r>
      <rPr>
        <rFont val="Noto Sans CJK SC"/>
        <color rgb="FF000000"/>
        <sz val="9.0"/>
      </rPr>
      <t xml:space="preserve">시스템 연동 </t>
    </r>
    <r>
      <rPr>
        <rFont val="맑은 고딕"/>
        <color rgb="FF000000"/>
        <sz val="9.0"/>
      </rPr>
      <t xml:space="preserve">/ </t>
    </r>
    <r>
      <rPr>
        <rFont val="Noto Sans CJK SC"/>
        <color rgb="FF000000"/>
        <sz val="9.0"/>
      </rPr>
      <t xml:space="preserve">학생 직접 입력 </t>
    </r>
    <r>
      <rPr>
        <rFont val="맑은 고딕"/>
        <color rgb="FF000000"/>
        <sz val="9.0"/>
      </rPr>
      <t xml:space="preserve">/ </t>
    </r>
    <r>
      <rPr>
        <rFont val="Noto Sans CJK SC"/>
        <color rgb="FF000000"/>
        <sz val="9.0"/>
      </rPr>
      <t>혼합</t>
    </r>
  </si>
  <si>
    <r>
      <rPr>
        <rFont val="Noto Sans CJK SC"/>
        <i/>
        <color rgb="FF7F7F7F"/>
        <sz val="8.0"/>
      </rPr>
      <t>출처</t>
    </r>
    <r>
      <rPr>
        <rFont val="맑은 고딕"/>
        <i/>
        <color rgb="FF7F7F7F"/>
        <sz val="8.0"/>
      </rPr>
      <t xml:space="preserve">: </t>
    </r>
    <r>
      <rPr>
        <rFont val="Noto Sans CJK SC"/>
        <i/>
        <color rgb="FF7F7F7F"/>
        <sz val="8.0"/>
      </rPr>
      <t>학사시스템</t>
    </r>
    <r>
      <rPr>
        <rFont val="맑은 고딕"/>
        <i/>
        <color rgb="FF7F7F7F"/>
        <sz val="8.0"/>
      </rPr>
      <t>(</t>
    </r>
    <r>
      <rPr>
        <rFont val="Noto Sans CJK SC"/>
        <i/>
        <color rgb="FF7F7F7F"/>
        <sz val="8.0"/>
      </rPr>
      <t>수강내역</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탐구력 </t>
    </r>
    <r>
      <rPr>
        <rFont val="맑은 고딕"/>
        <i/>
        <color rgb="FF7F7F7F"/>
        <sz val="8.0"/>
      </rPr>
      <t xml:space="preserve">/ </t>
    </r>
    <r>
      <rPr>
        <rFont val="Noto Sans CJK SC"/>
        <i/>
        <color rgb="FF7F7F7F"/>
        <sz val="8.0"/>
      </rPr>
      <t>종합적사고력</t>
    </r>
    <r>
      <rPr>
        <rFont val="맑은 고딕"/>
        <i/>
        <color rgb="FF7F7F7F"/>
        <sz val="8.0"/>
      </rPr>
      <t>(</t>
    </r>
    <r>
      <rPr>
        <rFont val="Noto Sans CJK SC"/>
        <i/>
        <color rgb="FF7F7F7F"/>
        <sz val="8.0"/>
      </rPr>
      <t>융합적 사고</t>
    </r>
    <r>
      <rPr>
        <rFont val="맑은 고딕"/>
        <i/>
        <color rgb="FF7F7F7F"/>
        <sz val="8.0"/>
      </rPr>
      <t xml:space="preserve">) /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마인드맵의 </t>
    </r>
    <r>
      <rPr>
        <rFont val="맑은 고딕"/>
        <i/>
        <color rgb="FF7F7F7F"/>
        <sz val="8.0"/>
      </rPr>
      <t>'</t>
    </r>
    <r>
      <rPr>
        <rFont val="Noto Sans CJK SC"/>
        <i/>
        <color rgb="FF7F7F7F"/>
        <sz val="8.0"/>
      </rPr>
      <t>융합 전공</t>
    </r>
    <r>
      <rPr>
        <rFont val="맑은 고딕"/>
        <i/>
        <color rgb="FF7F7F7F"/>
        <sz val="8.0"/>
      </rPr>
      <t>'</t>
    </r>
    <r>
      <rPr>
        <rFont val="Noto Sans CJK SC"/>
        <i/>
        <color rgb="FF7F7F7F"/>
        <sz val="8.0"/>
      </rPr>
      <t>은 기존 데이터셋에 없음 → 수강내역에서 도출</t>
    </r>
  </si>
  <si>
    <r>
      <rPr>
        <rFont val="Noto Sans CJK SC"/>
        <color rgb="FF000000"/>
        <sz val="9.0"/>
      </rPr>
      <t>개인정보 수집</t>
    </r>
    <r>
      <rPr>
        <rFont val="맑은 고딕"/>
        <color rgb="FF000000"/>
        <sz val="9.0"/>
      </rPr>
      <t>·</t>
    </r>
    <r>
      <rPr>
        <rFont val="Noto Sans CJK SC"/>
        <color rgb="FF000000"/>
        <sz val="9.0"/>
      </rPr>
      <t>이용 동의</t>
    </r>
  </si>
  <si>
    <t>측정지표 데이터 카테고리 마스터 (성균관대학교 기준 · 기존 + SKKU 확보가능 + 추가 제안)</t>
  </si>
  <si>
    <r>
      <rPr>
        <rFont val="Noto Sans CJK SC"/>
        <color rgb="FF000000"/>
        <sz val="9.0"/>
      </rPr>
      <t xml:space="preserve">발표형 </t>
    </r>
    <r>
      <rPr>
        <rFont val="맑은 고딕"/>
        <color rgb="FF000000"/>
        <sz val="9.0"/>
      </rPr>
      <t xml:space="preserve">/ </t>
    </r>
    <r>
      <rPr>
        <rFont val="Noto Sans CJK SC"/>
        <color rgb="FF000000"/>
        <sz val="9.0"/>
      </rPr>
      <t xml:space="preserve">토론형 </t>
    </r>
    <r>
      <rPr>
        <rFont val="맑은 고딕"/>
        <color rgb="FF000000"/>
        <sz val="9.0"/>
      </rPr>
      <t xml:space="preserve">/ </t>
    </r>
    <r>
      <rPr>
        <rFont val="Noto Sans CJK SC"/>
        <color rgb="FF000000"/>
        <sz val="9.0"/>
      </rPr>
      <t>과제</t>
    </r>
    <r>
      <rPr>
        <rFont val="맑은 고딕"/>
        <color rgb="FF000000"/>
        <sz val="9.0"/>
      </rPr>
      <t>·</t>
    </r>
    <r>
      <rPr>
        <rFont val="Noto Sans CJK SC"/>
        <color rgb="FF000000"/>
        <sz val="9.0"/>
      </rPr>
      <t xml:space="preserve">보고서형 </t>
    </r>
    <r>
      <rPr>
        <rFont val="맑은 고딕"/>
        <color rgb="FF000000"/>
        <sz val="9.0"/>
      </rPr>
      <t>/ PBL</t>
    </r>
    <r>
      <rPr>
        <rFont val="Noto Sans CJK SC"/>
        <color rgb="FF000000"/>
        <sz val="9.0"/>
      </rPr>
      <t>형</t>
    </r>
  </si>
  <si>
    <r>
      <rPr>
        <rFont val="Noto Sans CJK SC"/>
        <color rgb="FF7F7F7F"/>
        <sz val="9.0"/>
      </rPr>
      <t>예</t>
    </r>
    <r>
      <rPr>
        <rFont val="맑은 고딕"/>
        <color rgb="FF7F7F7F"/>
        <sz val="9.0"/>
      </rPr>
      <t>: 124</t>
    </r>
  </si>
  <si>
    <t>A+ / A0 / B+ / B0 / C+ / C0 / D+ / D0 / F / P</t>
  </si>
  <si>
    <t>범례:  흰색 = 기존 데이터셋 항목(성균관대 항목과 통합된 경우 포함)  |  하늘색 = 성균관대 시스템에서 새로 확보 가능  |  연노랑 = 평가 품질을 위해 추가 제안</t>
  </si>
  <si>
    <r>
      <rPr>
        <rFont val="Noto Sans CJK SC"/>
        <color rgb="FF7F7F7F"/>
        <sz val="9.0"/>
      </rPr>
      <t xml:space="preserve">없으면 </t>
    </r>
    <r>
      <rPr>
        <rFont val="맑은 고딕"/>
        <color rgb="FF7F7F7F"/>
        <sz val="9.0"/>
      </rPr>
      <t>0</t>
    </r>
  </si>
  <si>
    <r>
      <rPr>
        <rFont val="Noto Sans CJK SC"/>
        <color rgb="FF000000"/>
        <sz val="9.0"/>
      </rPr>
      <t>수강과목</t>
    </r>
    <r>
      <rPr>
        <rFont val="맑은 고딕"/>
        <color rgb="FF000000"/>
        <sz val="9.0"/>
      </rPr>
      <t>·</t>
    </r>
    <r>
      <rPr>
        <rFont val="Noto Sans CJK SC"/>
        <color rgb="FF000000"/>
        <sz val="9.0"/>
      </rPr>
      <t>심화</t>
    </r>
    <r>
      <rPr>
        <rFont val="맑은 고딕"/>
        <color rgb="FF000000"/>
        <sz val="9.0"/>
      </rPr>
      <t>·</t>
    </r>
    <r>
      <rPr>
        <rFont val="Noto Sans CJK SC"/>
        <color rgb="FF000000"/>
        <sz val="9.0"/>
      </rPr>
      <t>융합 이수</t>
    </r>
  </si>
  <si>
    <r>
      <rPr>
        <rFont val="Noto Sans CJK SC"/>
        <color rgb="FF000000"/>
        <sz val="9.0"/>
      </rPr>
      <t xml:space="preserve">주전공 </t>
    </r>
    <r>
      <rPr>
        <rFont val="맑은 고딕"/>
        <color rgb="FF000000"/>
        <sz val="9.0"/>
      </rPr>
      <t xml:space="preserve">/ </t>
    </r>
    <r>
      <rPr>
        <rFont val="Noto Sans CJK SC"/>
        <color rgb="FF000000"/>
        <sz val="9.0"/>
      </rPr>
      <t xml:space="preserve">복수전공 </t>
    </r>
    <r>
      <rPr>
        <rFont val="맑은 고딕"/>
        <color rgb="FF000000"/>
        <sz val="9.0"/>
      </rPr>
      <t xml:space="preserve">/ </t>
    </r>
    <r>
      <rPr>
        <rFont val="Noto Sans CJK SC"/>
        <color rgb="FF000000"/>
        <sz val="9.0"/>
      </rPr>
      <t xml:space="preserve">부전공 </t>
    </r>
    <r>
      <rPr>
        <rFont val="맑은 고딕"/>
        <color rgb="FF000000"/>
        <sz val="9.0"/>
      </rPr>
      <t xml:space="preserve">/ </t>
    </r>
    <r>
      <rPr>
        <rFont val="Noto Sans CJK SC"/>
        <color rgb="FF000000"/>
        <sz val="9.0"/>
      </rPr>
      <t xml:space="preserve">연계전공 </t>
    </r>
    <r>
      <rPr>
        <rFont val="맑은 고딕"/>
        <color rgb="FF000000"/>
        <sz val="9.0"/>
      </rPr>
      <t xml:space="preserve">/ </t>
    </r>
    <r>
      <rPr>
        <rFont val="Noto Sans CJK SC"/>
        <color rgb="FF000000"/>
        <sz val="9.0"/>
      </rPr>
      <t xml:space="preserve">융합전공 </t>
    </r>
    <r>
      <rPr>
        <rFont val="맑은 고딕"/>
        <color rgb="FF000000"/>
        <sz val="9.0"/>
      </rPr>
      <t xml:space="preserve">/ </t>
    </r>
    <r>
      <rPr>
        <rFont val="Noto Sans CJK SC"/>
        <color rgb="FF000000"/>
        <sz val="9.0"/>
      </rPr>
      <t>심화전공</t>
    </r>
  </si>
  <si>
    <r>
      <rPr>
        <rFont val="Noto Sans CJK SC"/>
        <color rgb="FF000000"/>
        <sz val="9.0"/>
      </rPr>
      <t>수강과목</t>
    </r>
    <r>
      <rPr>
        <rFont val="맑은 고딕"/>
        <color rgb="FF000000"/>
        <sz val="9.0"/>
      </rPr>
      <t>·</t>
    </r>
    <r>
      <rPr>
        <rFont val="Noto Sans CJK SC"/>
        <color rgb="FF000000"/>
        <sz val="9.0"/>
      </rPr>
      <t>심화</t>
    </r>
    <r>
      <rPr>
        <rFont val="맑은 고딕"/>
        <color rgb="FF000000"/>
        <sz val="9.0"/>
      </rPr>
      <t>·</t>
    </r>
    <r>
      <rPr>
        <rFont val="Noto Sans CJK SC"/>
        <color rgb="FF000000"/>
        <sz val="9.0"/>
      </rPr>
      <t>융합 이수</t>
    </r>
  </si>
  <si>
    <r>
      <rPr>
        <rFont val="맑은 고딕"/>
        <i/>
        <color rgb="FF7F7F7F"/>
        <sz val="8.0"/>
      </rPr>
      <t>[</t>
    </r>
    <r>
      <rPr>
        <rFont val="Noto Sans CJK SC"/>
        <i/>
        <color rgb="FF7F7F7F"/>
        <sz val="8.0"/>
      </rPr>
      <t xml:space="preserve">주전공 </t>
    </r>
    <r>
      <rPr>
        <rFont val="맑은 고딕"/>
        <i/>
        <color rgb="FF7F7F7F"/>
        <sz val="8.0"/>
      </rPr>
      <t xml:space="preserve">/ </t>
    </r>
    <r>
      <rPr>
        <rFont val="Noto Sans CJK SC"/>
        <i/>
        <color rgb="FF7F7F7F"/>
        <sz val="8.0"/>
      </rPr>
      <t xml:space="preserve">복수전공 </t>
    </r>
    <r>
      <rPr>
        <rFont val="맑은 고딕"/>
        <i/>
        <color rgb="FF7F7F7F"/>
        <sz val="8.0"/>
      </rPr>
      <t xml:space="preserve">/ </t>
    </r>
    <r>
      <rPr>
        <rFont val="Noto Sans CJK SC"/>
        <i/>
        <color rgb="FF7F7F7F"/>
        <sz val="8.0"/>
      </rPr>
      <t xml:space="preserve">부전공 </t>
    </r>
    <r>
      <rPr>
        <rFont val="맑은 고딕"/>
        <i/>
        <color rgb="FF7F7F7F"/>
        <sz val="8.0"/>
      </rPr>
      <t xml:space="preserve">/ </t>
    </r>
    <r>
      <rPr>
        <rFont val="Noto Sans CJK SC"/>
        <i/>
        <color rgb="FF7F7F7F"/>
        <sz val="8.0"/>
      </rPr>
      <t xml:space="preserve">연계전공 </t>
    </r>
    <r>
      <rPr>
        <rFont val="맑은 고딕"/>
        <i/>
        <color rgb="FF7F7F7F"/>
        <sz val="8.0"/>
      </rPr>
      <t xml:space="preserve">/ </t>
    </r>
    <r>
      <rPr>
        <rFont val="Noto Sans CJK SC"/>
        <i/>
        <color rgb="FF7F7F7F"/>
        <sz val="8.0"/>
      </rPr>
      <t xml:space="preserve">융합전공 </t>
    </r>
    <r>
      <rPr>
        <rFont val="맑은 고딕"/>
        <i/>
        <color rgb="FF7F7F7F"/>
        <sz val="8.0"/>
      </rPr>
      <t xml:space="preserve">/ </t>
    </r>
    <r>
      <rPr>
        <rFont val="Noto Sans CJK SC"/>
        <i/>
        <color rgb="FF7F7F7F"/>
        <sz val="8.0"/>
      </rPr>
      <t>심화전공</t>
    </r>
    <r>
      <rPr>
        <rFont val="맑은 고딕"/>
        <i/>
        <color rgb="FF7F7F7F"/>
        <sz val="8.0"/>
      </rPr>
      <t>]</t>
    </r>
  </si>
  <si>
    <r>
      <rPr>
        <rFont val="맑은 고딕"/>
        <i/>
        <color rgb="FF7F7F7F"/>
        <sz val="8.0"/>
      </rPr>
      <t>[</t>
    </r>
    <r>
      <rPr>
        <rFont val="Noto Sans CJK SC"/>
        <i/>
        <color rgb="FF7F7F7F"/>
        <sz val="8.0"/>
      </rPr>
      <t xml:space="preserve">신청 </t>
    </r>
    <r>
      <rPr>
        <rFont val="맑은 고딕"/>
        <i/>
        <color rgb="FF7F7F7F"/>
        <sz val="8.0"/>
      </rPr>
      <t xml:space="preserve">/ </t>
    </r>
    <r>
      <rPr>
        <rFont val="Noto Sans CJK SC"/>
        <i/>
        <color rgb="FF7F7F7F"/>
        <sz val="8.0"/>
      </rPr>
      <t xml:space="preserve">이수중 </t>
    </r>
    <r>
      <rPr>
        <rFont val="맑은 고딕"/>
        <i/>
        <color rgb="FF7F7F7F"/>
        <sz val="8.0"/>
      </rPr>
      <t xml:space="preserve">/ </t>
    </r>
    <r>
      <rPr>
        <rFont val="Noto Sans CJK SC"/>
        <i/>
        <color rgb="FF7F7F7F"/>
        <sz val="8.0"/>
      </rPr>
      <t>이수완료</t>
    </r>
    <r>
      <rPr>
        <rFont val="맑은 고딕"/>
        <i/>
        <color rgb="FF7F7F7F"/>
        <sz val="8.0"/>
      </rPr>
      <t>]</t>
    </r>
  </si>
  <si>
    <t>화학공학</t>
  </si>
  <si>
    <t>설명(포함되는 세부 측정지표)</t>
  </si>
  <si>
    <t>데이터 형태</t>
  </si>
  <si>
    <t>수집 출처(시스템)</t>
  </si>
  <si>
    <t>관련 역량(마인드맵 기준)</t>
  </si>
  <si>
    <t>학업·교과</t>
  </si>
  <si>
    <t>성적데이터(전공·학기별)</t>
  </si>
  <si>
    <t>전공 평균성적, 학기별 성적 추이, 전체 평점</t>
  </si>
  <si>
    <t>수치</t>
  </si>
  <si>
    <t>학사시스템(성적)</t>
  </si>
  <si>
    <t>기존 + SKKU 확보가능</t>
  </si>
  <si>
    <t>학업성취 / 직무전문성</t>
  </si>
  <si>
    <r>
      <rPr>
        <rFont val="Arial"/>
        <color theme="1"/>
        <sz val="10.0"/>
      </rPr>
      <t xml:space="preserve">[C] </t>
    </r>
    <r>
      <rPr>
        <rFont val="Noto Sans CJK SC"/>
        <color theme="1"/>
        <sz val="10.0"/>
      </rPr>
      <t>전공별</t>
    </r>
    <r>
      <rPr>
        <rFont val="Arial"/>
        <color theme="1"/>
        <sz val="10.0"/>
      </rPr>
      <t>·</t>
    </r>
    <r>
      <rPr>
        <rFont val="Noto Sans CJK SC"/>
        <color theme="1"/>
        <sz val="10.0"/>
      </rPr>
      <t>학기별 성적 통합</t>
    </r>
    <r>
      <rPr>
        <rFont val="Arial"/>
        <color theme="1"/>
        <sz val="10.0"/>
      </rPr>
      <t xml:space="preserve">. </t>
    </r>
    <r>
      <rPr>
        <rFont val="Noto Sans CJK SC"/>
        <color theme="1"/>
        <sz val="10.0"/>
      </rPr>
      <t xml:space="preserve">학기별 추이로 </t>
    </r>
    <r>
      <rPr>
        <rFont val="Arial"/>
        <color theme="1"/>
        <sz val="10.0"/>
      </rPr>
      <t>'</t>
    </r>
    <r>
      <rPr>
        <rFont val="Noto Sans CJK SC"/>
        <color theme="1"/>
        <sz val="10.0"/>
      </rPr>
      <t>성장</t>
    </r>
    <r>
      <rPr>
        <rFont val="Arial"/>
        <color theme="1"/>
        <sz val="10.0"/>
      </rPr>
      <t xml:space="preserve">' </t>
    </r>
    <r>
      <rPr>
        <rFont val="Noto Sans CJK SC"/>
        <color theme="1"/>
        <sz val="10.0"/>
      </rPr>
      <t>지표 추가 가능</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</si>
  <si>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공학계열 한정 → 비대상 전공은 </t>
    </r>
    <r>
      <rPr>
        <rFont val="맑은 고딕"/>
        <i/>
        <color rgb="FF7F7F7F"/>
        <sz val="8.0"/>
      </rPr>
      <t>'</t>
    </r>
    <r>
      <rPr>
        <rFont val="Noto Sans CJK SC"/>
        <i/>
        <color rgb="FF7F7F7F"/>
        <sz val="8.0"/>
      </rPr>
      <t>해당 없음</t>
    </r>
    <r>
      <rPr>
        <rFont val="맑은 고딕"/>
        <i/>
        <color rgb="FF7F7F7F"/>
        <sz val="8.0"/>
      </rPr>
      <t xml:space="preserve">' </t>
    </r>
    <r>
      <rPr>
        <rFont val="Noto Sans CJK SC"/>
        <i/>
        <color rgb="FF7F7F7F"/>
        <sz val="8.0"/>
      </rPr>
      <t>처리</t>
    </r>
    <r>
      <rPr>
        <rFont val="맑은 고딕"/>
        <i/>
        <color rgb="FF7F7F7F"/>
        <sz val="8.0"/>
      </rPr>
      <t>(</t>
    </r>
    <r>
      <rPr>
        <rFont val="Noto Sans CJK SC"/>
        <i/>
        <color rgb="FF7F7F7F"/>
        <sz val="8.0"/>
      </rPr>
      <t>불이익 방지</t>
    </r>
    <r>
      <rPr>
        <rFont val="맑은 고딕"/>
        <i/>
        <color rgb="FF7F7F7F"/>
        <sz val="8.0"/>
      </rPr>
      <t>)</t>
    </r>
  </si>
  <si>
    <t>발표·토론 수업성적, 과제·보고서 평가점수</t>
  </si>
  <si>
    <t>수치·범주</t>
  </si>
  <si>
    <t>학사시스템(과목별 성적) + LMS(과제점수)</t>
  </si>
  <si>
    <r>
      <rPr>
        <rFont val="Noto Sans CJK SC"/>
        <color rgb="FF000000"/>
        <sz val="9.0"/>
      </rPr>
      <t xml:space="preserve">신청 </t>
    </r>
    <r>
      <rPr>
        <rFont val="맑은 고딕"/>
        <color rgb="FF000000"/>
        <sz val="9.0"/>
      </rPr>
      <t xml:space="preserve">/ </t>
    </r>
    <r>
      <rPr>
        <rFont val="Noto Sans CJK SC"/>
        <color rgb="FF000000"/>
        <sz val="9.0"/>
      </rPr>
      <t xml:space="preserve">이수중 </t>
    </r>
    <r>
      <rPr>
        <rFont val="맑은 고딕"/>
        <color rgb="FF000000"/>
        <sz val="9.0"/>
      </rPr>
      <t xml:space="preserve">/ </t>
    </r>
    <r>
      <rPr>
        <rFont val="Noto Sans CJK SC"/>
        <color rgb="FF000000"/>
        <sz val="9.0"/>
      </rPr>
      <t>이수완료</t>
    </r>
  </si>
  <si>
    <t>발표력 / 논리적사고 / 학업성취</t>
  </si>
  <si>
    <t>과목에 '발표형·토론형' 태그가 있어야 자동 분류 가능</t>
  </si>
  <si>
    <t>수강과목·심화·융합 이수</t>
  </si>
  <si>
    <t>수강과목 내역, 심화전공·심화과목 이수, 복수·연계·융합전공</t>
  </si>
  <si>
    <t>범주</t>
  </si>
  <si>
    <r>
      <rPr>
        <rFont val="Noto Sans CJK SC"/>
        <color rgb="FF000000"/>
        <sz val="9.0"/>
      </rPr>
      <t xml:space="preserve">대상 </t>
    </r>
    <r>
      <rPr>
        <rFont val="맑은 고딕"/>
        <color rgb="FF000000"/>
        <sz val="9.0"/>
      </rPr>
      <t xml:space="preserve">/ </t>
    </r>
    <r>
      <rPr>
        <rFont val="Noto Sans CJK SC"/>
        <color rgb="FF000000"/>
        <sz val="9.0"/>
      </rPr>
      <t>비대상</t>
    </r>
  </si>
  <si>
    <t>학사시스템(수강내역)</t>
  </si>
  <si>
    <t>탐구력 / 종합적사고력(융합적 사고) / 직무전문성</t>
  </si>
  <si>
    <t>마인드맵의 '융합 전공'은 기존 데이터셋에 없음 → 수강내역에서 도출</t>
  </si>
  <si>
    <r>
      <rPr>
        <rFont val="Noto Sans CJK SC"/>
        <color rgb="FF000000"/>
        <sz val="9.0"/>
      </rPr>
      <t xml:space="preserve">이수중 </t>
    </r>
    <r>
      <rPr>
        <rFont val="맑은 고딕"/>
        <color rgb="FF000000"/>
        <sz val="9.0"/>
      </rPr>
      <t xml:space="preserve">/ </t>
    </r>
    <r>
      <rPr>
        <rFont val="Noto Sans CJK SC"/>
        <color rgb="FF000000"/>
        <sz val="9.0"/>
      </rPr>
      <t xml:space="preserve">이수완료 </t>
    </r>
    <r>
      <rPr>
        <rFont val="맑은 고딕"/>
        <color rgb="FF000000"/>
        <sz val="9.0"/>
      </rPr>
      <t xml:space="preserve">/ </t>
    </r>
    <r>
      <rPr>
        <rFont val="Noto Sans CJK SC"/>
        <color rgb="FF000000"/>
        <sz val="9.0"/>
      </rPr>
      <t xml:space="preserve">미이수 </t>
    </r>
    <r>
      <rPr>
        <rFont val="맑은 고딕"/>
        <color rgb="FF000000"/>
        <sz val="9.0"/>
      </rPr>
      <t xml:space="preserve">/ </t>
    </r>
    <r>
      <rPr>
        <rFont val="Noto Sans CJK SC"/>
        <color rgb="FF000000"/>
        <sz val="9.0"/>
      </rPr>
      <t>포기</t>
    </r>
  </si>
  <si>
    <r>
      <rPr>
        <rFont val="Noto Sans CJK SC"/>
        <color rgb="FF000000"/>
        <sz val="9.0"/>
      </rPr>
      <t>학회</t>
    </r>
    <r>
      <rPr>
        <rFont val="맑은 고딕"/>
        <color rgb="FF000000"/>
        <sz val="9.0"/>
      </rPr>
      <t>·</t>
    </r>
    <r>
      <rPr>
        <rFont val="Noto Sans CJK SC"/>
        <color rgb="FF000000"/>
        <sz val="9.0"/>
      </rPr>
      <t>연구활동</t>
    </r>
  </si>
  <si>
    <r>
      <rPr>
        <rFont val="Noto Sans CJK SC"/>
        <color rgb="FF7F7F7F"/>
        <sz val="9.0"/>
      </rPr>
      <t xml:space="preserve">비대상 전공이면 상태를 </t>
    </r>
    <r>
      <rPr>
        <rFont val="맑은 고딕"/>
        <color rgb="FF7F7F7F"/>
        <sz val="9.0"/>
      </rPr>
      <t>'</t>
    </r>
    <r>
      <rPr>
        <rFont val="Noto Sans CJK SC"/>
        <color rgb="FF7F7F7F"/>
        <sz val="9.0"/>
      </rPr>
      <t>해당 없음</t>
    </r>
    <r>
      <rPr>
        <rFont val="맑은 고딕"/>
        <color rgb="FF7F7F7F"/>
        <sz val="9.0"/>
      </rPr>
      <t>'</t>
    </r>
    <r>
      <rPr>
        <rFont val="Noto Sans CJK SC"/>
        <color rgb="FF7F7F7F"/>
        <sz val="9.0"/>
      </rPr>
      <t xml:space="preserve">으로  </t>
    </r>
    <r>
      <rPr>
        <rFont val="맑은 고딕"/>
        <color rgb="FF7F7F7F"/>
        <sz val="9.0"/>
      </rPr>
      <t>[</t>
    </r>
    <r>
      <rPr>
        <rFont val="Noto Sans CJK SC"/>
        <color rgb="FF7F7F7F"/>
        <sz val="9.0"/>
      </rPr>
      <t xml:space="preserve">대상 </t>
    </r>
    <r>
      <rPr>
        <rFont val="맑은 고딕"/>
        <color rgb="FF7F7F7F"/>
        <sz val="9.0"/>
      </rPr>
      <t xml:space="preserve">/ </t>
    </r>
    <r>
      <rPr>
        <rFont val="Noto Sans CJK SC"/>
        <color rgb="FF7F7F7F"/>
        <sz val="9.0"/>
      </rPr>
      <t>비대상</t>
    </r>
    <r>
      <rPr>
        <rFont val="맑은 고딕"/>
        <color rgb="FF7F7F7F"/>
        <sz val="9.0"/>
      </rPr>
      <t>]</t>
    </r>
  </si>
  <si>
    <r>
      <rPr>
        <rFont val="Noto Sans CJK SC"/>
        <color rgb="FF000000"/>
        <sz val="9.0"/>
      </rPr>
      <t xml:space="preserve">학부연구생 </t>
    </r>
    <r>
      <rPr>
        <rFont val="맑은 고딕"/>
        <color rgb="FF000000"/>
        <sz val="9.0"/>
      </rPr>
      <t xml:space="preserve">/ URP / </t>
    </r>
    <r>
      <rPr>
        <rFont val="Noto Sans CJK SC"/>
        <color rgb="FF000000"/>
        <sz val="9.0"/>
      </rPr>
      <t xml:space="preserve">학회 </t>
    </r>
    <r>
      <rPr>
        <rFont val="맑은 고딕"/>
        <color rgb="FF000000"/>
        <sz val="9.0"/>
      </rPr>
      <t xml:space="preserve">/ </t>
    </r>
    <r>
      <rPr>
        <rFont val="Noto Sans CJK SC"/>
        <color rgb="FF000000"/>
        <sz val="9.0"/>
      </rPr>
      <t xml:space="preserve">연구실 인턴 </t>
    </r>
    <r>
      <rPr>
        <rFont val="맑은 고딕"/>
        <color rgb="FF000000"/>
        <sz val="9.0"/>
      </rPr>
      <t xml:space="preserve">/ </t>
    </r>
    <r>
      <rPr>
        <rFont val="Noto Sans CJK SC"/>
        <color rgb="FF000000"/>
        <sz val="9.0"/>
      </rPr>
      <t>팀연구프로젝트</t>
    </r>
  </si>
  <si>
    <t>공학교육인증 프로그램 이수 여부</t>
  </si>
  <si>
    <r>
      <rPr>
        <rFont val="Noto Sans CJK SC"/>
        <color rgb="FF000000"/>
        <sz val="9.0"/>
      </rPr>
      <t>정보탐색 결과물</t>
    </r>
    <r>
      <rPr>
        <rFont val="맑은 고딕"/>
        <color rgb="FF000000"/>
        <sz val="9.0"/>
      </rPr>
      <t>(</t>
    </r>
    <r>
      <rPr>
        <rFont val="Noto Sans CJK SC"/>
        <color rgb="FF000000"/>
        <sz val="9.0"/>
      </rPr>
      <t>논문</t>
    </r>
    <r>
      <rPr>
        <rFont val="맑은 고딕"/>
        <color rgb="FF000000"/>
        <sz val="9.0"/>
      </rPr>
      <t>·</t>
    </r>
    <r>
      <rPr>
        <rFont val="Noto Sans CJK SC"/>
        <color rgb="FF000000"/>
        <sz val="9.0"/>
      </rPr>
      <t>보고서</t>
    </r>
    <r>
      <rPr>
        <rFont val="맑은 고딕"/>
        <color rgb="FF000000"/>
        <sz val="9.0"/>
      </rPr>
      <t>)</t>
    </r>
  </si>
  <si>
    <r>
      <rPr>
        <rFont val="Noto Sans CJK SC"/>
        <color rgb="FF000000"/>
        <sz val="9.0"/>
      </rPr>
      <t xml:space="preserve">논문 </t>
    </r>
    <r>
      <rPr>
        <rFont val="맑은 고딕"/>
        <color rgb="FF000000"/>
        <sz val="9.0"/>
      </rPr>
      <t xml:space="preserve">/ </t>
    </r>
    <r>
      <rPr>
        <rFont val="Noto Sans CJK SC"/>
        <color rgb="FF000000"/>
        <sz val="9.0"/>
      </rPr>
      <t xml:space="preserve">보고서 </t>
    </r>
    <r>
      <rPr>
        <rFont val="맑은 고딕"/>
        <color rgb="FF000000"/>
        <sz val="9.0"/>
      </rPr>
      <t xml:space="preserve">/ </t>
    </r>
    <r>
      <rPr>
        <rFont val="Noto Sans CJK SC"/>
        <color rgb="FF000000"/>
        <sz val="9.0"/>
      </rPr>
      <t>학술발표자료</t>
    </r>
  </si>
  <si>
    <t>학사시스템</t>
  </si>
  <si>
    <r>
      <rPr>
        <rFont val="Noto Sans CJK SC"/>
        <color rgb="FF000000"/>
        <sz val="9.0"/>
      </rPr>
      <t>정보탐색 결과물</t>
    </r>
    <r>
      <rPr>
        <rFont val="맑은 고딕"/>
        <color rgb="FF000000"/>
        <sz val="9.0"/>
      </rPr>
      <t>(</t>
    </r>
    <r>
      <rPr>
        <rFont val="Noto Sans CJK SC"/>
        <color rgb="FF000000"/>
        <sz val="9.0"/>
      </rPr>
      <t>논문</t>
    </r>
    <r>
      <rPr>
        <rFont val="맑은 고딕"/>
        <color rgb="FF000000"/>
        <sz val="9.0"/>
      </rPr>
      <t>·</t>
    </r>
    <r>
      <rPr>
        <rFont val="Noto Sans CJK SC"/>
        <color rgb="FF000000"/>
        <sz val="9.0"/>
      </rPr>
      <t>보고서</t>
    </r>
    <r>
      <rPr>
        <rFont val="맑은 고딕"/>
        <color rgb="FF000000"/>
        <sz val="9.0"/>
      </rPr>
      <t>)</t>
    </r>
  </si>
  <si>
    <r>
      <rPr>
        <rFont val="Noto Sans CJK SC"/>
        <color rgb="FF7F7F7F"/>
        <sz val="9.0"/>
      </rPr>
      <t>예</t>
    </r>
    <r>
      <rPr>
        <rFont val="맑은 고딕"/>
        <color rgb="FF7F7F7F"/>
        <sz val="9.0"/>
      </rPr>
      <t xml:space="preserve">: </t>
    </r>
    <r>
      <rPr>
        <rFont val="Noto Sans CJK SC"/>
        <color rgb="FF7F7F7F"/>
        <sz val="9.0"/>
      </rPr>
      <t>기계공학 공학교육인증</t>
    </r>
  </si>
  <si>
    <r>
      <rPr>
        <rFont val="Arial"/>
        <color theme="1"/>
        <sz val="10.0"/>
      </rPr>
      <t xml:space="preserve">SKKU </t>
    </r>
    <r>
      <rPr>
        <rFont val="Noto Sans CJK SC"/>
        <color theme="1"/>
        <sz val="10.0"/>
      </rPr>
      <t>확보가능</t>
    </r>
  </si>
  <si>
    <r>
      <rPr>
        <rFont val="Noto Sans CJK SC"/>
        <color rgb="FF000000"/>
        <sz val="9.0"/>
      </rPr>
      <t xml:space="preserve">국제학술지 </t>
    </r>
    <r>
      <rPr>
        <rFont val="맑은 고딕"/>
        <color rgb="FF000000"/>
        <sz val="9.0"/>
      </rPr>
      <t xml:space="preserve">/ </t>
    </r>
    <r>
      <rPr>
        <rFont val="Noto Sans CJK SC"/>
        <color rgb="FF000000"/>
        <sz val="9.0"/>
      </rPr>
      <t xml:space="preserve">국내학술지 </t>
    </r>
    <r>
      <rPr>
        <rFont val="맑은 고딕"/>
        <color rgb="FF000000"/>
        <sz val="9.0"/>
      </rPr>
      <t xml:space="preserve">/ </t>
    </r>
    <r>
      <rPr>
        <rFont val="Noto Sans CJK SC"/>
        <color rgb="FF000000"/>
        <sz val="9.0"/>
      </rPr>
      <t xml:space="preserve">국제학술대회 </t>
    </r>
    <r>
      <rPr>
        <rFont val="맑은 고딕"/>
        <color rgb="FF000000"/>
        <sz val="9.0"/>
      </rPr>
      <t xml:space="preserve">/ </t>
    </r>
    <r>
      <rPr>
        <rFont val="Noto Sans CJK SC"/>
        <color rgb="FF000000"/>
        <sz val="9.0"/>
      </rPr>
      <t xml:space="preserve">국내학술대회 </t>
    </r>
    <r>
      <rPr>
        <rFont val="맑은 고딕"/>
        <color rgb="FF000000"/>
        <sz val="9.0"/>
      </rPr>
      <t xml:space="preserve">/ </t>
    </r>
    <r>
      <rPr>
        <rFont val="Noto Sans CJK SC"/>
        <color rgb="FF000000"/>
        <sz val="9.0"/>
      </rPr>
      <t>교내</t>
    </r>
  </si>
  <si>
    <t>직무전문성</t>
  </si>
  <si>
    <t>공학계열 한정 → 비대상 전공은 '해당 없음' 처리(불이익 방지)</t>
  </si>
  <si>
    <r>
      <rPr>
        <rFont val="Noto Sans CJK SC"/>
        <color rgb="FF000000"/>
        <sz val="9.0"/>
      </rPr>
      <t>정보탐색 결과물</t>
    </r>
    <r>
      <rPr>
        <rFont val="맑은 고딕"/>
        <color rgb="FF000000"/>
        <sz val="9.0"/>
      </rPr>
      <t>(</t>
    </r>
    <r>
      <rPr>
        <rFont val="Noto Sans CJK SC"/>
        <color rgb="FF000000"/>
        <sz val="9.0"/>
      </rPr>
      <t>논문</t>
    </r>
    <r>
      <rPr>
        <rFont val="맑은 고딕"/>
        <color rgb="FF000000"/>
        <sz val="9.0"/>
      </rPr>
      <t>·</t>
    </r>
    <r>
      <rPr>
        <rFont val="Noto Sans CJK SC"/>
        <color rgb="FF000000"/>
        <sz val="9.0"/>
      </rPr>
      <t>보고서</t>
    </r>
    <r>
      <rPr>
        <rFont val="맑은 고딕"/>
        <color rgb="FF000000"/>
        <sz val="9.0"/>
      </rPr>
      <t>)</t>
    </r>
  </si>
  <si>
    <t>학습행동(LMS)</t>
  </si>
  <si>
    <r>
      <rPr>
        <rFont val="Noto Sans CJK SC"/>
        <color rgb="FF000000"/>
        <sz val="9.0"/>
      </rPr>
      <t xml:space="preserve">게재 </t>
    </r>
    <r>
      <rPr>
        <rFont val="맑은 고딕"/>
        <color rgb="FF000000"/>
        <sz val="9.0"/>
      </rPr>
      <t xml:space="preserve">/ </t>
    </r>
    <r>
      <rPr>
        <rFont val="Noto Sans CJK SC"/>
        <color rgb="FF000000"/>
        <sz val="9.0"/>
      </rPr>
      <t xml:space="preserve">게재승인 </t>
    </r>
    <r>
      <rPr>
        <rFont val="맑은 고딕"/>
        <color rgb="FF000000"/>
        <sz val="9.0"/>
      </rPr>
      <t xml:space="preserve">/ </t>
    </r>
    <r>
      <rPr>
        <rFont val="Noto Sans CJK SC"/>
        <color rgb="FF000000"/>
        <sz val="9.0"/>
      </rPr>
      <t xml:space="preserve">투고 </t>
    </r>
    <r>
      <rPr>
        <rFont val="맑은 고딕"/>
        <color rgb="FF000000"/>
        <sz val="9.0"/>
      </rPr>
      <t xml:space="preserve">/ </t>
    </r>
    <r>
      <rPr>
        <rFont val="Noto Sans CJK SC"/>
        <color rgb="FF000000"/>
        <sz val="9.0"/>
      </rPr>
      <t>작성중</t>
    </r>
  </si>
  <si>
    <r>
      <rPr>
        <rFont val="맑은 고딕"/>
        <color rgb="FF7F7F7F"/>
        <sz val="9.0"/>
      </rPr>
      <t>[</t>
    </r>
    <r>
      <rPr>
        <rFont val="Noto Sans CJK SC"/>
        <color rgb="FF7F7F7F"/>
        <sz val="9.0"/>
      </rPr>
      <t xml:space="preserve">이수중 </t>
    </r>
    <r>
      <rPr>
        <rFont val="맑은 고딕"/>
        <color rgb="FF7F7F7F"/>
        <sz val="9.0"/>
      </rPr>
      <t xml:space="preserve">/ </t>
    </r>
    <r>
      <rPr>
        <rFont val="Noto Sans CJK SC"/>
        <color rgb="FF7F7F7F"/>
        <sz val="9.0"/>
      </rPr>
      <t xml:space="preserve">이수완료 </t>
    </r>
    <r>
      <rPr>
        <rFont val="맑은 고딕"/>
        <color rgb="FF7F7F7F"/>
        <sz val="9.0"/>
      </rPr>
      <t xml:space="preserve">/ </t>
    </r>
    <r>
      <rPr>
        <rFont val="Noto Sans CJK SC"/>
        <color rgb="FF7F7F7F"/>
        <sz val="9.0"/>
      </rPr>
      <t xml:space="preserve">미이수 </t>
    </r>
    <r>
      <rPr>
        <rFont val="맑은 고딕"/>
        <color rgb="FF7F7F7F"/>
        <sz val="9.0"/>
      </rPr>
      <t xml:space="preserve">/ </t>
    </r>
    <r>
      <rPr>
        <rFont val="Noto Sans CJK SC"/>
        <color rgb="FF7F7F7F"/>
        <sz val="9.0"/>
      </rPr>
      <t>포기</t>
    </r>
    <r>
      <rPr>
        <rFont val="맑은 고딕"/>
        <color rgb="FF7F7F7F"/>
        <sz val="9.0"/>
      </rPr>
      <t>]</t>
    </r>
  </si>
  <si>
    <r>
      <rPr>
        <rFont val="Noto Sans CJK SC"/>
        <color rgb="FF000000"/>
        <sz val="9.0"/>
      </rPr>
      <t>정보탐색 결과물</t>
    </r>
    <r>
      <rPr>
        <rFont val="맑은 고딕"/>
        <color rgb="FF000000"/>
        <sz val="9.0"/>
      </rPr>
      <t>(</t>
    </r>
    <r>
      <rPr>
        <rFont val="Noto Sans CJK SC"/>
        <color rgb="FF000000"/>
        <sz val="9.0"/>
      </rPr>
      <t>논문</t>
    </r>
    <r>
      <rPr>
        <rFont val="맑은 고딕"/>
        <color rgb="FF000000"/>
        <sz val="9.0"/>
      </rPr>
      <t>·</t>
    </r>
    <r>
      <rPr>
        <rFont val="Noto Sans CJK SC"/>
        <color rgb="FF000000"/>
        <sz val="9.0"/>
      </rPr>
      <t>보고서</t>
    </r>
    <r>
      <rPr>
        <rFont val="맑은 고딕"/>
        <color rgb="FF000000"/>
        <sz val="9.0"/>
      </rPr>
      <t>)</t>
    </r>
  </si>
  <si>
    <r>
      <rPr>
        <rFont val="Noto Sans CJK SC"/>
        <b/>
        <color rgb="FFFFFFFF"/>
        <sz val="11.0"/>
      </rPr>
      <t>■ 학습행동</t>
    </r>
    <r>
      <rPr>
        <rFont val="맑은 고딕"/>
        <b/>
        <color rgb="FFFFFFFF"/>
        <sz val="11.0"/>
      </rPr>
      <t>(LMS)</t>
    </r>
  </si>
  <si>
    <r>
      <rPr>
        <rFont val="Arial"/>
        <b/>
        <color theme="1"/>
        <sz val="10.0"/>
      </rPr>
      <t xml:space="preserve">LMS </t>
    </r>
    <r>
      <rPr>
        <rFont val="Noto Sans CJK SC"/>
        <b/>
        <color theme="1"/>
        <sz val="10.0"/>
      </rPr>
      <t>학습데이터</t>
    </r>
  </si>
  <si>
    <r>
      <rPr>
        <rFont val="Noto Sans CJK SC"/>
        <color rgb="FF000000"/>
        <sz val="9.0"/>
      </rPr>
      <t xml:space="preserve">단독 </t>
    </r>
    <r>
      <rPr>
        <rFont val="맑은 고딕"/>
        <color rgb="FF000000"/>
        <sz val="9.0"/>
      </rPr>
      <t xml:space="preserve">/ </t>
    </r>
    <r>
      <rPr>
        <rFont val="Noto Sans CJK SC"/>
        <color rgb="FF000000"/>
        <sz val="9.0"/>
      </rPr>
      <t>제</t>
    </r>
    <r>
      <rPr>
        <rFont val="맑은 고딕"/>
        <color rgb="FF000000"/>
        <sz val="9.0"/>
      </rPr>
      <t>1</t>
    </r>
    <r>
      <rPr>
        <rFont val="Noto Sans CJK SC"/>
        <color rgb="FF000000"/>
        <sz val="9.0"/>
      </rPr>
      <t xml:space="preserve">저자 </t>
    </r>
    <r>
      <rPr>
        <rFont val="맑은 고딕"/>
        <color rgb="FF000000"/>
        <sz val="9.0"/>
      </rPr>
      <t xml:space="preserve">/ </t>
    </r>
    <r>
      <rPr>
        <rFont val="Noto Sans CJK SC"/>
        <color rgb="FF000000"/>
        <sz val="9.0"/>
      </rPr>
      <t>공동저자</t>
    </r>
  </si>
  <si>
    <t>출석률, 과제기한준수율, 로그인주기, 퀴즈풀이횟수, 학습계획달성률</t>
  </si>
  <si>
    <r>
      <rPr>
        <rFont val="Noto Sans CJK SC"/>
        <color rgb="FF000000"/>
        <sz val="9.0"/>
      </rPr>
      <t>인턴</t>
    </r>
    <r>
      <rPr>
        <rFont val="맑은 고딕"/>
        <color rgb="FF000000"/>
        <sz val="9.0"/>
      </rPr>
      <t>·</t>
    </r>
    <r>
      <rPr>
        <rFont val="Noto Sans CJK SC"/>
        <color rgb="FF000000"/>
        <sz val="9.0"/>
      </rPr>
      <t>현장실습</t>
    </r>
  </si>
  <si>
    <r>
      <rPr>
        <rFont val="Arial"/>
        <color theme="1"/>
        <sz val="10.0"/>
      </rPr>
      <t xml:space="preserve">LMS(i-Campus) · </t>
    </r>
    <r>
      <rPr>
        <rFont val="Noto Sans CJK SC"/>
        <color theme="1"/>
        <sz val="10.0"/>
      </rPr>
      <t>출석앱</t>
    </r>
  </si>
  <si>
    <r>
      <rPr>
        <rFont val="Noto Sans CJK SC"/>
        <color rgb="FF000000"/>
        <sz val="9.0"/>
      </rPr>
      <t xml:space="preserve">인턴십 </t>
    </r>
    <r>
      <rPr>
        <rFont val="맑은 고딕"/>
        <color rgb="FF000000"/>
        <sz val="9.0"/>
      </rPr>
      <t xml:space="preserve">/ </t>
    </r>
    <r>
      <rPr>
        <rFont val="Noto Sans CJK SC"/>
        <color rgb="FF000000"/>
        <sz val="9.0"/>
      </rPr>
      <t xml:space="preserve">현장실습 </t>
    </r>
    <r>
      <rPr>
        <rFont val="맑은 고딕"/>
        <color rgb="FF000000"/>
        <sz val="9.0"/>
      </rPr>
      <t xml:space="preserve">/ </t>
    </r>
    <r>
      <rPr>
        <rFont val="Noto Sans CJK SC"/>
        <color rgb="FF000000"/>
        <sz val="9.0"/>
      </rPr>
      <t xml:space="preserve">연구체험 </t>
    </r>
    <r>
      <rPr>
        <rFont val="맑은 고딕"/>
        <color rgb="FF000000"/>
        <sz val="9.0"/>
      </rPr>
      <t xml:space="preserve">/ </t>
    </r>
    <r>
      <rPr>
        <rFont val="Noto Sans CJK SC"/>
        <color rgb="FF000000"/>
        <sz val="9.0"/>
      </rPr>
      <t>문제해결프로젝트</t>
    </r>
  </si>
  <si>
    <t>자기관리 / 성실성</t>
  </si>
  <si>
    <t>마인드맵 '퀴즈 생성 주기' vs 데이터 '퀴즈풀이횟수' 용어 통일 필요</t>
  </si>
  <si>
    <r>
      <rPr>
        <rFont val="Noto Sans CJK SC"/>
        <color rgb="FF000000"/>
        <sz val="9.0"/>
      </rPr>
      <t>인턴</t>
    </r>
    <r>
      <rPr>
        <rFont val="맑은 고딕"/>
        <color rgb="FF000000"/>
        <sz val="9.0"/>
      </rPr>
      <t>·</t>
    </r>
    <r>
      <rPr>
        <rFont val="Noto Sans CJK SC"/>
        <color rgb="FF000000"/>
        <sz val="9.0"/>
      </rPr>
      <t>현장실습</t>
    </r>
  </si>
  <si>
    <r>
      <rPr>
        <rFont val="Noto Sans CJK SC"/>
        <color rgb="FF000000"/>
        <sz val="9.0"/>
      </rPr>
      <t xml:space="preserve">관련 </t>
    </r>
    <r>
      <rPr>
        <rFont val="맑은 고딕"/>
        <color rgb="FF000000"/>
        <sz val="9.0"/>
      </rPr>
      <t xml:space="preserve">/ </t>
    </r>
    <r>
      <rPr>
        <rFont val="Noto Sans CJK SC"/>
        <color rgb="FF000000"/>
        <sz val="9.0"/>
      </rPr>
      <t xml:space="preserve">일부 관련 </t>
    </r>
    <r>
      <rPr>
        <rFont val="맑은 고딕"/>
        <color rgb="FF000000"/>
        <sz val="9.0"/>
      </rPr>
      <t xml:space="preserve">/ </t>
    </r>
    <r>
      <rPr>
        <rFont val="Noto Sans CJK SC"/>
        <color rgb="FF000000"/>
        <sz val="9.0"/>
      </rPr>
      <t>무관</t>
    </r>
  </si>
  <si>
    <t>교수면담·학업상담</t>
  </si>
  <si>
    <t>교수 면담 횟수, 학업상담 이력</t>
  </si>
  <si>
    <r>
      <rPr>
        <rFont val="Noto Sans CJK SC"/>
        <color rgb="FF000000"/>
        <sz val="9.0"/>
      </rPr>
      <t>인턴</t>
    </r>
    <r>
      <rPr>
        <rFont val="맑은 고딕"/>
        <color rgb="FF000000"/>
        <sz val="9.0"/>
      </rPr>
      <t>·</t>
    </r>
    <r>
      <rPr>
        <rFont val="Noto Sans CJK SC"/>
        <color rgb="FF000000"/>
        <sz val="9.0"/>
      </rPr>
      <t>현장실습</t>
    </r>
  </si>
  <si>
    <t>상담 기록 시스템 · LMS</t>
  </si>
  <si>
    <r>
      <rPr>
        <rFont val="맑은 고딕"/>
        <color rgb="FF000000"/>
        <sz val="9.0"/>
      </rPr>
      <t>3</t>
    </r>
    <r>
      <rPr>
        <rFont val="Noto Sans CJK SC"/>
        <color rgb="FF000000"/>
        <sz val="9.0"/>
      </rPr>
      <t>품 인정</t>
    </r>
  </si>
  <si>
    <t>성실성(수업참여도) / 소통능력</t>
  </si>
  <si>
    <t>기존 데이터셋에선 LMS 항목 안에 섞여 있어 분리</t>
  </si>
  <si>
    <r>
      <rPr>
        <rFont val="맑은 고딕"/>
        <b/>
        <color rgb="FF000000"/>
        <sz val="11.0"/>
      </rPr>
      <t xml:space="preserve">LMS </t>
    </r>
    <r>
      <rPr>
        <rFont val="Noto Sans CJK SC"/>
        <b/>
        <color rgb="FF000000"/>
        <sz val="11.0"/>
      </rPr>
      <t>학습데이터</t>
    </r>
  </si>
  <si>
    <r>
      <rPr>
        <rFont val="Noto Sans CJK SC"/>
        <color rgb="FF000000"/>
        <sz val="9.0"/>
      </rPr>
      <t xml:space="preserve">고용보험 </t>
    </r>
    <r>
      <rPr>
        <rFont val="맑은 고딕"/>
        <color rgb="FF000000"/>
        <sz val="9.0"/>
      </rPr>
      <t xml:space="preserve">/ </t>
    </r>
    <r>
      <rPr>
        <rFont val="Noto Sans CJK SC"/>
        <color rgb="FF000000"/>
        <sz val="9.0"/>
      </rPr>
      <t>재직</t>
    </r>
    <r>
      <rPr>
        <rFont val="맑은 고딕"/>
        <color rgb="FF000000"/>
        <sz val="9.0"/>
      </rPr>
      <t>·</t>
    </r>
    <r>
      <rPr>
        <rFont val="Noto Sans CJK SC"/>
        <color rgb="FF000000"/>
        <sz val="9.0"/>
      </rPr>
      <t xml:space="preserve">경력증명 </t>
    </r>
    <r>
      <rPr>
        <rFont val="맑은 고딕"/>
        <color rgb="FF000000"/>
        <sz val="9.0"/>
      </rPr>
      <t xml:space="preserve">/ </t>
    </r>
    <r>
      <rPr>
        <rFont val="Noto Sans CJK SC"/>
        <color rgb="FF000000"/>
        <sz val="9.0"/>
      </rPr>
      <t>없음</t>
    </r>
  </si>
  <si>
    <t>토론·게시판 참여</t>
  </si>
  <si>
    <r>
      <rPr>
        <rFont val="Noto Sans CJK SC"/>
        <color rgb="FF000000"/>
        <sz val="9.0"/>
      </rPr>
      <t>진로설계</t>
    </r>
    <r>
      <rPr>
        <rFont val="맑은 고딕"/>
        <color rgb="FF000000"/>
        <sz val="9.0"/>
      </rPr>
      <t>·</t>
    </r>
    <r>
      <rPr>
        <rFont val="Noto Sans CJK SC"/>
        <color rgb="FF000000"/>
        <sz val="9.0"/>
      </rPr>
      <t>취업상담</t>
    </r>
  </si>
  <si>
    <r>
      <rPr>
        <rFont val="Arial"/>
        <color theme="1"/>
        <sz val="10.0"/>
      </rPr>
      <t xml:space="preserve">LMS </t>
    </r>
    <r>
      <rPr>
        <rFont val="Noto Sans CJK SC"/>
        <color theme="1"/>
        <sz val="10.0"/>
      </rPr>
      <t>토론방 게시글</t>
    </r>
    <r>
      <rPr>
        <rFont val="Arial"/>
        <color theme="1"/>
        <sz val="10.0"/>
      </rPr>
      <t>·</t>
    </r>
    <r>
      <rPr>
        <rFont val="Noto Sans CJK SC"/>
        <color theme="1"/>
        <sz val="10.0"/>
      </rPr>
      <t>댓글 수</t>
    </r>
    <r>
      <rPr>
        <rFont val="Arial"/>
        <color theme="1"/>
        <sz val="10.0"/>
      </rPr>
      <t xml:space="preserve">, </t>
    </r>
    <r>
      <rPr>
        <rFont val="Noto Sans CJK SC"/>
        <color theme="1"/>
        <sz val="10.0"/>
      </rPr>
      <t>질의응답 참여</t>
    </r>
  </si>
  <si>
    <r>
      <rPr>
        <rFont val="Noto Sans CJK SC"/>
        <color rgb="FF000000"/>
        <sz val="9.0"/>
      </rPr>
      <t>공모전 참가</t>
    </r>
    <r>
      <rPr>
        <rFont val="맑은 고딕"/>
        <color rgb="FF000000"/>
        <sz val="9.0"/>
      </rPr>
      <t>·</t>
    </r>
    <r>
      <rPr>
        <rFont val="Noto Sans CJK SC"/>
        <color rgb="FF000000"/>
        <sz val="9.0"/>
      </rPr>
      <t>수상</t>
    </r>
  </si>
  <si>
    <r>
      <rPr>
        <rFont val="Noto Sans CJK SC"/>
        <color rgb="FF000000"/>
        <sz val="9.0"/>
      </rPr>
      <t xml:space="preserve">교내 </t>
    </r>
    <r>
      <rPr>
        <rFont val="맑은 고딕"/>
        <color rgb="FF000000"/>
        <sz val="9.0"/>
      </rPr>
      <t xml:space="preserve">/ </t>
    </r>
    <r>
      <rPr>
        <rFont val="Noto Sans CJK SC"/>
        <color rgb="FF000000"/>
        <sz val="9.0"/>
      </rPr>
      <t xml:space="preserve">지역 </t>
    </r>
    <r>
      <rPr>
        <rFont val="맑은 고딕"/>
        <color rgb="FF000000"/>
        <sz val="9.0"/>
      </rPr>
      <t xml:space="preserve">/ </t>
    </r>
    <r>
      <rPr>
        <rFont val="Noto Sans CJK SC"/>
        <color rgb="FF000000"/>
        <sz val="9.0"/>
      </rPr>
      <t xml:space="preserve">전국 </t>
    </r>
    <r>
      <rPr>
        <rFont val="맑은 고딕"/>
        <color rgb="FF000000"/>
        <sz val="9.0"/>
      </rPr>
      <t xml:space="preserve">/ </t>
    </r>
    <r>
      <rPr>
        <rFont val="Noto Sans CJK SC"/>
        <color rgb="FF000000"/>
        <sz val="9.0"/>
      </rPr>
      <t>국제</t>
    </r>
  </si>
  <si>
    <r>
      <rPr>
        <rFont val="Noto Sans CJK SC"/>
        <color rgb="FF000000"/>
        <sz val="9.0"/>
      </rPr>
      <t>공모전 참가</t>
    </r>
    <r>
      <rPr>
        <rFont val="맑은 고딕"/>
        <color rgb="FF000000"/>
        <sz val="9.0"/>
      </rPr>
      <t>·</t>
    </r>
    <r>
      <rPr>
        <rFont val="Noto Sans CJK SC"/>
        <color rgb="FF000000"/>
        <sz val="9.0"/>
      </rPr>
      <t>수상</t>
    </r>
  </si>
  <si>
    <t>LMS(i-Campus)</t>
  </si>
  <si>
    <r>
      <rPr>
        <rFont val="Noto Sans CJK SC"/>
        <color rgb="FF000000"/>
        <sz val="9.0"/>
      </rPr>
      <t xml:space="preserve">참가 </t>
    </r>
    <r>
      <rPr>
        <rFont val="맑은 고딕"/>
        <color rgb="FF000000"/>
        <sz val="9.0"/>
      </rPr>
      <t xml:space="preserve">/ </t>
    </r>
    <r>
      <rPr>
        <rFont val="Noto Sans CJK SC"/>
        <color rgb="FF000000"/>
        <sz val="9.0"/>
      </rPr>
      <t xml:space="preserve">입선 </t>
    </r>
    <r>
      <rPr>
        <rFont val="맑은 고딕"/>
        <color rgb="FF000000"/>
        <sz val="9.0"/>
      </rPr>
      <t xml:space="preserve">/ </t>
    </r>
    <r>
      <rPr>
        <rFont val="Noto Sans CJK SC"/>
        <color rgb="FF000000"/>
        <sz val="9.0"/>
      </rPr>
      <t xml:space="preserve">장려 </t>
    </r>
    <r>
      <rPr>
        <rFont val="맑은 고딕"/>
        <color rgb="FF000000"/>
        <sz val="9.0"/>
      </rPr>
      <t xml:space="preserve">/ </t>
    </r>
    <r>
      <rPr>
        <rFont val="Noto Sans CJK SC"/>
        <color rgb="FF000000"/>
        <sz val="9.0"/>
      </rPr>
      <t xml:space="preserve">우수 </t>
    </r>
    <r>
      <rPr>
        <rFont val="맑은 고딕"/>
        <color rgb="FF000000"/>
        <sz val="9.0"/>
      </rPr>
      <t xml:space="preserve">/ </t>
    </r>
    <r>
      <rPr>
        <rFont val="Noto Sans CJK SC"/>
        <color rgb="FF000000"/>
        <sz val="9.0"/>
      </rPr>
      <t xml:space="preserve">최우수 </t>
    </r>
    <r>
      <rPr>
        <rFont val="맑은 고딕"/>
        <color rgb="FF000000"/>
        <sz val="9.0"/>
      </rPr>
      <t xml:space="preserve">/ </t>
    </r>
    <r>
      <rPr>
        <rFont val="Noto Sans CJK SC"/>
        <color rgb="FF000000"/>
        <sz val="9.0"/>
      </rPr>
      <t>대상</t>
    </r>
  </si>
  <si>
    <r>
      <rPr>
        <rFont val="Noto Sans CJK SC"/>
        <color rgb="FF000000"/>
        <sz val="9.0"/>
      </rPr>
      <t>공모전 참가</t>
    </r>
    <r>
      <rPr>
        <rFont val="맑은 고딕"/>
        <color rgb="FF000000"/>
        <sz val="9.0"/>
      </rPr>
      <t>·</t>
    </r>
    <r>
      <rPr>
        <rFont val="Noto Sans CJK SC"/>
        <color rgb="FF000000"/>
        <sz val="9.0"/>
      </rPr>
      <t>수상</t>
    </r>
  </si>
  <si>
    <t>소통능력 / 수업참여도</t>
  </si>
  <si>
    <r>
      <rPr>
        <rFont val="Noto Sans CJK SC"/>
        <color rgb="FF000000"/>
        <sz val="9.0"/>
      </rPr>
      <t xml:space="preserve">개인 </t>
    </r>
    <r>
      <rPr>
        <rFont val="맑은 고딕"/>
        <color rgb="FF000000"/>
        <sz val="9.0"/>
      </rPr>
      <t xml:space="preserve">/ </t>
    </r>
    <r>
      <rPr>
        <rFont val="Noto Sans CJK SC"/>
        <color rgb="FF000000"/>
        <sz val="9.0"/>
      </rPr>
      <t>팀</t>
    </r>
  </si>
  <si>
    <t>교수 관심 '소통능력'의 정량 근거 보강</t>
  </si>
  <si>
    <r>
      <rPr>
        <rFont val="Noto Sans CJK SC"/>
        <color rgb="FF000000"/>
        <sz val="9.0"/>
      </rPr>
      <t xml:space="preserve">창업교과목 </t>
    </r>
    <r>
      <rPr>
        <rFont val="맑은 고딕"/>
        <color rgb="FF000000"/>
        <sz val="9.0"/>
      </rPr>
      <t xml:space="preserve">/ </t>
    </r>
    <r>
      <rPr>
        <rFont val="Noto Sans CJK SC"/>
        <color rgb="FF000000"/>
        <sz val="9.0"/>
      </rPr>
      <t xml:space="preserve">창업경진대회 </t>
    </r>
    <r>
      <rPr>
        <rFont val="맑은 고딕"/>
        <color rgb="FF000000"/>
        <sz val="9.0"/>
      </rPr>
      <t xml:space="preserve">/ </t>
    </r>
    <r>
      <rPr>
        <rFont val="Noto Sans CJK SC"/>
        <color rgb="FF000000"/>
        <sz val="9.0"/>
      </rPr>
      <t xml:space="preserve">사업자등록 </t>
    </r>
    <r>
      <rPr>
        <rFont val="맑은 고딕"/>
        <color rgb="FF000000"/>
        <sz val="9.0"/>
      </rPr>
      <t xml:space="preserve">/ </t>
    </r>
    <r>
      <rPr>
        <rFont val="Noto Sans CJK SC"/>
        <color rgb="FF000000"/>
        <sz val="9.0"/>
      </rPr>
      <t>창업동아리</t>
    </r>
  </si>
  <si>
    <t>연구·학술</t>
  </si>
  <si>
    <r>
      <rPr>
        <rFont val="Noto Sans CJK SC"/>
        <color rgb="FF000000"/>
        <sz val="9.0"/>
      </rPr>
      <t>특허출원</t>
    </r>
    <r>
      <rPr>
        <rFont val="맑은 고딕"/>
        <color rgb="FF000000"/>
        <sz val="9.0"/>
      </rPr>
      <t xml:space="preserve">·SW </t>
    </r>
    <r>
      <rPr>
        <rFont val="Noto Sans CJK SC"/>
        <color rgb="FF000000"/>
        <sz val="9.0"/>
      </rPr>
      <t>등록</t>
    </r>
  </si>
  <si>
    <r>
      <rPr>
        <rFont val="Noto Sans CJK SC"/>
        <color rgb="FF000000"/>
        <sz val="9.0"/>
      </rPr>
      <t xml:space="preserve">특허 </t>
    </r>
    <r>
      <rPr>
        <rFont val="맑은 고딕"/>
        <color rgb="FF000000"/>
        <sz val="9.0"/>
      </rPr>
      <t xml:space="preserve">/ </t>
    </r>
    <r>
      <rPr>
        <rFont val="Noto Sans CJK SC"/>
        <color rgb="FF000000"/>
        <sz val="9.0"/>
      </rPr>
      <t xml:space="preserve">실용신안 </t>
    </r>
    <r>
      <rPr>
        <rFont val="맑은 고딕"/>
        <color rgb="FF000000"/>
        <sz val="9.0"/>
      </rPr>
      <t xml:space="preserve">/ </t>
    </r>
    <r>
      <rPr>
        <rFont val="Noto Sans CJK SC"/>
        <color rgb="FF000000"/>
        <sz val="9.0"/>
      </rPr>
      <t xml:space="preserve">디자인 </t>
    </r>
    <r>
      <rPr>
        <rFont val="맑은 고딕"/>
        <color rgb="FF000000"/>
        <sz val="9.0"/>
      </rPr>
      <t>/ SW</t>
    </r>
    <r>
      <rPr>
        <rFont val="Noto Sans CJK SC"/>
        <color rgb="FF000000"/>
        <sz val="9.0"/>
      </rPr>
      <t>등록</t>
    </r>
  </si>
  <si>
    <r>
      <rPr>
        <rFont val="Noto Sans CJK SC"/>
        <color rgb="FF000000"/>
        <sz val="9.0"/>
      </rPr>
      <t>특허출원</t>
    </r>
    <r>
      <rPr>
        <rFont val="맑은 고딕"/>
        <color rgb="FF000000"/>
        <sz val="9.0"/>
      </rPr>
      <t xml:space="preserve">·SW </t>
    </r>
    <r>
      <rPr>
        <rFont val="Noto Sans CJK SC"/>
        <color rgb="FF000000"/>
        <sz val="9.0"/>
      </rPr>
      <t>등록</t>
    </r>
  </si>
  <si>
    <t>학회·연구활동</t>
  </si>
  <si>
    <r>
      <rPr>
        <rFont val="Noto Sans CJK SC"/>
        <color rgb="FF000000"/>
        <sz val="9.0"/>
      </rPr>
      <t xml:space="preserve">출원 </t>
    </r>
    <r>
      <rPr>
        <rFont val="맑은 고딕"/>
        <color rgb="FF000000"/>
        <sz val="9.0"/>
      </rPr>
      <t xml:space="preserve">/ </t>
    </r>
    <r>
      <rPr>
        <rFont val="Noto Sans CJK SC"/>
        <color rgb="FF000000"/>
        <sz val="9.0"/>
      </rPr>
      <t>등록</t>
    </r>
  </si>
  <si>
    <t>학부연구생/URP, 학회 활동, 연구실 인턴, 팀연구프로젝트</t>
  </si>
  <si>
    <r>
      <rPr>
        <rFont val="Noto Sans CJK SC"/>
        <color rgb="FF000000"/>
        <sz val="9.0"/>
      </rPr>
      <t>특허출원</t>
    </r>
    <r>
      <rPr>
        <rFont val="맑은 고딕"/>
        <color rgb="FF000000"/>
        <sz val="9.0"/>
      </rPr>
      <t xml:space="preserve">·SW </t>
    </r>
    <r>
      <rPr>
        <rFont val="Noto Sans CJK SC"/>
        <color rgb="FF000000"/>
        <sz val="9.0"/>
      </rPr>
      <t>등록</t>
    </r>
  </si>
  <si>
    <t>범주·기간</t>
  </si>
  <si>
    <t>비교과·연구지원 시스템</t>
  </si>
  <si>
    <r>
      <rPr>
        <rFont val="Noto Sans CJK SC"/>
        <color rgb="FF000000"/>
        <sz val="9.0"/>
      </rPr>
      <t xml:space="preserve">단독 </t>
    </r>
    <r>
      <rPr>
        <rFont val="맑은 고딕"/>
        <color rgb="FF000000"/>
        <sz val="9.0"/>
      </rPr>
      <t xml:space="preserve">/ </t>
    </r>
    <r>
      <rPr>
        <rFont val="Noto Sans CJK SC"/>
        <color rgb="FF000000"/>
        <sz val="9.0"/>
      </rPr>
      <t>공동</t>
    </r>
  </si>
  <si>
    <r>
      <rPr>
        <rFont val="Noto Sans CJK SC"/>
        <color rgb="FF000000"/>
        <sz val="9.0"/>
      </rPr>
      <t>교환학생</t>
    </r>
    <r>
      <rPr>
        <rFont val="맑은 고딕"/>
        <color rgb="FF000000"/>
        <sz val="9.0"/>
      </rPr>
      <t>·</t>
    </r>
    <r>
      <rPr>
        <rFont val="Noto Sans CJK SC"/>
        <color rgb="FF000000"/>
        <sz val="9.0"/>
      </rPr>
      <t>해외경험</t>
    </r>
  </si>
  <si>
    <t>탐구력 / 문제해결력</t>
  </si>
  <si>
    <r>
      <rPr>
        <rFont val="Arial"/>
        <color theme="1"/>
        <sz val="10.0"/>
      </rPr>
      <t xml:space="preserve">[B] </t>
    </r>
    <r>
      <rPr>
        <rFont val="Noto Sans CJK SC"/>
        <color theme="1"/>
        <sz val="10.0"/>
      </rPr>
      <t>학회</t>
    </r>
    <r>
      <rPr>
        <rFont val="Arial"/>
        <color theme="1"/>
        <sz val="10.0"/>
      </rPr>
      <t>·</t>
    </r>
    <r>
      <rPr>
        <rFont val="Noto Sans CJK SC"/>
        <color theme="1"/>
        <sz val="10.0"/>
      </rPr>
      <t xml:space="preserve">연구 </t>
    </r>
    <r>
      <rPr>
        <rFont val="Arial"/>
        <color theme="1"/>
        <sz val="10.0"/>
      </rPr>
      <t>+ [C] URP·</t>
    </r>
    <r>
      <rPr>
        <rFont val="Noto Sans CJK SC"/>
        <color theme="1"/>
        <sz val="10.0"/>
      </rPr>
      <t>팀연구프로젝트 통합</t>
    </r>
  </si>
  <si>
    <r>
      <rPr>
        <rFont val="Noto Sans CJK SC"/>
        <color rgb="FF000000"/>
        <sz val="9.0"/>
      </rPr>
      <t xml:space="preserve">교환학생 </t>
    </r>
    <r>
      <rPr>
        <rFont val="맑은 고딕"/>
        <color rgb="FF000000"/>
        <sz val="9.0"/>
      </rPr>
      <t xml:space="preserve">/ </t>
    </r>
    <r>
      <rPr>
        <rFont val="Noto Sans CJK SC"/>
        <color rgb="FF000000"/>
        <sz val="9.0"/>
      </rPr>
      <t xml:space="preserve">어학연수 </t>
    </r>
    <r>
      <rPr>
        <rFont val="맑은 고딕"/>
        <color rgb="FF000000"/>
        <sz val="9.0"/>
      </rPr>
      <t xml:space="preserve">/ </t>
    </r>
    <r>
      <rPr>
        <rFont val="Noto Sans CJK SC"/>
        <color rgb="FF000000"/>
        <sz val="9.0"/>
      </rPr>
      <t xml:space="preserve">해외봉사 </t>
    </r>
    <r>
      <rPr>
        <rFont val="맑은 고딕"/>
        <color rgb="FF000000"/>
        <sz val="9.0"/>
      </rPr>
      <t xml:space="preserve">/ </t>
    </r>
    <r>
      <rPr>
        <rFont val="Noto Sans CJK SC"/>
        <color rgb="FF000000"/>
        <sz val="9.0"/>
      </rPr>
      <t xml:space="preserve">국제연구 </t>
    </r>
    <r>
      <rPr>
        <rFont val="맑은 고딕"/>
        <color rgb="FF000000"/>
        <sz val="9.0"/>
      </rPr>
      <t xml:space="preserve">/ </t>
    </r>
    <r>
      <rPr>
        <rFont val="Noto Sans CJK SC"/>
        <color rgb="FF000000"/>
        <sz val="9.0"/>
      </rPr>
      <t xml:space="preserve">국제문화체험 </t>
    </r>
    <r>
      <rPr>
        <rFont val="맑은 고딕"/>
        <color rgb="FF000000"/>
        <sz val="9.0"/>
      </rPr>
      <t xml:space="preserve">/ </t>
    </r>
    <r>
      <rPr>
        <rFont val="Noto Sans CJK SC"/>
        <color rgb="FF000000"/>
        <sz val="9.0"/>
      </rPr>
      <t>해외학습</t>
    </r>
  </si>
  <si>
    <r>
      <rPr>
        <rFont val="Noto Sans CJK SC"/>
        <color rgb="FF000000"/>
        <sz val="9.0"/>
      </rPr>
      <t>교환학생</t>
    </r>
    <r>
      <rPr>
        <rFont val="맑은 고딕"/>
        <color rgb="FF000000"/>
        <sz val="9.0"/>
      </rPr>
      <t>·</t>
    </r>
    <r>
      <rPr>
        <rFont val="Noto Sans CJK SC"/>
        <color rgb="FF000000"/>
        <sz val="9.0"/>
      </rPr>
      <t>해외경험</t>
    </r>
  </si>
  <si>
    <r>
      <rPr>
        <rFont val="맑은 고딕"/>
        <color rgb="FF000000"/>
        <sz val="9.0"/>
      </rPr>
      <t>3</t>
    </r>
    <r>
      <rPr>
        <rFont val="Noto Sans CJK SC"/>
        <color rgb="FF000000"/>
        <sz val="9.0"/>
      </rPr>
      <t>품 인정</t>
    </r>
  </si>
  <si>
    <r>
      <rPr>
        <rFont val="맑은 고딕"/>
        <color rgb="FF000000"/>
        <sz val="9.0"/>
      </rPr>
      <t>AI</t>
    </r>
    <r>
      <rPr>
        <rFont val="Noto Sans CJK SC"/>
        <color rgb="FF000000"/>
        <sz val="9.0"/>
      </rPr>
      <t>교육 이수내역</t>
    </r>
  </si>
  <si>
    <t>정보탐색 결과물(논문·보고서)</t>
  </si>
  <si>
    <t>논문(게재·투고·작성 중), 보고서, 학술 발표자료</t>
  </si>
  <si>
    <t>범주·텍스트</t>
  </si>
  <si>
    <t>학생 등록(포트폴리오)</t>
  </si>
  <si>
    <r>
      <rPr>
        <rFont val="Noto Sans CJK SC"/>
        <color rgb="FF000000"/>
        <sz val="9.0"/>
      </rPr>
      <t xml:space="preserve">교과 </t>
    </r>
    <r>
      <rPr>
        <rFont val="맑은 고딕"/>
        <color rgb="FF000000"/>
        <sz val="9.0"/>
      </rPr>
      <t xml:space="preserve">/ </t>
    </r>
    <r>
      <rPr>
        <rFont val="Noto Sans CJK SC"/>
        <color rgb="FF000000"/>
        <sz val="9.0"/>
      </rPr>
      <t xml:space="preserve">비교과 </t>
    </r>
    <r>
      <rPr>
        <rFont val="맑은 고딕"/>
        <color rgb="FF000000"/>
        <sz val="9.0"/>
      </rPr>
      <t>/ 3</t>
    </r>
    <r>
      <rPr>
        <rFont val="Noto Sans CJK SC"/>
        <color rgb="FF000000"/>
        <sz val="9.0"/>
      </rPr>
      <t>품</t>
    </r>
    <r>
      <rPr>
        <rFont val="맑은 고딕"/>
        <color rgb="FF000000"/>
        <sz val="9.0"/>
      </rPr>
      <t>(AI)</t>
    </r>
  </si>
  <si>
    <t>자원·정보기술활용(정보탐색) / 논리적사고</t>
  </si>
  <si>
    <t>게재 수준(학술지·학회·교내) 구분 기준 필요</t>
  </si>
  <si>
    <r>
      <rPr>
        <rFont val="맑은 고딕"/>
        <color rgb="FF000000"/>
        <sz val="9.0"/>
      </rPr>
      <t>AI</t>
    </r>
    <r>
      <rPr>
        <rFont val="Noto Sans CJK SC"/>
        <color rgb="FF000000"/>
        <sz val="9.0"/>
      </rPr>
      <t>교육 이수내역</t>
    </r>
  </si>
  <si>
    <r>
      <rPr>
        <rFont val="Noto Sans CJK SC"/>
        <color rgb="FF000000"/>
        <sz val="9.0"/>
      </rPr>
      <t xml:space="preserve">이수 </t>
    </r>
    <r>
      <rPr>
        <rFont val="맑은 고딕"/>
        <color rgb="FF000000"/>
        <sz val="9.0"/>
      </rPr>
      <t xml:space="preserve">/ </t>
    </r>
    <r>
      <rPr>
        <rFont val="Noto Sans CJK SC"/>
        <color rgb="FF000000"/>
        <sz val="9.0"/>
      </rPr>
      <t xml:space="preserve">수강중 </t>
    </r>
    <r>
      <rPr>
        <rFont val="맑은 고딕"/>
        <color rgb="FF000000"/>
        <sz val="9.0"/>
      </rPr>
      <t xml:space="preserve">/ </t>
    </r>
    <r>
      <rPr>
        <rFont val="Noto Sans CJK SC"/>
        <color rgb="FF000000"/>
        <sz val="9.0"/>
      </rPr>
      <t>미이수</t>
    </r>
  </si>
  <si>
    <r>
      <rPr>
        <rFont val="Arial"/>
        <b/>
        <color theme="1"/>
        <sz val="10.0"/>
      </rPr>
      <t xml:space="preserve">TA </t>
    </r>
    <r>
      <rPr>
        <rFont val="Noto Sans CJK SC"/>
        <b/>
        <color theme="1"/>
        <sz val="10.0"/>
      </rPr>
      <t>활동</t>
    </r>
  </si>
  <si>
    <r>
      <rPr>
        <rFont val="맑은 고딕"/>
        <color rgb="FF000000"/>
        <sz val="9.0"/>
      </rPr>
      <t xml:space="preserve">AI </t>
    </r>
    <r>
      <rPr>
        <rFont val="Noto Sans CJK SC"/>
        <color rgb="FF000000"/>
        <sz val="9.0"/>
      </rPr>
      <t>프로젝트</t>
    </r>
    <r>
      <rPr>
        <rFont val="맑은 고딕"/>
        <color rgb="FF000000"/>
        <sz val="9.0"/>
      </rPr>
      <t>·</t>
    </r>
    <r>
      <rPr>
        <rFont val="Noto Sans CJK SC"/>
        <color rgb="FF000000"/>
        <sz val="9.0"/>
      </rPr>
      <t>대회</t>
    </r>
  </si>
  <si>
    <r>
      <rPr>
        <rFont val="맑은 고딕"/>
        <color rgb="FF000000"/>
        <sz val="9.0"/>
      </rPr>
      <t>AI</t>
    </r>
    <r>
      <rPr>
        <rFont val="Noto Sans CJK SC"/>
        <color rgb="FF000000"/>
        <sz val="9.0"/>
      </rPr>
      <t xml:space="preserve">캡스톤 </t>
    </r>
    <r>
      <rPr>
        <rFont val="맑은 고딕"/>
        <color rgb="FF000000"/>
        <sz val="9.0"/>
      </rPr>
      <t>/ AI</t>
    </r>
    <r>
      <rPr>
        <rFont val="Noto Sans CJK SC"/>
        <color rgb="FF000000"/>
        <sz val="9.0"/>
      </rPr>
      <t xml:space="preserve">대회 </t>
    </r>
    <r>
      <rPr>
        <rFont val="맑은 고딕"/>
        <color rgb="FF000000"/>
        <sz val="9.0"/>
      </rPr>
      <t>/ AI</t>
    </r>
    <r>
      <rPr>
        <rFont val="Noto Sans CJK SC"/>
        <color rgb="FF000000"/>
        <sz val="9.0"/>
      </rPr>
      <t xml:space="preserve">공모전 </t>
    </r>
    <r>
      <rPr>
        <rFont val="맑은 고딕"/>
        <color rgb="FF000000"/>
        <sz val="9.0"/>
      </rPr>
      <t>/ AI</t>
    </r>
    <r>
      <rPr>
        <rFont val="Noto Sans CJK SC"/>
        <color rgb="FF000000"/>
        <sz val="9.0"/>
      </rPr>
      <t>프로젝트</t>
    </r>
  </si>
  <si>
    <t>교과목 조교(TA) 수행 이력, 기간</t>
  </si>
  <si>
    <t>학사시스템 · 교수학습센터</t>
  </si>
  <si>
    <r>
      <rPr>
        <rFont val="맑은 고딕"/>
        <color rgb="FF000000"/>
        <sz val="9.0"/>
      </rPr>
      <t xml:space="preserve">AI </t>
    </r>
    <r>
      <rPr>
        <rFont val="Noto Sans CJK SC"/>
        <color rgb="FF000000"/>
        <sz val="9.0"/>
      </rPr>
      <t>프로젝트</t>
    </r>
    <r>
      <rPr>
        <rFont val="맑은 고딕"/>
        <color rgb="FF000000"/>
        <sz val="9.0"/>
      </rPr>
      <t>·</t>
    </r>
    <r>
      <rPr>
        <rFont val="Noto Sans CJK SC"/>
        <color rgb="FF000000"/>
        <sz val="9.0"/>
      </rPr>
      <t>대회</t>
    </r>
  </si>
  <si>
    <r>
      <rPr>
        <rFont val="Arial"/>
        <color theme="1"/>
        <sz val="10.0"/>
      </rPr>
      <t xml:space="preserve">SKKU </t>
    </r>
    <r>
      <rPr>
        <rFont val="Noto Sans CJK SC"/>
        <color theme="1"/>
        <sz val="10.0"/>
      </rPr>
      <t>확보가능</t>
    </r>
  </si>
  <si>
    <t>직무전문성 / 커뮤니케이션 / 책임감</t>
  </si>
  <si>
    <t>기존 데이터셋에 없는 신규 근거</t>
  </si>
  <si>
    <r>
      <rPr>
        <rFont val="Noto Sans CJK SC"/>
        <color rgb="FF000000"/>
        <sz val="9.0"/>
      </rPr>
      <t xml:space="preserve">교내 </t>
    </r>
    <r>
      <rPr>
        <rFont val="맑은 고딕"/>
        <color rgb="FF000000"/>
        <sz val="9.0"/>
      </rPr>
      <t xml:space="preserve">/ </t>
    </r>
    <r>
      <rPr>
        <rFont val="Noto Sans CJK SC"/>
        <color rgb="FF000000"/>
        <sz val="9.0"/>
      </rPr>
      <t xml:space="preserve">지역 </t>
    </r>
    <r>
      <rPr>
        <rFont val="맑은 고딕"/>
        <color rgb="FF000000"/>
        <sz val="9.0"/>
      </rPr>
      <t xml:space="preserve">/ </t>
    </r>
    <r>
      <rPr>
        <rFont val="Noto Sans CJK SC"/>
        <color rgb="FF000000"/>
        <sz val="9.0"/>
      </rPr>
      <t xml:space="preserve">전국 </t>
    </r>
    <r>
      <rPr>
        <rFont val="맑은 고딕"/>
        <color rgb="FF000000"/>
        <sz val="9.0"/>
      </rPr>
      <t xml:space="preserve">/ </t>
    </r>
    <r>
      <rPr>
        <rFont val="Noto Sans CJK SC"/>
        <color rgb="FF000000"/>
        <sz val="9.0"/>
      </rPr>
      <t>국제</t>
    </r>
  </si>
  <si>
    <t>실무·진로</t>
  </si>
  <si>
    <t>인턴·현장실습</t>
  </si>
  <si>
    <r>
      <rPr>
        <rFont val="Noto Sans CJK SC"/>
        <color rgb="FF000000"/>
        <sz val="9.0"/>
      </rPr>
      <t xml:space="preserve">기초 </t>
    </r>
    <r>
      <rPr>
        <rFont val="맑은 고딕"/>
        <color rgb="FF000000"/>
        <sz val="9.0"/>
      </rPr>
      <t xml:space="preserve">/ </t>
    </r>
    <r>
      <rPr>
        <rFont val="Noto Sans CJK SC"/>
        <color rgb="FF000000"/>
        <sz val="9.0"/>
      </rPr>
      <t xml:space="preserve">활용 </t>
    </r>
    <r>
      <rPr>
        <rFont val="맑은 고딕"/>
        <color rgb="FF000000"/>
        <sz val="9.0"/>
      </rPr>
      <t xml:space="preserve">/ </t>
    </r>
    <r>
      <rPr>
        <rFont val="Noto Sans CJK SC"/>
        <color rgb="FF000000"/>
        <sz val="9.0"/>
      </rPr>
      <t>능숙</t>
    </r>
  </si>
  <si>
    <t>인턴십, 현장실습, 연구체험, 문제해결프로젝트</t>
  </si>
  <si>
    <t>현장실습 지원 시스템 · 3품(인턴십)</t>
  </si>
  <si>
    <t>직무전문성 / 커뮤니케이션(협업)</t>
  </si>
  <si>
    <r>
      <rPr>
        <rFont val="Noto Sans CJK SC"/>
        <color rgb="FF000000"/>
        <sz val="9.0"/>
      </rPr>
      <t>동아리</t>
    </r>
    <r>
      <rPr>
        <rFont val="맑은 고딕"/>
        <color rgb="FF000000"/>
        <sz val="9.0"/>
      </rPr>
      <t>·</t>
    </r>
    <r>
      <rPr>
        <rFont val="Noto Sans CJK SC"/>
        <color rgb="FF000000"/>
        <sz val="9.0"/>
      </rPr>
      <t>학생회 활동</t>
    </r>
  </si>
  <si>
    <t>기간(개월)과 직무 관련성을 함께 추출</t>
  </si>
  <si>
    <t>대분류별 항목 수</t>
  </si>
  <si>
    <r>
      <rPr>
        <rFont val="Noto Sans CJK SC"/>
        <color rgb="FF000000"/>
        <sz val="9.0"/>
      </rPr>
      <t xml:space="preserve">동아리 </t>
    </r>
    <r>
      <rPr>
        <rFont val="맑은 고딕"/>
        <color rgb="FF000000"/>
        <sz val="9.0"/>
      </rPr>
      <t xml:space="preserve">/ </t>
    </r>
    <r>
      <rPr>
        <rFont val="Noto Sans CJK SC"/>
        <color rgb="FF000000"/>
        <sz val="9.0"/>
      </rPr>
      <t xml:space="preserve">학생회 </t>
    </r>
    <r>
      <rPr>
        <rFont val="맑은 고딕"/>
        <color rgb="FF000000"/>
        <sz val="9.0"/>
      </rPr>
      <t xml:space="preserve">/ </t>
    </r>
    <r>
      <rPr>
        <rFont val="Noto Sans CJK SC"/>
        <color rgb="FF000000"/>
        <sz val="9.0"/>
      </rPr>
      <t xml:space="preserve">학회 </t>
    </r>
    <r>
      <rPr>
        <rFont val="맑은 고딕"/>
        <color rgb="FF000000"/>
        <sz val="9.0"/>
      </rPr>
      <t xml:space="preserve">/ </t>
    </r>
    <r>
      <rPr>
        <rFont val="Noto Sans CJK SC"/>
        <color rgb="FF000000"/>
        <sz val="9.0"/>
      </rPr>
      <t>기타단체</t>
    </r>
  </si>
  <si>
    <t>아르바이트 근무 이력, 기간</t>
  </si>
  <si>
    <t>텍스트·기간</t>
  </si>
  <si>
    <t>학생 등록(고용보험 자격이력 등)</t>
  </si>
  <si>
    <t>커뮤니케이션 / 책임감</t>
  </si>
  <si>
    <r>
      <rPr>
        <rFont val="Noto Sans CJK SC"/>
        <color rgb="FF000000"/>
        <sz val="9.0"/>
      </rPr>
      <t>동아리</t>
    </r>
    <r>
      <rPr>
        <rFont val="맑은 고딕"/>
        <color rgb="FF000000"/>
        <sz val="9.0"/>
      </rPr>
      <t>·</t>
    </r>
    <r>
      <rPr>
        <rFont val="Noto Sans CJK SC"/>
        <color rgb="FF000000"/>
        <sz val="9.0"/>
      </rPr>
      <t>학생회 활동</t>
    </r>
  </si>
  <si>
    <t>증빙 신뢰도 낮음 → 기간 위주 정량화 권장</t>
  </si>
  <si>
    <t>진로설계·취업상담</t>
  </si>
  <si>
    <r>
      <rPr>
        <rFont val="Noto Sans CJK SC"/>
        <color rgb="FF000000"/>
        <sz val="9.0"/>
      </rPr>
      <t xml:space="preserve">회장 </t>
    </r>
    <r>
      <rPr>
        <rFont val="맑은 고딕"/>
        <color rgb="FF000000"/>
        <sz val="9.0"/>
      </rPr>
      <t xml:space="preserve">/ </t>
    </r>
    <r>
      <rPr>
        <rFont val="Noto Sans CJK SC"/>
        <color rgb="FF000000"/>
        <sz val="9.0"/>
      </rPr>
      <t xml:space="preserve">부회장 </t>
    </r>
    <r>
      <rPr>
        <rFont val="맑은 고딕"/>
        <color rgb="FF000000"/>
        <sz val="9.0"/>
      </rPr>
      <t xml:space="preserve">/ </t>
    </r>
    <r>
      <rPr>
        <rFont val="Noto Sans CJK SC"/>
        <color rgb="FF000000"/>
        <sz val="9.0"/>
      </rPr>
      <t xml:space="preserve">부장 </t>
    </r>
    <r>
      <rPr>
        <rFont val="맑은 고딕"/>
        <color rgb="FF000000"/>
        <sz val="9.0"/>
      </rPr>
      <t xml:space="preserve">/ </t>
    </r>
    <r>
      <rPr>
        <rFont val="Noto Sans CJK SC"/>
        <color rgb="FF000000"/>
        <sz val="9.0"/>
      </rPr>
      <t xml:space="preserve">총무 </t>
    </r>
    <r>
      <rPr>
        <rFont val="맑은 고딕"/>
        <color rgb="FF000000"/>
        <sz val="9.0"/>
      </rPr>
      <t xml:space="preserve">/ </t>
    </r>
    <r>
      <rPr>
        <rFont val="Noto Sans CJK SC"/>
        <color rgb="FF000000"/>
        <sz val="9.0"/>
      </rPr>
      <t>부원</t>
    </r>
  </si>
  <si>
    <t>진로·취업 상담 이력, 진로 목표 설정 기록</t>
  </si>
  <si>
    <t>텍스트·수치</t>
  </si>
  <si>
    <t>경력개발 · 상담 시스템</t>
  </si>
  <si>
    <t>자기관리(계획 수립) / 직무전문성</t>
  </si>
  <si>
    <r>
      <rPr>
        <rFont val="Arial"/>
        <color theme="1"/>
        <sz val="10.0"/>
      </rPr>
      <t>'</t>
    </r>
    <r>
      <rPr>
        <rFont val="Noto Sans CJK SC"/>
        <color theme="1"/>
        <sz val="10.0"/>
      </rPr>
      <t>계획 수립 및 실행 능력</t>
    </r>
    <r>
      <rPr>
        <rFont val="Arial"/>
        <color theme="1"/>
        <sz val="10.0"/>
      </rPr>
      <t>'</t>
    </r>
    <r>
      <rPr>
        <rFont val="Noto Sans CJK SC"/>
        <color theme="1"/>
        <sz val="10.0"/>
      </rPr>
      <t xml:space="preserve">의 근거가 </t>
    </r>
    <r>
      <rPr>
        <rFont val="Arial"/>
        <color theme="1"/>
        <sz val="10.0"/>
      </rPr>
      <t xml:space="preserve">LMS </t>
    </r>
    <r>
      <rPr>
        <rFont val="Noto Sans CJK SC"/>
        <color theme="1"/>
        <sz val="10.0"/>
      </rPr>
      <t>하나뿐인 공백 보완</t>
    </r>
  </si>
  <si>
    <r>
      <rPr>
        <rFont val="Noto Sans CJK SC"/>
        <i/>
        <color rgb="FF7F7F7F"/>
        <sz val="8.0"/>
      </rPr>
      <t>출처</t>
    </r>
    <r>
      <rPr>
        <rFont val="맑은 고딕"/>
        <i/>
        <color rgb="FF7F7F7F"/>
        <sz val="8.0"/>
      </rPr>
      <t xml:space="preserve">: LMS(i-Campus) · </t>
    </r>
    <r>
      <rPr>
        <rFont val="Noto Sans CJK SC"/>
        <i/>
        <color rgb="FF7F7F7F"/>
        <sz val="8.0"/>
      </rPr>
      <t xml:space="preserve">출석앱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자기관리 </t>
    </r>
    <r>
      <rPr>
        <rFont val="맑은 고딕"/>
        <i/>
        <color rgb="FF7F7F7F"/>
        <sz val="8.0"/>
      </rPr>
      <t xml:space="preserve">/ </t>
    </r>
    <r>
      <rPr>
        <rFont val="Noto Sans CJK SC"/>
        <i/>
        <color rgb="FF7F7F7F"/>
        <sz val="8.0"/>
      </rPr>
      <t xml:space="preserve">성실성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마인드맵 </t>
    </r>
    <r>
      <rPr>
        <rFont val="맑은 고딕"/>
        <i/>
        <color rgb="FF7F7F7F"/>
        <sz val="8.0"/>
      </rPr>
      <t>'</t>
    </r>
    <r>
      <rPr>
        <rFont val="Noto Sans CJK SC"/>
        <i/>
        <color rgb="FF7F7F7F"/>
        <sz val="8.0"/>
      </rPr>
      <t>퀴즈 생성 주기</t>
    </r>
    <r>
      <rPr>
        <rFont val="맑은 고딕"/>
        <i/>
        <color rgb="FF7F7F7F"/>
        <sz val="8.0"/>
      </rPr>
      <t xml:space="preserve">' vs </t>
    </r>
    <r>
      <rPr>
        <rFont val="Noto Sans CJK SC"/>
        <i/>
        <color rgb="FF7F7F7F"/>
        <sz val="8.0"/>
      </rPr>
      <t xml:space="preserve">데이터 </t>
    </r>
    <r>
      <rPr>
        <rFont val="맑은 고딕"/>
        <i/>
        <color rgb="FF7F7F7F"/>
        <sz val="8.0"/>
      </rPr>
      <t>'</t>
    </r>
    <r>
      <rPr>
        <rFont val="Noto Sans CJK SC"/>
        <i/>
        <color rgb="FF7F7F7F"/>
        <sz val="8.0"/>
      </rPr>
      <t>퀴즈풀이횟수</t>
    </r>
    <r>
      <rPr>
        <rFont val="맑은 고딕"/>
        <i/>
        <color rgb="FF7F7F7F"/>
        <sz val="8.0"/>
      </rPr>
      <t xml:space="preserve">' </t>
    </r>
    <r>
      <rPr>
        <rFont val="Noto Sans CJK SC"/>
        <i/>
        <color rgb="FF7F7F7F"/>
        <sz val="8.0"/>
      </rPr>
      <t>용어 통일 필요</t>
    </r>
  </si>
  <si>
    <r>
      <rPr>
        <rFont val="Noto Sans CJK SC"/>
        <color rgb="FF000000"/>
        <sz val="9.0"/>
      </rPr>
      <t xml:space="preserve">교내 </t>
    </r>
    <r>
      <rPr>
        <rFont val="맑은 고딕"/>
        <color rgb="FF000000"/>
        <sz val="9.0"/>
      </rPr>
      <t xml:space="preserve">/ </t>
    </r>
    <r>
      <rPr>
        <rFont val="Noto Sans CJK SC"/>
        <color rgb="FF000000"/>
        <sz val="9.0"/>
      </rPr>
      <t>교외</t>
    </r>
    <r>
      <rPr>
        <rFont val="맑은 고딕"/>
        <color rgb="FF000000"/>
        <sz val="9.0"/>
      </rPr>
      <t>(</t>
    </r>
    <r>
      <rPr>
        <rFont val="Noto Sans CJK SC"/>
        <color rgb="FF000000"/>
        <sz val="9.0"/>
      </rPr>
      <t>국내</t>
    </r>
    <r>
      <rPr>
        <rFont val="맑은 고딕"/>
        <color rgb="FF000000"/>
        <sz val="9.0"/>
      </rPr>
      <t xml:space="preserve">) / </t>
    </r>
    <r>
      <rPr>
        <rFont val="Noto Sans CJK SC"/>
        <color rgb="FF000000"/>
        <sz val="9.0"/>
      </rPr>
      <t xml:space="preserve">국외 </t>
    </r>
    <r>
      <rPr>
        <rFont val="맑은 고딕"/>
        <color rgb="FF000000"/>
        <sz val="9.0"/>
      </rPr>
      <t xml:space="preserve">/ </t>
    </r>
    <r>
      <rPr>
        <rFont val="Noto Sans CJK SC"/>
        <color rgb="FF000000"/>
        <sz val="9.0"/>
      </rPr>
      <t>유학생 봉사</t>
    </r>
  </si>
  <si>
    <t>창의·도전</t>
  </si>
  <si>
    <r>
      <rPr>
        <rFont val="Noto Sans CJK SC"/>
        <color rgb="FF000000"/>
        <sz val="9.0"/>
      </rPr>
      <t>멘토링</t>
    </r>
    <r>
      <rPr>
        <rFont val="맑은 고딕"/>
        <color rgb="FF000000"/>
        <sz val="9.0"/>
      </rPr>
      <t>·</t>
    </r>
    <r>
      <rPr>
        <rFont val="Noto Sans CJK SC"/>
        <color rgb="FF000000"/>
        <sz val="9.0"/>
      </rPr>
      <t>학습공동체</t>
    </r>
  </si>
  <si>
    <t>항목 수</t>
  </si>
  <si>
    <t>공모전 참가·수상</t>
  </si>
  <si>
    <t>기존 포함</t>
  </si>
  <si>
    <r>
      <rPr>
        <rFont val="Noto Sans CJK SC"/>
        <color rgb="FF000000"/>
        <sz val="9.0"/>
      </rPr>
      <t xml:space="preserve">튜터 </t>
    </r>
    <r>
      <rPr>
        <rFont val="맑은 고딕"/>
        <color rgb="FF000000"/>
        <sz val="9.0"/>
      </rPr>
      <t xml:space="preserve">/ </t>
    </r>
    <r>
      <rPr>
        <rFont val="Noto Sans CJK SC"/>
        <color rgb="FF000000"/>
        <sz val="9.0"/>
      </rPr>
      <t xml:space="preserve">튜티 </t>
    </r>
    <r>
      <rPr>
        <rFont val="맑은 고딕"/>
        <color rgb="FF000000"/>
        <sz val="9.0"/>
      </rPr>
      <t xml:space="preserve">/ </t>
    </r>
    <r>
      <rPr>
        <rFont val="Noto Sans CJK SC"/>
        <color rgb="FF000000"/>
        <sz val="9.0"/>
      </rPr>
      <t xml:space="preserve">멘토 </t>
    </r>
    <r>
      <rPr>
        <rFont val="맑은 고딕"/>
        <color rgb="FF000000"/>
        <sz val="9.0"/>
      </rPr>
      <t xml:space="preserve">/ </t>
    </r>
    <r>
      <rPr>
        <rFont val="Noto Sans CJK SC"/>
        <color rgb="FF000000"/>
        <sz val="9.0"/>
      </rPr>
      <t xml:space="preserve">멘티 </t>
    </r>
    <r>
      <rPr>
        <rFont val="맑은 고딕"/>
        <color rgb="FF000000"/>
        <sz val="9.0"/>
      </rPr>
      <t xml:space="preserve">/ </t>
    </r>
    <r>
      <rPr>
        <rFont val="Noto Sans CJK SC"/>
        <color rgb="FF000000"/>
        <sz val="9.0"/>
      </rPr>
      <t xml:space="preserve">스터디 </t>
    </r>
    <r>
      <rPr>
        <rFont val="맑은 고딕"/>
        <color rgb="FF000000"/>
        <sz val="9.0"/>
      </rPr>
      <t xml:space="preserve">/ </t>
    </r>
    <r>
      <rPr>
        <rFont val="Noto Sans CJK SC"/>
        <color rgb="FF000000"/>
        <sz val="9.0"/>
      </rPr>
      <t>학습공동체</t>
    </r>
  </si>
  <si>
    <t>각종 공모전·경진대회 참가 및 수상(등급·주관 수준)</t>
  </si>
  <si>
    <t>비교과 시스템 · 3품(창의)</t>
  </si>
  <si>
    <r>
      <rPr>
        <rFont val="Arial"/>
        <b/>
        <color rgb="FFFFFFFF"/>
        <sz val="11.0"/>
      </rPr>
      <t xml:space="preserve">SKKU </t>
    </r>
    <r>
      <rPr>
        <rFont val="Noto Sans CJK SC"/>
        <b/>
        <color rgb="FFFFFFFF"/>
        <sz val="11.0"/>
      </rPr>
      <t>확보가능 포함</t>
    </r>
  </si>
  <si>
    <t>창의 / 종합적사고력 / 문제해결력 / 도전정신</t>
  </si>
  <si>
    <r>
      <rPr>
        <rFont val="맑은 고딕"/>
        <color rgb="FF1F3B8A"/>
        <sz val="10.0"/>
      </rPr>
      <t>2026-1</t>
    </r>
    <r>
      <rPr>
        <rFont val="Noto Sans CJK SC"/>
        <color rgb="FF1F3B8A"/>
        <sz val="10.0"/>
      </rPr>
      <t>학기</t>
    </r>
  </si>
  <si>
    <t>수상 등급 × 주관 수준(교내·전국·국제) 매핑 필요</t>
  </si>
  <si>
    <r>
      <rPr>
        <rFont val="Noto Sans CJK SC"/>
        <color rgb="FF000000"/>
        <sz val="9.0"/>
      </rPr>
      <t>자격증</t>
    </r>
    <r>
      <rPr>
        <rFont val="맑은 고딕"/>
        <color rgb="FF000000"/>
        <sz val="9.0"/>
      </rPr>
      <t>(</t>
    </r>
    <r>
      <rPr>
        <rFont val="Noto Sans CJK SC"/>
        <color rgb="FF000000"/>
        <sz val="9.0"/>
      </rPr>
      <t>어학</t>
    </r>
    <r>
      <rPr>
        <rFont val="맑은 고딕"/>
        <color rgb="FF000000"/>
        <sz val="9.0"/>
      </rPr>
      <t>)</t>
    </r>
  </si>
  <si>
    <r>
      <rPr>
        <rFont val="맑은 고딕"/>
        <color rgb="FF000000"/>
        <sz val="9.0"/>
      </rPr>
      <t xml:space="preserve">TOEIC / TOEFL iBT / TOEIC Speaking / OPIc / HSK / JPT / JLPT / DELF/DALF / DELE / </t>
    </r>
    <r>
      <rPr>
        <rFont val="Noto Sans CJK SC"/>
        <color rgb="FF000000"/>
        <sz val="9.0"/>
      </rPr>
      <t>기타</t>
    </r>
  </si>
  <si>
    <t>창업 교과목 이수, 창업 경진대회, 사업자등록</t>
  </si>
  <si>
    <r>
      <rPr>
        <rFont val="Noto Sans CJK SC"/>
        <color rgb="FF7F7F7F"/>
        <sz val="9.0"/>
      </rPr>
      <t>예</t>
    </r>
    <r>
      <rPr>
        <rFont val="맑은 고딕"/>
        <color rgb="FF7F7F7F"/>
        <sz val="9.0"/>
      </rPr>
      <t>: 2026-1</t>
    </r>
    <r>
      <rPr>
        <rFont val="Noto Sans CJK SC"/>
        <color rgb="FF7F7F7F"/>
        <sz val="9.0"/>
      </rPr>
      <t>학기</t>
    </r>
  </si>
  <si>
    <t>학사시스템 · 창업지원 · 3품(창의)</t>
  </si>
  <si>
    <t>창의 / 도전정신</t>
  </si>
  <si>
    <r>
      <rPr>
        <rFont val="Noto Sans CJK SC"/>
        <color rgb="FF000000"/>
        <sz val="9.0"/>
      </rPr>
      <t>전문직</t>
    </r>
    <r>
      <rPr>
        <rFont val="맑은 고딕"/>
        <color rgb="FF000000"/>
        <sz val="9.0"/>
      </rPr>
      <t>·</t>
    </r>
    <r>
      <rPr>
        <rFont val="Noto Sans CJK SC"/>
        <color rgb="FF000000"/>
        <sz val="9.0"/>
      </rPr>
      <t>공직 시험</t>
    </r>
  </si>
  <si>
    <r>
      <rPr>
        <rFont val="Noto Sans CJK SC"/>
        <b/>
        <color rgb="FF000000"/>
        <sz val="10.0"/>
      </rPr>
      <t>출석률</t>
    </r>
    <r>
      <rPr>
        <rFont val="맑은 고딕"/>
        <b/>
        <color rgb="FF000000"/>
        <sz val="10.0"/>
      </rPr>
      <t>(%)</t>
    </r>
  </si>
  <si>
    <t>특허출원·SW 등록</t>
  </si>
  <si>
    <t>특허·실용신안·디자인 출원, SW 프로그램 등록</t>
  </si>
  <si>
    <r>
      <rPr>
        <rFont val="Noto Sans CJK SC"/>
        <color rgb="FF7F7F7F"/>
        <sz val="9.0"/>
      </rPr>
      <t xml:space="preserve">숫자 </t>
    </r>
    <r>
      <rPr>
        <rFont val="맑은 고딕"/>
        <color rgb="FF7F7F7F"/>
        <sz val="9.0"/>
      </rPr>
      <t>0~100</t>
    </r>
  </si>
  <si>
    <r>
      <rPr>
        <rFont val="Noto Sans CJK SC"/>
        <color rgb="FF000000"/>
        <sz val="9.0"/>
      </rPr>
      <t xml:space="preserve">응시 </t>
    </r>
    <r>
      <rPr>
        <rFont val="맑은 고딕"/>
        <color rgb="FF000000"/>
        <sz val="9.0"/>
      </rPr>
      <t>/ 1</t>
    </r>
    <r>
      <rPr>
        <rFont val="Noto Sans CJK SC"/>
        <color rgb="FF000000"/>
        <sz val="9.0"/>
      </rPr>
      <t xml:space="preserve">차 합격 </t>
    </r>
    <r>
      <rPr>
        <rFont val="맑은 고딕"/>
        <color rgb="FF000000"/>
        <sz val="9.0"/>
      </rPr>
      <t>/ 2</t>
    </r>
    <r>
      <rPr>
        <rFont val="Noto Sans CJK SC"/>
        <color rgb="FF000000"/>
        <sz val="9.0"/>
      </rPr>
      <t xml:space="preserve">차 합격 </t>
    </r>
    <r>
      <rPr>
        <rFont val="맑은 고딕"/>
        <color rgb="FF000000"/>
        <sz val="9.0"/>
      </rPr>
      <t xml:space="preserve">/ </t>
    </r>
    <r>
      <rPr>
        <rFont val="Noto Sans CJK SC"/>
        <color rgb="FF000000"/>
        <sz val="9.0"/>
      </rPr>
      <t>최종 합격</t>
    </r>
  </si>
  <si>
    <r>
      <rPr>
        <rFont val="맑은 고딕"/>
        <color rgb="FF7F7F7F"/>
        <sz val="9.0"/>
      </rPr>
      <t xml:space="preserve">% </t>
    </r>
    <r>
      <rPr>
        <rFont val="Noto Sans CJK SC"/>
        <color rgb="FF7F7F7F"/>
        <sz val="9.0"/>
      </rPr>
      <t>기호 없이 숫자만</t>
    </r>
  </si>
  <si>
    <r>
      <rPr>
        <rFont val="맑은 고딕"/>
        <color rgb="FF000000"/>
        <sz val="9.0"/>
      </rPr>
      <t>3</t>
    </r>
    <r>
      <rPr>
        <rFont val="Noto Sans CJK SC"/>
        <color rgb="FF000000"/>
        <sz val="9.0"/>
      </rPr>
      <t>품인증 취득현황</t>
    </r>
  </si>
  <si>
    <r>
      <rPr>
        <rFont val="Arial"/>
        <color theme="1"/>
        <sz val="10.0"/>
      </rPr>
      <t>3</t>
    </r>
    <r>
      <rPr>
        <rFont val="Noto Sans CJK SC"/>
        <color theme="1"/>
        <sz val="10.0"/>
      </rPr>
      <t>품</t>
    </r>
    <r>
      <rPr>
        <rFont val="Arial"/>
        <color theme="1"/>
        <sz val="10.0"/>
      </rPr>
      <t>(</t>
    </r>
    <r>
      <rPr>
        <rFont val="Noto Sans CJK SC"/>
        <color theme="1"/>
        <sz val="10.0"/>
      </rPr>
      <t>창의</t>
    </r>
    <r>
      <rPr>
        <rFont val="Arial"/>
        <color theme="1"/>
        <sz val="10.0"/>
      </rPr>
      <t xml:space="preserve">) </t>
    </r>
    <r>
      <rPr>
        <rFont val="Noto Sans CJK SC"/>
        <color theme="1"/>
        <sz val="10.0"/>
      </rPr>
      <t xml:space="preserve">인증 </t>
    </r>
    <r>
      <rPr>
        <rFont val="Arial"/>
        <color theme="1"/>
        <sz val="10.0"/>
      </rPr>
      <t xml:space="preserve">· </t>
    </r>
    <r>
      <rPr>
        <rFont val="Noto Sans CJK SC"/>
        <color theme="1"/>
        <sz val="10.0"/>
      </rPr>
      <t>학생 등록</t>
    </r>
  </si>
  <si>
    <r>
      <rPr>
        <rFont val="Noto Sans CJK SC"/>
        <color rgb="FF000000"/>
        <sz val="9.0"/>
      </rPr>
      <t xml:space="preserve">취득 </t>
    </r>
    <r>
      <rPr>
        <rFont val="맑은 고딕"/>
        <color rgb="FF000000"/>
        <sz val="9.0"/>
      </rPr>
      <t xml:space="preserve">/ </t>
    </r>
    <r>
      <rPr>
        <rFont val="Noto Sans CJK SC"/>
        <color rgb="FF000000"/>
        <sz val="9.0"/>
      </rPr>
      <t xml:space="preserve">진행중 </t>
    </r>
    <r>
      <rPr>
        <rFont val="맑은 고딕"/>
        <color rgb="FF000000"/>
        <sz val="9.0"/>
      </rPr>
      <t xml:space="preserve">/ </t>
    </r>
    <r>
      <rPr>
        <rFont val="Noto Sans CJK SC"/>
        <color rgb="FF000000"/>
        <sz val="9.0"/>
      </rPr>
      <t>미취득</t>
    </r>
  </si>
  <si>
    <r>
      <rPr>
        <rFont val="Arial"/>
        <color theme="1"/>
        <sz val="10.0"/>
      </rPr>
      <t xml:space="preserve">SKKU </t>
    </r>
    <r>
      <rPr>
        <rFont val="Noto Sans CJK SC"/>
        <color theme="1"/>
        <sz val="10.0"/>
      </rPr>
      <t>확보가능</t>
    </r>
  </si>
  <si>
    <t>창의 / 도전정신 / 직무전문성</t>
  </si>
  <si>
    <r>
      <rPr>
        <rFont val="Noto Sans CJK SC"/>
        <b/>
        <color rgb="FF000000"/>
        <sz val="10.0"/>
      </rPr>
      <t>과제 기한 준수율</t>
    </r>
    <r>
      <rPr>
        <rFont val="맑은 고딕"/>
        <b/>
        <color rgb="FF000000"/>
        <sz val="10.0"/>
      </rPr>
      <t>(%)</t>
    </r>
  </si>
  <si>
    <r>
      <rPr>
        <rFont val="맑은 고딕"/>
        <color rgb="FF000000"/>
        <sz val="9.0"/>
      </rPr>
      <t>3</t>
    </r>
    <r>
      <rPr>
        <rFont val="Noto Sans CJK SC"/>
        <color rgb="FF000000"/>
        <sz val="9.0"/>
      </rPr>
      <t>품인증 취득현황</t>
    </r>
  </si>
  <si>
    <r>
      <rPr>
        <rFont val="Noto Sans CJK SC"/>
        <color rgb="FF7F7F7F"/>
        <sz val="9.0"/>
      </rPr>
      <t xml:space="preserve">숫자 </t>
    </r>
    <r>
      <rPr>
        <rFont val="맑은 고딕"/>
        <color rgb="FF7F7F7F"/>
        <sz val="9.0"/>
      </rPr>
      <t>0~100</t>
    </r>
  </si>
  <si>
    <r>
      <rPr>
        <rFont val="맑은 고딕"/>
        <color rgb="FF7F7F7F"/>
        <sz val="9.0"/>
      </rPr>
      <t xml:space="preserve">% </t>
    </r>
    <r>
      <rPr>
        <rFont val="Noto Sans CJK SC"/>
        <color rgb="FF7F7F7F"/>
        <sz val="9.0"/>
      </rPr>
      <t>기호 없이 숫자만</t>
    </r>
  </si>
  <si>
    <r>
      <rPr>
        <rFont val="Noto Sans CJK SC"/>
        <color rgb="FF000000"/>
        <sz val="9.0"/>
      </rPr>
      <t xml:space="preserve">취득 </t>
    </r>
    <r>
      <rPr>
        <rFont val="맑은 고딕"/>
        <color rgb="FF000000"/>
        <sz val="9.0"/>
      </rPr>
      <t xml:space="preserve">/ </t>
    </r>
    <r>
      <rPr>
        <rFont val="Noto Sans CJK SC"/>
        <color rgb="FF000000"/>
        <sz val="9.0"/>
      </rPr>
      <t xml:space="preserve">진행중 </t>
    </r>
    <r>
      <rPr>
        <rFont val="맑은 고딕"/>
        <color rgb="FF000000"/>
        <sz val="9.0"/>
      </rPr>
      <t xml:space="preserve">/ </t>
    </r>
    <r>
      <rPr>
        <rFont val="Noto Sans CJK SC"/>
        <color rgb="FF000000"/>
        <sz val="9.0"/>
      </rPr>
      <t>미취득</t>
    </r>
  </si>
  <si>
    <t>교환학생·해외경험</t>
  </si>
  <si>
    <t>교환학생, 어학연수, 해외봉사, 국제연구, 국제문화체험, 해외학습</t>
  </si>
  <si>
    <r>
      <rPr>
        <rFont val="맑은 고딕"/>
        <color rgb="FF000000"/>
        <sz val="9.0"/>
      </rPr>
      <t>3</t>
    </r>
    <r>
      <rPr>
        <rFont val="Noto Sans CJK SC"/>
        <color rgb="FF000000"/>
        <sz val="9.0"/>
      </rPr>
      <t>품인증 취득현황</t>
    </r>
  </si>
  <si>
    <t>국제처 · 3품(글로벌)</t>
  </si>
  <si>
    <t>글로벌(문화적 수용능력)</t>
  </si>
  <si>
    <r>
      <rPr>
        <rFont val="Noto Sans CJK SC"/>
        <color rgb="FF7F7F7F"/>
        <sz val="9.0"/>
      </rPr>
      <t>회</t>
    </r>
    <r>
      <rPr>
        <rFont val="맑은 고딕"/>
        <color rgb="FF7F7F7F"/>
        <sz val="9.0"/>
      </rPr>
      <t>/</t>
    </r>
    <r>
      <rPr>
        <rFont val="Noto Sans CJK SC"/>
        <color rgb="FF7F7F7F"/>
        <sz val="9.0"/>
      </rPr>
      <t>주</t>
    </r>
  </si>
  <si>
    <r>
      <rPr>
        <rFont val="Noto Sans CJK SC"/>
        <color rgb="FF000000"/>
        <sz val="9.0"/>
      </rPr>
      <t xml:space="preserve">취득 </t>
    </r>
    <r>
      <rPr>
        <rFont val="맑은 고딕"/>
        <color rgb="FF000000"/>
        <sz val="9.0"/>
      </rPr>
      <t xml:space="preserve">/ </t>
    </r>
    <r>
      <rPr>
        <rFont val="Noto Sans CJK SC"/>
        <color rgb="FF000000"/>
        <sz val="9.0"/>
      </rPr>
      <t xml:space="preserve">진행중 </t>
    </r>
    <r>
      <rPr>
        <rFont val="맑은 고딕"/>
        <color rgb="FF000000"/>
        <sz val="9.0"/>
      </rPr>
      <t xml:space="preserve">/ </t>
    </r>
    <r>
      <rPr>
        <rFont val="Noto Sans CJK SC"/>
        <color rgb="FF000000"/>
        <sz val="9.0"/>
      </rPr>
      <t>미취득</t>
    </r>
  </si>
  <si>
    <r>
      <rPr>
        <rFont val="Arial"/>
        <color theme="1"/>
        <sz val="10.0"/>
      </rPr>
      <t xml:space="preserve">[C] </t>
    </r>
    <r>
      <rPr>
        <rFont val="Noto Sans CJK SC"/>
        <color theme="1"/>
        <sz val="10.0"/>
      </rPr>
      <t>국제연구</t>
    </r>
    <r>
      <rPr>
        <rFont val="Arial"/>
        <color theme="1"/>
        <sz val="10.0"/>
      </rPr>
      <t>·</t>
    </r>
    <r>
      <rPr>
        <rFont val="Noto Sans CJK SC"/>
        <color theme="1"/>
        <sz val="10.0"/>
      </rPr>
      <t>국제문화체험 항목 추가</t>
    </r>
  </si>
  <si>
    <r>
      <rPr>
        <rFont val="맑은 고딕"/>
        <color rgb="FF000000"/>
        <sz val="9.0"/>
      </rPr>
      <t>3</t>
    </r>
    <r>
      <rPr>
        <rFont val="Noto Sans CJK SC"/>
        <color rgb="FF000000"/>
        <sz val="9.0"/>
      </rPr>
      <t>품인증 취득현황</t>
    </r>
  </si>
  <si>
    <r>
      <rPr>
        <rFont val="Noto Sans CJK SC"/>
        <b/>
        <color rgb="FF000000"/>
        <sz val="10.0"/>
      </rPr>
      <t>퀴즈 풀이 횟수</t>
    </r>
    <r>
      <rPr>
        <rFont val="맑은 고딕"/>
        <b/>
        <color rgb="FF000000"/>
        <sz val="10.0"/>
      </rPr>
      <t>(</t>
    </r>
    <r>
      <rPr>
        <rFont val="Noto Sans CJK SC"/>
        <b/>
        <color rgb="FF000000"/>
        <sz val="10.0"/>
      </rPr>
      <t>누적</t>
    </r>
    <r>
      <rPr>
        <rFont val="맑은 고딕"/>
        <b/>
        <color rgb="FF000000"/>
        <sz val="10.0"/>
      </rPr>
      <t>)</t>
    </r>
  </si>
  <si>
    <r>
      <rPr>
        <rFont val="맑은 고딕"/>
        <color rgb="FF000000"/>
        <sz val="9.0"/>
      </rPr>
      <t xml:space="preserve">AI </t>
    </r>
    <r>
      <rPr>
        <rFont val="Noto Sans CJK SC"/>
        <color rgb="FF000000"/>
        <sz val="9.0"/>
      </rPr>
      <t>영역</t>
    </r>
  </si>
  <si>
    <t>국제어(외국어) 강의 이수 과목·학점</t>
  </si>
  <si>
    <r>
      <rPr>
        <rFont val="Noto Sans CJK SC"/>
        <color rgb="FF000000"/>
        <sz val="9.0"/>
      </rPr>
      <t xml:space="preserve">취득 </t>
    </r>
    <r>
      <rPr>
        <rFont val="맑은 고딕"/>
        <color rgb="FF000000"/>
        <sz val="9.0"/>
      </rPr>
      <t xml:space="preserve">/ </t>
    </r>
    <r>
      <rPr>
        <rFont val="Noto Sans CJK SC"/>
        <color rgb="FF000000"/>
        <sz val="9.0"/>
      </rPr>
      <t xml:space="preserve">진행중 </t>
    </r>
    <r>
      <rPr>
        <rFont val="맑은 고딕"/>
        <color rgb="FF000000"/>
        <sz val="9.0"/>
      </rPr>
      <t xml:space="preserve">/ </t>
    </r>
    <r>
      <rPr>
        <rFont val="Noto Sans CJK SC"/>
        <color rgb="FF000000"/>
        <sz val="9.0"/>
      </rPr>
      <t>미취득</t>
    </r>
  </si>
  <si>
    <r>
      <rPr>
        <rFont val="Arial"/>
        <color theme="1"/>
        <sz val="10.0"/>
      </rPr>
      <t xml:space="preserve">SKKU </t>
    </r>
    <r>
      <rPr>
        <rFont val="Noto Sans CJK SC"/>
        <color theme="1"/>
        <sz val="10.0"/>
      </rPr>
      <t>확보가능</t>
    </r>
  </si>
  <si>
    <r>
      <rPr>
        <rFont val="맑은 고딕"/>
        <color rgb="FF000000"/>
        <sz val="9.0"/>
      </rPr>
      <t>3</t>
    </r>
    <r>
      <rPr>
        <rFont val="Noto Sans CJK SC"/>
        <color rgb="FF000000"/>
        <sz val="9.0"/>
      </rPr>
      <t>품인증 취득현황</t>
    </r>
  </si>
  <si>
    <t>글로벌(외국어 능력)</t>
  </si>
  <si>
    <t>마인드맵(기업 관심-글로벌)에 있으나 기존 데이터셋에 없음</t>
  </si>
  <si>
    <r>
      <rPr>
        <rFont val="Noto Sans CJK SC"/>
        <color rgb="FF000000"/>
        <sz val="9.0"/>
      </rPr>
      <t xml:space="preserve">취득 </t>
    </r>
    <r>
      <rPr>
        <rFont val="맑은 고딕"/>
        <color rgb="FF000000"/>
        <sz val="9.0"/>
      </rPr>
      <t xml:space="preserve">/ </t>
    </r>
    <r>
      <rPr>
        <rFont val="Noto Sans CJK SC"/>
        <color rgb="FF000000"/>
        <sz val="9.0"/>
      </rPr>
      <t xml:space="preserve">진행중 </t>
    </r>
    <r>
      <rPr>
        <rFont val="맑은 고딕"/>
        <color rgb="FF000000"/>
        <sz val="9.0"/>
      </rPr>
      <t xml:space="preserve">/ </t>
    </r>
    <r>
      <rPr>
        <rFont val="Noto Sans CJK SC"/>
        <color rgb="FF000000"/>
        <sz val="9.0"/>
      </rPr>
      <t>미취득</t>
    </r>
  </si>
  <si>
    <t>디지털·AI</t>
  </si>
  <si>
    <r>
      <rPr>
        <rFont val="Noto Sans CJK SC"/>
        <b/>
        <color rgb="FF000000"/>
        <sz val="10.0"/>
      </rPr>
      <t>학습계획 달성률</t>
    </r>
    <r>
      <rPr>
        <rFont val="맑은 고딕"/>
        <b/>
        <color rgb="FF000000"/>
        <sz val="10.0"/>
      </rPr>
      <t>(%)</t>
    </r>
  </si>
  <si>
    <r>
      <rPr>
        <rFont val="Noto Sans CJK SC"/>
        <color rgb="FF7F7F7F"/>
        <sz val="9.0"/>
      </rPr>
      <t xml:space="preserve">숫자 </t>
    </r>
    <r>
      <rPr>
        <rFont val="맑은 고딕"/>
        <color rgb="FF7F7F7F"/>
        <sz val="9.0"/>
      </rPr>
      <t>0~100</t>
    </r>
  </si>
  <si>
    <r>
      <rPr>
        <rFont val="Arial"/>
        <b/>
        <color theme="1"/>
        <sz val="10.0"/>
      </rPr>
      <t>AI</t>
    </r>
    <r>
      <rPr>
        <rFont val="Noto Sans CJK SC"/>
        <b/>
        <color theme="1"/>
        <sz val="10.0"/>
      </rPr>
      <t>교육 이수내역</t>
    </r>
  </si>
  <si>
    <r>
      <rPr>
        <rFont val="Noto Sans CJK SC"/>
        <color rgb="FF000000"/>
        <sz val="9.0"/>
      </rPr>
      <t xml:space="preserve">지도교수 </t>
    </r>
    <r>
      <rPr>
        <rFont val="맑은 고딕"/>
        <color rgb="FF000000"/>
        <sz val="9.0"/>
      </rPr>
      <t xml:space="preserve">/ </t>
    </r>
    <r>
      <rPr>
        <rFont val="Noto Sans CJK SC"/>
        <color rgb="FF000000"/>
        <sz val="9.0"/>
      </rPr>
      <t>수업 담당교수</t>
    </r>
  </si>
  <si>
    <r>
      <rPr>
        <rFont val="Arial"/>
        <color theme="1"/>
        <sz val="10.0"/>
      </rPr>
      <t xml:space="preserve">AI </t>
    </r>
    <r>
      <rPr>
        <rFont val="Noto Sans CJK SC"/>
        <color theme="1"/>
        <sz val="10.0"/>
      </rPr>
      <t>교과</t>
    </r>
    <r>
      <rPr>
        <rFont val="Arial"/>
        <color theme="1"/>
        <sz val="10.0"/>
      </rPr>
      <t>·</t>
    </r>
    <r>
      <rPr>
        <rFont val="Noto Sans CJK SC"/>
        <color theme="1"/>
        <sz val="10.0"/>
      </rPr>
      <t>비교과 교육</t>
    </r>
    <r>
      <rPr>
        <rFont val="Arial"/>
        <color theme="1"/>
        <sz val="10.0"/>
      </rPr>
      <t xml:space="preserve">, </t>
    </r>
    <r>
      <rPr>
        <rFont val="Noto Sans CJK SC"/>
        <color theme="1"/>
        <sz val="10.0"/>
      </rPr>
      <t xml:space="preserve">생성형 </t>
    </r>
    <r>
      <rPr>
        <rFont val="Arial"/>
        <color theme="1"/>
        <sz val="10.0"/>
      </rPr>
      <t>AI·</t>
    </r>
    <r>
      <rPr>
        <rFont val="Noto Sans CJK SC"/>
        <color theme="1"/>
        <sz val="10.0"/>
      </rPr>
      <t>바이브 코딩 교육</t>
    </r>
  </si>
  <si>
    <t>범주·시간</t>
  </si>
  <si>
    <t>학사시스템 · 비교과 · 3품(AI)</t>
  </si>
  <si>
    <r>
      <rPr>
        <rFont val="Noto Sans CJK SC"/>
        <b/>
        <color rgb="FF000000"/>
        <sz val="11.0"/>
      </rPr>
      <t>교수면담</t>
    </r>
    <r>
      <rPr>
        <rFont val="맑은 고딕"/>
        <b/>
        <color rgb="FF000000"/>
        <sz val="11.0"/>
      </rPr>
      <t>·</t>
    </r>
    <r>
      <rPr>
        <rFont val="Noto Sans CJK SC"/>
        <b/>
        <color rgb="FF000000"/>
        <sz val="11.0"/>
      </rPr>
      <t>학업상담</t>
    </r>
  </si>
  <si>
    <t>자원·정보기술활용 / 디지털리터러시</t>
  </si>
  <si>
    <t>이수 '시간'까지 받으면 정량화 쉬워짐</t>
  </si>
  <si>
    <r>
      <rPr>
        <rFont val="Arial"/>
        <b/>
        <color theme="1"/>
        <sz val="10.0"/>
      </rPr>
      <t xml:space="preserve">AI </t>
    </r>
    <r>
      <rPr>
        <rFont val="Noto Sans CJK SC"/>
        <b/>
        <color theme="1"/>
        <sz val="10.0"/>
      </rPr>
      <t>프로젝트</t>
    </r>
    <r>
      <rPr>
        <rFont val="Arial"/>
        <b/>
        <color theme="1"/>
        <sz val="10.0"/>
      </rPr>
      <t>·</t>
    </r>
    <r>
      <rPr>
        <rFont val="Noto Sans CJK SC"/>
        <b/>
        <color theme="1"/>
        <sz val="10.0"/>
      </rPr>
      <t>대회</t>
    </r>
  </si>
  <si>
    <r>
      <rPr>
        <rFont val="Arial"/>
        <color theme="1"/>
        <sz val="10.0"/>
      </rPr>
      <t xml:space="preserve">AI </t>
    </r>
    <r>
      <rPr>
        <rFont val="Noto Sans CJK SC"/>
        <color theme="1"/>
        <sz val="10.0"/>
      </rPr>
      <t>캡스톤 프로젝트</t>
    </r>
    <r>
      <rPr>
        <rFont val="Arial"/>
        <color theme="1"/>
        <sz val="10.0"/>
      </rPr>
      <t xml:space="preserve">, AI </t>
    </r>
    <r>
      <rPr>
        <rFont val="Noto Sans CJK SC"/>
        <color theme="1"/>
        <sz val="10.0"/>
      </rPr>
      <t>대회</t>
    </r>
    <r>
      <rPr>
        <rFont val="Arial"/>
        <color theme="1"/>
        <sz val="10.0"/>
      </rPr>
      <t>·</t>
    </r>
    <r>
      <rPr>
        <rFont val="Noto Sans CJK SC"/>
        <color theme="1"/>
        <sz val="10.0"/>
      </rPr>
      <t>공모전</t>
    </r>
  </si>
  <si>
    <t>학사시스템 · 3품(AI)</t>
  </si>
  <si>
    <r>
      <rPr>
        <rFont val="Arial"/>
        <color theme="1"/>
        <sz val="10.0"/>
      </rPr>
      <t xml:space="preserve">SKKU </t>
    </r>
    <r>
      <rPr>
        <rFont val="Noto Sans CJK SC"/>
        <color theme="1"/>
        <sz val="10.0"/>
      </rPr>
      <t>확보가능</t>
    </r>
  </si>
  <si>
    <t>디지털리터러시(AI 활용) / 문제해결력</t>
  </si>
  <si>
    <t>공모전 항목과 중복 가산되지 않게 분리</t>
  </si>
  <si>
    <t>노션·슬랙·깃허브·피그마 등 활용 경험</t>
  </si>
  <si>
    <t>학생 등록</t>
  </si>
  <si>
    <t>자기 서술 위주 → 정성 판단 + 낮은 가중치 권장</t>
  </si>
  <si>
    <t>공동체·리더십</t>
  </si>
  <si>
    <t>동아리·학생회 활동</t>
  </si>
  <si>
    <t>동아리·학생회·학회 활동, 직책, 활동 기간</t>
  </si>
  <si>
    <t>비교과 시스템 · 학생 등록</t>
  </si>
  <si>
    <t>대인관계 / 리더십 / 커뮤니케이션</t>
  </si>
  <si>
    <t>직책(회장·부장·총무·부원) × 기간으로 정량화</t>
  </si>
  <si>
    <t>교내외 봉사(국내·국외), 유학생 봉사, 봉사 시간</t>
  </si>
  <si>
    <r>
      <rPr>
        <rFont val="Arial"/>
        <color theme="1"/>
        <sz val="10.0"/>
      </rPr>
      <t>1365 · 3</t>
    </r>
    <r>
      <rPr>
        <rFont val="Noto Sans CJK SC"/>
        <color theme="1"/>
        <sz val="10.0"/>
      </rPr>
      <t>품</t>
    </r>
    <r>
      <rPr>
        <rFont val="Arial"/>
        <color theme="1"/>
        <sz val="10.0"/>
      </rPr>
      <t>(</t>
    </r>
    <r>
      <rPr>
        <rFont val="Noto Sans CJK SC"/>
        <color theme="1"/>
        <sz val="10.0"/>
      </rPr>
      <t>인성</t>
    </r>
    <r>
      <rPr>
        <rFont val="Arial"/>
        <color theme="1"/>
        <sz val="10.0"/>
      </rPr>
      <t>)</t>
    </r>
  </si>
  <si>
    <t>대인관계 / 리더십 / 문화적수용능력</t>
  </si>
  <si>
    <t>학년 보정(학기당 시간) 필요</t>
  </si>
  <si>
    <t>멘토링·학습공동체</t>
  </si>
  <si>
    <t>튜터링·멘토링, 스터디·학습공동체 참여</t>
  </si>
  <si>
    <t>교수학습센터</t>
  </si>
  <si>
    <t>소통능력 / 대인관계</t>
  </si>
  <si>
    <t>교수 관심 '소통능력'의 '스터디 참여' 근거 확보</t>
  </si>
  <si>
    <t>팀 과제 동료평가 점수·코멘트</t>
  </si>
  <si>
    <t>수치·텍스트</t>
  </si>
  <si>
    <t>커뮤니케이션(협업) / 대인관계 / 리더십</t>
  </si>
  <si>
    <t>대인관계 역량을 '활동 여부'가 아닌 '평판'으로 측정할 수 있는 유일한 근거</t>
  </si>
  <si>
    <t>자격·인증</t>
  </si>
  <si>
    <t>자격증(어학)</t>
  </si>
  <si>
    <r>
      <rPr>
        <rFont val="Arial"/>
        <color theme="1"/>
        <sz val="10.0"/>
      </rPr>
      <t xml:space="preserve">TOEIC, TOEFL, TOEIC Speaking, OPIc, HSK, JPT, DELF </t>
    </r>
    <r>
      <rPr>
        <rFont val="Noto Sans CJK SC"/>
        <color theme="1"/>
        <sz val="10.0"/>
      </rPr>
      <t>등</t>
    </r>
  </si>
  <si>
    <t>학생 등록(성적표) · 3품(글로벌)</t>
  </si>
  <si>
    <t>글로벌(언어 사용능력)</t>
  </si>
  <si>
    <t>시험별 공통 척도 환산표 필요</t>
  </si>
  <si>
    <t>자격증(기타/전공)</t>
  </si>
  <si>
    <t>컴퓨터활용능력, MOS, ADSP, SQLD, 기사 등</t>
  </si>
  <si>
    <t>학생 등록 · 3품(창의-IT 활용)</t>
  </si>
  <si>
    <t>자원·정보기술활용 / 직무전문성 / 디지털리터러시</t>
  </si>
  <si>
    <t>자격증별 '등급·난이도' 매핑표 필요</t>
  </si>
  <si>
    <t>전문직·공직 시험</t>
  </si>
  <si>
    <t>공개경쟁시험·5급 공채 등, 회계사·세무사·관세사 등</t>
  </si>
  <si>
    <r>
      <rPr>
        <rFont val="Arial"/>
        <color theme="1"/>
        <sz val="10.0"/>
      </rPr>
      <t>3</t>
    </r>
    <r>
      <rPr>
        <rFont val="Noto Sans CJK SC"/>
        <color theme="1"/>
        <sz val="10.0"/>
      </rPr>
      <t>품</t>
    </r>
    <r>
      <rPr>
        <rFont val="Arial"/>
        <color theme="1"/>
        <sz val="10.0"/>
      </rPr>
      <t>(</t>
    </r>
    <r>
      <rPr>
        <rFont val="Noto Sans CJK SC"/>
        <color theme="1"/>
        <sz val="10.0"/>
      </rPr>
      <t>창의</t>
    </r>
    <r>
      <rPr>
        <rFont val="Arial"/>
        <color theme="1"/>
        <sz val="10.0"/>
      </rPr>
      <t>-</t>
    </r>
    <r>
      <rPr>
        <rFont val="Noto Sans CJK SC"/>
        <color theme="1"/>
        <sz val="10.0"/>
      </rPr>
      <t>진로개발</t>
    </r>
    <r>
      <rPr>
        <rFont val="Arial"/>
        <color theme="1"/>
        <sz val="10.0"/>
      </rPr>
      <t xml:space="preserve">) </t>
    </r>
    <r>
      <rPr>
        <rFont val="Noto Sans CJK SC"/>
        <color theme="1"/>
        <sz val="10.0"/>
      </rPr>
      <t>인증</t>
    </r>
  </si>
  <si>
    <r>
      <rPr>
        <rFont val="Noto Sans CJK SC"/>
        <i/>
        <color rgb="FF7F7F7F"/>
        <sz val="8.0"/>
      </rPr>
      <t>출처</t>
    </r>
    <r>
      <rPr>
        <rFont val="맑은 고딕"/>
        <i/>
        <color rgb="FF7F7F7F"/>
        <sz val="8.0"/>
      </rPr>
      <t xml:space="preserve">: </t>
    </r>
    <r>
      <rPr>
        <rFont val="Noto Sans CJK SC"/>
        <i/>
        <color rgb="FF7F7F7F"/>
        <sz val="8.0"/>
      </rPr>
      <t xml:space="preserve">상담 기록 시스템 </t>
    </r>
    <r>
      <rPr>
        <rFont val="맑은 고딕"/>
        <i/>
        <color rgb="FF7F7F7F"/>
        <sz val="8.0"/>
      </rPr>
      <t xml:space="preserve">· LMS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성실성</t>
    </r>
    <r>
      <rPr>
        <rFont val="맑은 고딕"/>
        <i/>
        <color rgb="FF7F7F7F"/>
        <sz val="8.0"/>
      </rPr>
      <t>(</t>
    </r>
    <r>
      <rPr>
        <rFont val="Noto Sans CJK SC"/>
        <i/>
        <color rgb="FF7F7F7F"/>
        <sz val="8.0"/>
      </rPr>
      <t>수업참여도</t>
    </r>
    <r>
      <rPr>
        <rFont val="맑은 고딕"/>
        <i/>
        <color rgb="FF7F7F7F"/>
        <sz val="8.0"/>
      </rPr>
      <t xml:space="preserve">) / </t>
    </r>
    <r>
      <rPr>
        <rFont val="Noto Sans CJK SC"/>
        <i/>
        <color rgb="FF7F7F7F"/>
        <sz val="8.0"/>
      </rPr>
      <t xml:space="preserve">소통능력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기존 데이터셋에선 </t>
    </r>
    <r>
      <rPr>
        <rFont val="맑은 고딕"/>
        <i/>
        <color rgb="FF7F7F7F"/>
        <sz val="8.0"/>
      </rPr>
      <t xml:space="preserve">LMS </t>
    </r>
    <r>
      <rPr>
        <rFont val="Noto Sans CJK SC"/>
        <i/>
        <color rgb="FF7F7F7F"/>
        <sz val="8.0"/>
      </rPr>
      <t>항목 안에 섞여 있어 분리</t>
    </r>
  </si>
  <si>
    <r>
      <rPr>
        <rFont val="Arial"/>
        <color theme="1"/>
        <sz val="10.0"/>
      </rPr>
      <t xml:space="preserve">SKKU </t>
    </r>
    <r>
      <rPr>
        <rFont val="Noto Sans CJK SC"/>
        <color theme="1"/>
        <sz val="10.0"/>
      </rPr>
      <t>확보가능</t>
    </r>
  </si>
  <si>
    <t>직무전문성 / 도전정신</t>
  </si>
  <si>
    <t>단계(1차·최종) 구분</t>
  </si>
  <si>
    <r>
      <rPr>
        <rFont val="Arial"/>
        <b/>
        <color theme="1"/>
        <sz val="10.0"/>
      </rPr>
      <t>3</t>
    </r>
    <r>
      <rPr>
        <rFont val="Noto Sans CJK SC"/>
        <b/>
        <color theme="1"/>
        <sz val="10.0"/>
      </rPr>
      <t>품인증 취득현황</t>
    </r>
  </si>
  <si>
    <t>인성품·글로벌품·창의품(AI·인턴십 영역 포함) 취득 여부</t>
  </si>
  <si>
    <r>
      <rPr>
        <rFont val="Arial"/>
        <color theme="1"/>
        <sz val="10.0"/>
      </rPr>
      <t>3</t>
    </r>
    <r>
      <rPr>
        <rFont val="Noto Sans CJK SC"/>
        <color theme="1"/>
        <sz val="10.0"/>
      </rPr>
      <t>품인증 시스템</t>
    </r>
  </si>
  <si>
    <r>
      <rPr>
        <rFont val="Arial"/>
        <color theme="1"/>
        <sz val="10.0"/>
      </rPr>
      <t xml:space="preserve">SKKU </t>
    </r>
    <r>
      <rPr>
        <rFont val="Noto Sans CJK SC"/>
        <color theme="1"/>
        <sz val="10.0"/>
      </rPr>
      <t>확보가능</t>
    </r>
  </si>
  <si>
    <r>
      <rPr>
        <rFont val="Noto Sans CJK SC"/>
        <color rgb="FF7F7F7F"/>
        <sz val="9.0"/>
      </rPr>
      <t>예</t>
    </r>
    <r>
      <rPr>
        <rFont val="맑은 고딕"/>
        <color rgb="FF7F7F7F"/>
        <sz val="9.0"/>
      </rPr>
      <t xml:space="preserve">: </t>
    </r>
    <r>
      <rPr>
        <rFont val="Noto Sans CJK SC"/>
        <color rgb="FF7F7F7F"/>
        <sz val="9.0"/>
      </rPr>
      <t>입학</t>
    </r>
    <r>
      <rPr>
        <rFont val="맑은 고딕"/>
        <color rgb="FF7F7F7F"/>
        <sz val="9.0"/>
      </rPr>
      <t>~2026-1</t>
    </r>
  </si>
  <si>
    <r>
      <rPr>
        <rFont val="Arial"/>
        <color theme="1"/>
        <sz val="10.0"/>
      </rPr>
      <t>(</t>
    </r>
    <r>
      <rPr>
        <rFont val="Noto Sans CJK SC"/>
        <color theme="1"/>
        <sz val="10.0"/>
      </rPr>
      <t>복수 역량 종합</t>
    </r>
    <r>
      <rPr>
        <rFont val="Arial"/>
        <color theme="1"/>
        <sz val="10.0"/>
      </rPr>
      <t>)</t>
    </r>
  </si>
  <si>
    <t>하위 활동과 중복 가산 위험 → 가산점이 아닌 '참고 지표'로 권장</t>
  </si>
  <si>
    <t>비교과 프로그램 누적 이수시간 (90시간 기준 등)</t>
  </si>
  <si>
    <t>비교과 시스템</t>
  </si>
  <si>
    <r>
      <rPr>
        <rFont val="Arial"/>
        <color theme="1"/>
        <sz val="10.0"/>
      </rPr>
      <t xml:space="preserve">SKKU </t>
    </r>
    <r>
      <rPr>
        <rFont val="Noto Sans CJK SC"/>
        <color theme="1"/>
        <sz val="10.0"/>
      </rPr>
      <t>확보가능</t>
    </r>
  </si>
  <si>
    <t>자기관리 / 종합적사고력(융합적 사고)</t>
  </si>
  <si>
    <t>학년 보정 필요</t>
  </si>
  <si>
    <r>
      <rPr>
        <rFont val="Noto Sans CJK SC"/>
        <b/>
        <color rgb="FF000000"/>
        <sz val="10.0"/>
      </rPr>
      <t>교수 면담 횟수</t>
    </r>
    <r>
      <rPr>
        <rFont val="맑은 고딕"/>
        <b/>
        <color rgb="FF000000"/>
        <sz val="10.0"/>
      </rPr>
      <t>(</t>
    </r>
    <r>
      <rPr>
        <rFont val="Noto Sans CJK SC"/>
        <b/>
        <color rgb="FF000000"/>
        <sz val="10.0"/>
      </rPr>
      <t>누적</t>
    </r>
    <r>
      <rPr>
        <rFont val="맑은 고딕"/>
        <b/>
        <color rgb="FF000000"/>
        <sz val="10.0"/>
      </rPr>
      <t>)</t>
    </r>
  </si>
  <si>
    <t>진단·자기평가</t>
  </si>
  <si>
    <r>
      <rPr>
        <rFont val="Arial"/>
        <b/>
        <color theme="1"/>
        <sz val="10.0"/>
      </rPr>
      <t xml:space="preserve">SSCA </t>
    </r>
    <r>
      <rPr>
        <rFont val="Noto Sans CJK SC"/>
        <b/>
        <color theme="1"/>
        <sz val="10.0"/>
      </rPr>
      <t>학생성공역량진단</t>
    </r>
  </si>
  <si>
    <r>
      <rPr>
        <rFont val="Noto Sans CJK SC"/>
        <b/>
        <color rgb="FF000000"/>
        <sz val="10.0"/>
      </rPr>
      <t>학업상담 횟수</t>
    </r>
    <r>
      <rPr>
        <rFont val="맑은 고딕"/>
        <b/>
        <color rgb="FF000000"/>
        <sz val="10.0"/>
      </rPr>
      <t>(</t>
    </r>
    <r>
      <rPr>
        <rFont val="Noto Sans CJK SC"/>
        <b/>
        <color rgb="FF000000"/>
        <sz val="10.0"/>
      </rPr>
      <t>누적</t>
    </r>
    <r>
      <rPr>
        <rFont val="맑은 고딕"/>
        <b/>
        <color rgb="FF000000"/>
        <sz val="10.0"/>
      </rPr>
      <t>)</t>
    </r>
  </si>
  <si>
    <r>
      <rPr>
        <rFont val="Arial"/>
        <color theme="1"/>
        <sz val="10.0"/>
      </rPr>
      <t xml:space="preserve">SSCA </t>
    </r>
    <r>
      <rPr>
        <rFont val="Noto Sans CJK SC"/>
        <color theme="1"/>
        <sz val="10.0"/>
      </rPr>
      <t>검사 결과</t>
    </r>
    <r>
      <rPr>
        <rFont val="Arial"/>
        <color theme="1"/>
        <sz val="10.0"/>
      </rPr>
      <t>(</t>
    </r>
    <r>
      <rPr>
        <rFont val="Noto Sans CJK SC"/>
        <color theme="1"/>
        <sz val="10.0"/>
      </rPr>
      <t>역량별 자기진단 점수</t>
    </r>
    <r>
      <rPr>
        <rFont val="Arial"/>
        <color theme="1"/>
        <sz val="10.0"/>
      </rPr>
      <t>)</t>
    </r>
  </si>
  <si>
    <t>학생성공 게이트웨이</t>
  </si>
  <si>
    <r>
      <rPr>
        <rFont val="Arial"/>
        <color theme="1"/>
        <sz val="10.0"/>
      </rPr>
      <t xml:space="preserve">SKKU </t>
    </r>
    <r>
      <rPr>
        <rFont val="Noto Sans CJK SC"/>
        <color theme="1"/>
        <sz val="10.0"/>
      </rPr>
      <t>확보가능</t>
    </r>
  </si>
  <si>
    <t>전 역량(자기인식)</t>
  </si>
  <si>
    <t>객관 점수에 합산하지 말고 '자기평가 vs 데이터 평가' 비교용으로 별도 표시</t>
  </si>
  <si>
    <t>편입 학점 인정 상담</t>
  </si>
  <si>
    <t>학습경험 설문 결과</t>
  </si>
  <si>
    <r>
      <rPr>
        <rFont val="Arial"/>
        <color theme="1"/>
        <sz val="10.0"/>
      </rPr>
      <t xml:space="preserve">SKKU </t>
    </r>
    <r>
      <rPr>
        <rFont val="Noto Sans CJK SC"/>
        <color theme="1"/>
        <sz val="10.0"/>
      </rPr>
      <t>확보가능</t>
    </r>
  </si>
  <si>
    <t>자기관리 / 학업성취</t>
  </si>
  <si>
    <r>
      <rPr>
        <rFont val="Arial"/>
        <color theme="1"/>
        <sz val="10.0"/>
      </rPr>
      <t>SSCA</t>
    </r>
    <r>
      <rPr>
        <rFont val="Noto Sans CJK SC"/>
        <color theme="1"/>
        <sz val="10.0"/>
      </rPr>
      <t>와 동일하게 비교용 권장</t>
    </r>
  </si>
  <si>
    <t>활동 성찰 기록(STAR)</t>
  </si>
  <si>
    <t>주요 활동별 상황·역할·행동·결과 서술</t>
  </si>
  <si>
    <t>학생 입력(포트폴리오)</t>
  </si>
  <si>
    <t>리더십 / 문제해결력 / 커뮤니케이션 등 정성 역량</t>
  </si>
  <si>
    <t>정성 루브릭이 판단할 '질적 근거'가 현재 거의 없음 → 가장 우선 확보 권장</t>
  </si>
  <si>
    <r>
      <rPr>
        <rFont val="Noto Sans CJK SC"/>
        <b/>
        <color rgb="FF000000"/>
        <sz val="11.0"/>
      </rPr>
      <t>토론</t>
    </r>
    <r>
      <rPr>
        <rFont val="맑은 고딕"/>
        <b/>
        <color rgb="FF000000"/>
        <sz val="11.0"/>
      </rPr>
      <t>·</t>
    </r>
    <r>
      <rPr>
        <rFont val="Noto Sans CJK SC"/>
        <b/>
        <color rgb="FF000000"/>
        <sz val="11.0"/>
      </rPr>
      <t>게시판 참여</t>
    </r>
  </si>
  <si>
    <t>지도교수·수업 교수의 관찰 의견(선택)</t>
  </si>
  <si>
    <t>교수 입력</t>
  </si>
  <si>
    <t>교수 관심 역량 전반</t>
  </si>
  <si>
    <t>입력 부담 고려해 선택 항목으로</t>
  </si>
  <si>
    <r>
      <rPr>
        <rFont val="Noto Sans CJK SC"/>
        <i/>
        <color rgb="FF7F7F7F"/>
        <sz val="8.0"/>
      </rPr>
      <t>출처</t>
    </r>
    <r>
      <rPr>
        <rFont val="맑은 고딕"/>
        <i/>
        <color rgb="FF7F7F7F"/>
        <sz val="8.0"/>
      </rPr>
      <t xml:space="preserve">: LMS(i-Campus)   |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소통능력 </t>
    </r>
    <r>
      <rPr>
        <rFont val="맑은 고딕"/>
        <i/>
        <color rgb="FF7F7F7F"/>
        <sz val="8.0"/>
      </rPr>
      <t xml:space="preserve">/ </t>
    </r>
    <r>
      <rPr>
        <rFont val="Noto Sans CJK SC"/>
        <i/>
        <color rgb="FF7F7F7F"/>
        <sz val="8.0"/>
      </rPr>
      <t xml:space="preserve">수업참여도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교수 관심 </t>
    </r>
    <r>
      <rPr>
        <rFont val="맑은 고딕"/>
        <i/>
        <color rgb="FF7F7F7F"/>
        <sz val="8.0"/>
      </rPr>
      <t>'</t>
    </r>
    <r>
      <rPr>
        <rFont val="Noto Sans CJK SC"/>
        <i/>
        <color rgb="FF7F7F7F"/>
        <sz val="8.0"/>
      </rPr>
      <t>소통능력</t>
    </r>
    <r>
      <rPr>
        <rFont val="맑은 고딕"/>
        <i/>
        <color rgb="FF7F7F7F"/>
        <sz val="8.0"/>
      </rPr>
      <t>'</t>
    </r>
    <r>
      <rPr>
        <rFont val="Noto Sans CJK SC"/>
        <i/>
        <color rgb="FF7F7F7F"/>
        <sz val="8.0"/>
      </rPr>
      <t>의 정량 근거 보강</t>
    </r>
  </si>
  <si>
    <t>※ 출처 시스템명(i-Campus, 학생성공 게이트웨이 등)은 공개 정보 기준이며, 실제 연동 가능 여부는 학교 담당 부서 확인이 필요합니다.</t>
  </si>
  <si>
    <r>
      <rPr>
        <rFont val="맑은 고딕"/>
        <color rgb="FF1F3B8A"/>
        <sz val="10.0"/>
      </rPr>
      <t>2026-1</t>
    </r>
    <r>
      <rPr>
        <rFont val="Noto Sans CJK SC"/>
        <color rgb="FF1F3B8A"/>
        <sz val="10.0"/>
      </rPr>
      <t>학기</t>
    </r>
  </si>
  <si>
    <r>
      <rPr>
        <rFont val="Noto Sans CJK SC"/>
        <color rgb="FF7F7F7F"/>
        <sz val="9.0"/>
      </rPr>
      <t>예</t>
    </r>
    <r>
      <rPr>
        <rFont val="맑은 고딕"/>
        <color rgb="FF7F7F7F"/>
        <sz val="9.0"/>
      </rPr>
      <t>: 2026-1</t>
    </r>
    <r>
      <rPr>
        <rFont val="Noto Sans CJK SC"/>
        <color rgb="FF7F7F7F"/>
        <sz val="9.0"/>
      </rPr>
      <t>학기</t>
    </r>
  </si>
  <si>
    <r>
      <rPr>
        <rFont val="Noto Sans CJK SC"/>
        <b/>
        <color rgb="FFFFFFFF"/>
        <sz val="11.0"/>
      </rPr>
      <t>■ 연구</t>
    </r>
    <r>
      <rPr>
        <rFont val="맑은 고딕"/>
        <b/>
        <color rgb="FFFFFFFF"/>
        <sz val="11.0"/>
      </rPr>
      <t>·</t>
    </r>
    <r>
      <rPr>
        <rFont val="Noto Sans CJK SC"/>
        <b/>
        <color rgb="FFFFFFFF"/>
        <sz val="11.0"/>
      </rPr>
      <t>학술</t>
    </r>
  </si>
  <si>
    <r>
      <rPr>
        <rFont val="Noto Sans CJK SC"/>
        <b/>
        <color rgb="FF000000"/>
        <sz val="11.0"/>
      </rPr>
      <t>학회</t>
    </r>
    <r>
      <rPr>
        <rFont val="맑은 고딕"/>
        <b/>
        <color rgb="FF000000"/>
        <sz val="11.0"/>
      </rPr>
      <t>·</t>
    </r>
    <r>
      <rPr>
        <rFont val="Noto Sans CJK SC"/>
        <b/>
        <color rgb="FF000000"/>
        <sz val="11.0"/>
      </rPr>
      <t>연구활동</t>
    </r>
  </si>
  <si>
    <r>
      <rPr>
        <rFont val="Noto Sans CJK SC"/>
        <i/>
        <color rgb="FF7F7F7F"/>
        <sz val="8.0"/>
      </rPr>
      <t>출처</t>
    </r>
    <r>
      <rPr>
        <rFont val="맑은 고딕"/>
        <i/>
        <color rgb="FF7F7F7F"/>
        <sz val="8.0"/>
      </rPr>
      <t xml:space="preserve">: </t>
    </r>
    <r>
      <rPr>
        <rFont val="Noto Sans CJK SC"/>
        <i/>
        <color rgb="FF7F7F7F"/>
        <sz val="8.0"/>
      </rPr>
      <t>비교과</t>
    </r>
    <r>
      <rPr>
        <rFont val="맑은 고딕"/>
        <i/>
        <color rgb="FF7F7F7F"/>
        <sz val="8.0"/>
      </rPr>
      <t>·</t>
    </r>
    <r>
      <rPr>
        <rFont val="Noto Sans CJK SC"/>
        <i/>
        <color rgb="FF7F7F7F"/>
        <sz val="8.0"/>
      </rPr>
      <t xml:space="preserve">연구지원 시스템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탐구력 </t>
    </r>
    <r>
      <rPr>
        <rFont val="맑은 고딕"/>
        <i/>
        <color rgb="FF7F7F7F"/>
        <sz val="8.0"/>
      </rPr>
      <t xml:space="preserve">/ </t>
    </r>
    <r>
      <rPr>
        <rFont val="Noto Sans CJK SC"/>
        <i/>
        <color rgb="FF7F7F7F"/>
        <sz val="8.0"/>
      </rPr>
      <t xml:space="preserve">문제해결력   </t>
    </r>
    <r>
      <rPr>
        <rFont val="맑은 고딕"/>
        <i/>
        <color rgb="FF7F7F7F"/>
        <sz val="8.0"/>
      </rPr>
      <t xml:space="preserve">|   </t>
    </r>
    <r>
      <rPr>
        <rFont val="Noto Sans CJK SC"/>
        <i/>
        <color rgb="FF7F7F7F"/>
        <sz val="8.0"/>
      </rPr>
      <t>비고</t>
    </r>
    <r>
      <rPr>
        <rFont val="맑은 고딕"/>
        <i/>
        <color rgb="FF7F7F7F"/>
        <sz val="8.0"/>
      </rPr>
      <t xml:space="preserve">: [B] </t>
    </r>
    <r>
      <rPr>
        <rFont val="Noto Sans CJK SC"/>
        <i/>
        <color rgb="FF7F7F7F"/>
        <sz val="8.0"/>
      </rPr>
      <t>학회</t>
    </r>
    <r>
      <rPr>
        <rFont val="맑은 고딕"/>
        <i/>
        <color rgb="FF7F7F7F"/>
        <sz val="8.0"/>
      </rPr>
      <t>·</t>
    </r>
    <r>
      <rPr>
        <rFont val="Noto Sans CJK SC"/>
        <i/>
        <color rgb="FF7F7F7F"/>
        <sz val="8.0"/>
      </rPr>
      <t xml:space="preserve">연구 </t>
    </r>
    <r>
      <rPr>
        <rFont val="맑은 고딕"/>
        <i/>
        <color rgb="FF7F7F7F"/>
        <sz val="8.0"/>
      </rPr>
      <t>+ [C] URP·</t>
    </r>
    <r>
      <rPr>
        <rFont val="Noto Sans CJK SC"/>
        <i/>
        <color rgb="FF7F7F7F"/>
        <sz val="8.0"/>
      </rPr>
      <t>팀연구프로젝트 통합</t>
    </r>
  </si>
  <si>
    <r>
      <rPr>
        <rFont val="Noto Sans CJK SC"/>
        <b/>
        <color rgb="FF000000"/>
        <sz val="9.0"/>
      </rPr>
      <t>활동명</t>
    </r>
    <r>
      <rPr>
        <rFont val="맑은 고딕"/>
        <b/>
        <color rgb="FF000000"/>
        <sz val="9.0"/>
      </rPr>
      <t>·</t>
    </r>
    <r>
      <rPr>
        <rFont val="Noto Sans CJK SC"/>
        <b/>
        <color rgb="FF000000"/>
        <sz val="9.0"/>
      </rPr>
      <t>소속</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</si>
  <si>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</si>
  <si>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맑은 고딕"/>
        <i/>
        <color rgb="FF7F7F7F"/>
        <sz val="8.0"/>
      </rPr>
      <t>[</t>
    </r>
    <r>
      <rPr>
        <rFont val="Noto Sans CJK SC"/>
        <i/>
        <color rgb="FF7F7F7F"/>
        <sz val="8.0"/>
      </rPr>
      <t xml:space="preserve">학부연구생 </t>
    </r>
    <r>
      <rPr>
        <rFont val="맑은 고딕"/>
        <i/>
        <color rgb="FF7F7F7F"/>
        <sz val="8.0"/>
      </rPr>
      <t xml:space="preserve">/ URP / </t>
    </r>
    <r>
      <rPr>
        <rFont val="Noto Sans CJK SC"/>
        <i/>
        <color rgb="FF7F7F7F"/>
        <sz val="8.0"/>
      </rPr>
      <t xml:space="preserve">학회 </t>
    </r>
    <r>
      <rPr>
        <rFont val="맑은 고딕"/>
        <i/>
        <color rgb="FF7F7F7F"/>
        <sz val="8.0"/>
      </rPr>
      <t xml:space="preserve">/ </t>
    </r>
    <r>
      <rPr>
        <rFont val="Noto Sans CJK SC"/>
        <i/>
        <color rgb="FF7F7F7F"/>
        <sz val="8.0"/>
      </rPr>
      <t xml:space="preserve">연구실 인턴 </t>
    </r>
    <r>
      <rPr>
        <rFont val="맑은 고딕"/>
        <i/>
        <color rgb="FF7F7F7F"/>
        <sz val="8.0"/>
      </rPr>
      <t xml:space="preserve">/ </t>
    </r>
    <r>
      <rPr>
        <rFont val="Noto Sans CJK SC"/>
        <i/>
        <color rgb="FF7F7F7F"/>
        <sz val="8.0"/>
      </rPr>
      <t>팀연구프로젝트</t>
    </r>
    <r>
      <rPr>
        <rFont val="맑은 고딕"/>
        <i/>
        <color rgb="FF7F7F7F"/>
        <sz val="8.0"/>
      </rPr>
      <t>]</t>
    </r>
  </si>
  <si>
    <r>
      <rPr>
        <rFont val="Noto Sans CJK SC"/>
        <i/>
        <color rgb="FF7F7F7F"/>
        <sz val="8.0"/>
      </rPr>
      <t>연구실</t>
    </r>
    <r>
      <rPr>
        <rFont val="맑은 고딕"/>
        <i/>
        <color rgb="FF7F7F7F"/>
        <sz val="8.0"/>
      </rPr>
      <t>/</t>
    </r>
    <r>
      <rPr>
        <rFont val="Noto Sans CJK SC"/>
        <i/>
        <color rgb="FF7F7F7F"/>
        <sz val="8.0"/>
      </rPr>
      <t>학회명</t>
    </r>
  </si>
  <si>
    <r>
      <rPr>
        <rFont val="맑은 고딕"/>
        <i/>
        <color rgb="FF7F7F7F"/>
        <sz val="8.0"/>
      </rPr>
      <t xml:space="preserve">YYYY-MM / </t>
    </r>
    <r>
      <rPr>
        <rFont val="Noto Sans CJK SC"/>
        <i/>
        <color rgb="FF7F7F7F"/>
        <sz val="8.0"/>
      </rPr>
      <t>진행중</t>
    </r>
  </si>
  <si>
    <t>합계</t>
  </si>
  <si>
    <t>※ 숨김 열 J(대분류 라벨)를 기준으로 집계 — 마스터 시트의 B열은 병합되어 있어 별도 라벨 사용</t>
  </si>
  <si>
    <r>
      <rPr>
        <rFont val="Noto Sans CJK SC"/>
        <b/>
        <color rgb="FF000000"/>
        <sz val="11.0"/>
      </rPr>
      <t>정보탐색 결과물</t>
    </r>
    <r>
      <rPr>
        <rFont val="맑은 고딕"/>
        <b/>
        <color rgb="FF000000"/>
        <sz val="11.0"/>
      </rPr>
      <t>(</t>
    </r>
    <r>
      <rPr>
        <rFont val="Noto Sans CJK SC"/>
        <b/>
        <color rgb="FF000000"/>
        <sz val="11.0"/>
      </rPr>
      <t>논문</t>
    </r>
    <r>
      <rPr>
        <rFont val="맑은 고딕"/>
        <b/>
        <color rgb="FF000000"/>
        <sz val="11.0"/>
      </rPr>
      <t>·</t>
    </r>
    <r>
      <rPr>
        <rFont val="Noto Sans CJK SC"/>
        <b/>
        <color rgb="FF000000"/>
        <sz val="11.0"/>
      </rPr>
      <t>보고서</t>
    </r>
    <r>
      <rPr>
        <rFont val="맑은 고딕"/>
        <b/>
        <color rgb="FF000000"/>
        <sz val="11.0"/>
      </rPr>
      <t>)</t>
    </r>
  </si>
  <si>
    <r>
      <rPr>
        <rFont val="Noto Sans CJK SC"/>
        <i/>
        <color rgb="FF7F7F7F"/>
        <sz val="8.0"/>
      </rPr>
      <t>출처</t>
    </r>
    <r>
      <rPr>
        <rFont val="맑은 고딕"/>
        <i/>
        <color rgb="FF7F7F7F"/>
        <sz val="8.0"/>
      </rPr>
      <t xml:space="preserve">: </t>
    </r>
    <r>
      <rPr>
        <rFont val="Noto Sans CJK SC"/>
        <i/>
        <color rgb="FF7F7F7F"/>
        <sz val="8.0"/>
      </rPr>
      <t>학생 등록</t>
    </r>
    <r>
      <rPr>
        <rFont val="맑은 고딕"/>
        <i/>
        <color rgb="FF7F7F7F"/>
        <sz val="8.0"/>
      </rPr>
      <t>(</t>
    </r>
    <r>
      <rPr>
        <rFont val="Noto Sans CJK SC"/>
        <i/>
        <color rgb="FF7F7F7F"/>
        <sz val="8.0"/>
      </rPr>
      <t>포트폴리오</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자원</t>
    </r>
    <r>
      <rPr>
        <rFont val="맑은 고딕"/>
        <i/>
        <color rgb="FF7F7F7F"/>
        <sz val="8.0"/>
      </rPr>
      <t>·</t>
    </r>
    <r>
      <rPr>
        <rFont val="Noto Sans CJK SC"/>
        <i/>
        <color rgb="FF7F7F7F"/>
        <sz val="8.0"/>
      </rPr>
      <t>정보기술활용</t>
    </r>
    <r>
      <rPr>
        <rFont val="맑은 고딕"/>
        <i/>
        <color rgb="FF7F7F7F"/>
        <sz val="8.0"/>
      </rPr>
      <t>(</t>
    </r>
    <r>
      <rPr>
        <rFont val="Noto Sans CJK SC"/>
        <i/>
        <color rgb="FF7F7F7F"/>
        <sz val="8.0"/>
      </rPr>
      <t>정보탐색</t>
    </r>
    <r>
      <rPr>
        <rFont val="맑은 고딕"/>
        <i/>
        <color rgb="FF7F7F7F"/>
        <sz val="8.0"/>
      </rPr>
      <t xml:space="preserve">) / </t>
    </r>
    <r>
      <rPr>
        <rFont val="Noto Sans CJK SC"/>
        <i/>
        <color rgb="FF7F7F7F"/>
        <sz val="8.0"/>
      </rPr>
      <t xml:space="preserve">논리적사고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게재 수준</t>
    </r>
    <r>
      <rPr>
        <rFont val="맑은 고딕"/>
        <i/>
        <color rgb="FF7F7F7F"/>
        <sz val="8.0"/>
      </rPr>
      <t>(</t>
    </r>
    <r>
      <rPr>
        <rFont val="Noto Sans CJK SC"/>
        <i/>
        <color rgb="FF7F7F7F"/>
        <sz val="8.0"/>
      </rPr>
      <t>학술지</t>
    </r>
    <r>
      <rPr>
        <rFont val="맑은 고딕"/>
        <i/>
        <color rgb="FF7F7F7F"/>
        <sz val="8.0"/>
      </rPr>
      <t>·</t>
    </r>
    <r>
      <rPr>
        <rFont val="Noto Sans CJK SC"/>
        <i/>
        <color rgb="FF7F7F7F"/>
        <sz val="8.0"/>
      </rPr>
      <t>학회</t>
    </r>
    <r>
      <rPr>
        <rFont val="맑은 고딕"/>
        <i/>
        <color rgb="FF7F7F7F"/>
        <sz val="8.0"/>
      </rPr>
      <t>·</t>
    </r>
    <r>
      <rPr>
        <rFont val="Noto Sans CJK SC"/>
        <i/>
        <color rgb="FF7F7F7F"/>
        <sz val="8.0"/>
      </rPr>
      <t>교내</t>
    </r>
    <r>
      <rPr>
        <rFont val="맑은 고딕"/>
        <i/>
        <color rgb="FF7F7F7F"/>
        <sz val="8.0"/>
      </rPr>
      <t xml:space="preserve">) </t>
    </r>
    <r>
      <rPr>
        <rFont val="Noto Sans CJK SC"/>
        <i/>
        <color rgb="FF7F7F7F"/>
        <sz val="8.0"/>
      </rPr>
      <t>구분 기준 필요</t>
    </r>
  </si>
  <si>
    <r>
      <rPr>
        <rFont val="Noto Sans CJK SC"/>
        <b/>
        <color rgb="FF000000"/>
        <sz val="9.0"/>
      </rPr>
      <t>발표</t>
    </r>
    <r>
      <rPr>
        <rFont val="맑은 고딕"/>
        <b/>
        <color rgb="FF000000"/>
        <sz val="9.0"/>
      </rPr>
      <t>·</t>
    </r>
    <r>
      <rPr>
        <rFont val="Noto Sans CJK SC"/>
        <b/>
        <color rgb="FF000000"/>
        <sz val="9.0"/>
      </rPr>
      <t>게재 연월</t>
    </r>
  </si>
  <si>
    <r>
      <rPr>
        <rFont val="맑은 고딕"/>
        <i/>
        <color rgb="FF7F7F7F"/>
        <sz val="8.0"/>
      </rPr>
      <t>[</t>
    </r>
    <r>
      <rPr>
        <rFont val="Noto Sans CJK SC"/>
        <i/>
        <color rgb="FF7F7F7F"/>
        <sz val="8.0"/>
      </rPr>
      <t xml:space="preserve">논문 </t>
    </r>
    <r>
      <rPr>
        <rFont val="맑은 고딕"/>
        <i/>
        <color rgb="FF7F7F7F"/>
        <sz val="8.0"/>
      </rPr>
      <t xml:space="preserve">/ </t>
    </r>
    <r>
      <rPr>
        <rFont val="Noto Sans CJK SC"/>
        <i/>
        <color rgb="FF7F7F7F"/>
        <sz val="8.0"/>
      </rPr>
      <t xml:space="preserve">보고서 </t>
    </r>
    <r>
      <rPr>
        <rFont val="맑은 고딕"/>
        <i/>
        <color rgb="FF7F7F7F"/>
        <sz val="8.0"/>
      </rPr>
      <t xml:space="preserve">/ </t>
    </r>
    <r>
      <rPr>
        <rFont val="Noto Sans CJK SC"/>
        <i/>
        <color rgb="FF7F7F7F"/>
        <sz val="8.0"/>
      </rPr>
      <t>학술발표자료</t>
    </r>
    <r>
      <rPr>
        <rFont val="맑은 고딕"/>
        <i/>
        <color rgb="FF7F7F7F"/>
        <sz val="8.0"/>
      </rPr>
      <t>]</t>
    </r>
  </si>
  <si>
    <r>
      <rPr>
        <rFont val="맑은 고딕"/>
        <i/>
        <color rgb="FF7F7F7F"/>
        <sz val="8.0"/>
      </rPr>
      <t>[</t>
    </r>
    <r>
      <rPr>
        <rFont val="Noto Sans CJK SC"/>
        <i/>
        <color rgb="FF7F7F7F"/>
        <sz val="8.0"/>
      </rPr>
      <t xml:space="preserve">국제학술지 </t>
    </r>
    <r>
      <rPr>
        <rFont val="맑은 고딕"/>
        <i/>
        <color rgb="FF7F7F7F"/>
        <sz val="8.0"/>
      </rPr>
      <t xml:space="preserve">/ </t>
    </r>
    <r>
      <rPr>
        <rFont val="Noto Sans CJK SC"/>
        <i/>
        <color rgb="FF7F7F7F"/>
        <sz val="8.0"/>
      </rPr>
      <t xml:space="preserve">국내학술지 </t>
    </r>
    <r>
      <rPr>
        <rFont val="맑은 고딕"/>
        <i/>
        <color rgb="FF7F7F7F"/>
        <sz val="8.0"/>
      </rPr>
      <t xml:space="preserve">/ </t>
    </r>
    <r>
      <rPr>
        <rFont val="Noto Sans CJK SC"/>
        <i/>
        <color rgb="FF7F7F7F"/>
        <sz val="8.0"/>
      </rPr>
      <t xml:space="preserve">국제학술대회 </t>
    </r>
    <r>
      <rPr>
        <rFont val="맑은 고딕"/>
        <i/>
        <color rgb="FF7F7F7F"/>
        <sz val="8.0"/>
      </rPr>
      <t xml:space="preserve">/ </t>
    </r>
    <r>
      <rPr>
        <rFont val="Noto Sans CJK SC"/>
        <i/>
        <color rgb="FF7F7F7F"/>
        <sz val="8.0"/>
      </rPr>
      <t xml:space="preserve">국내학술대회 </t>
    </r>
    <r>
      <rPr>
        <rFont val="맑은 고딕"/>
        <i/>
        <color rgb="FF7F7F7F"/>
        <sz val="8.0"/>
      </rPr>
      <t xml:space="preserve">/ </t>
    </r>
    <r>
      <rPr>
        <rFont val="Noto Sans CJK SC"/>
        <i/>
        <color rgb="FF7F7F7F"/>
        <sz val="8.0"/>
      </rPr>
      <t>교내</t>
    </r>
    <r>
      <rPr>
        <rFont val="맑은 고딕"/>
        <i/>
        <color rgb="FF7F7F7F"/>
        <sz val="8.0"/>
      </rPr>
      <t>]</t>
    </r>
  </si>
  <si>
    <r>
      <rPr>
        <rFont val="맑은 고딕"/>
        <i/>
        <color rgb="FF7F7F7F"/>
        <sz val="8.0"/>
      </rPr>
      <t>[</t>
    </r>
    <r>
      <rPr>
        <rFont val="Noto Sans CJK SC"/>
        <i/>
        <color rgb="FF7F7F7F"/>
        <sz val="8.0"/>
      </rPr>
      <t xml:space="preserve">게재 </t>
    </r>
    <r>
      <rPr>
        <rFont val="맑은 고딕"/>
        <i/>
        <color rgb="FF7F7F7F"/>
        <sz val="8.0"/>
      </rPr>
      <t xml:space="preserve">/ </t>
    </r>
    <r>
      <rPr>
        <rFont val="Noto Sans CJK SC"/>
        <i/>
        <color rgb="FF7F7F7F"/>
        <sz val="8.0"/>
      </rPr>
      <t xml:space="preserve">게재승인 </t>
    </r>
    <r>
      <rPr>
        <rFont val="맑은 고딕"/>
        <i/>
        <color rgb="FF7F7F7F"/>
        <sz val="8.0"/>
      </rPr>
      <t xml:space="preserve">/ </t>
    </r>
    <r>
      <rPr>
        <rFont val="Noto Sans CJK SC"/>
        <i/>
        <color rgb="FF7F7F7F"/>
        <sz val="8.0"/>
      </rPr>
      <t xml:space="preserve">투고 </t>
    </r>
    <r>
      <rPr>
        <rFont val="맑은 고딕"/>
        <i/>
        <color rgb="FF7F7F7F"/>
        <sz val="8.0"/>
      </rPr>
      <t xml:space="preserve">/ </t>
    </r>
    <r>
      <rPr>
        <rFont val="Noto Sans CJK SC"/>
        <i/>
        <color rgb="FF7F7F7F"/>
        <sz val="8.0"/>
      </rPr>
      <t>작성중</t>
    </r>
    <r>
      <rPr>
        <rFont val="맑은 고딕"/>
        <i/>
        <color rgb="FF7F7F7F"/>
        <sz val="8.0"/>
      </rPr>
      <t>]</t>
    </r>
  </si>
  <si>
    <r>
      <rPr>
        <rFont val="맑은 고딕"/>
        <i/>
        <color rgb="FF7F7F7F"/>
        <sz val="8.0"/>
      </rPr>
      <t>[</t>
    </r>
    <r>
      <rPr>
        <rFont val="Noto Sans CJK SC"/>
        <i/>
        <color rgb="FF7F7F7F"/>
        <sz val="8.0"/>
      </rPr>
      <t xml:space="preserve">단독 </t>
    </r>
    <r>
      <rPr>
        <rFont val="맑은 고딕"/>
        <i/>
        <color rgb="FF7F7F7F"/>
        <sz val="8.0"/>
      </rPr>
      <t xml:space="preserve">/ </t>
    </r>
    <r>
      <rPr>
        <rFont val="Noto Sans CJK SC"/>
        <i/>
        <color rgb="FF7F7F7F"/>
        <sz val="8.0"/>
      </rPr>
      <t>제</t>
    </r>
    <r>
      <rPr>
        <rFont val="맑은 고딕"/>
        <i/>
        <color rgb="FF7F7F7F"/>
        <sz val="8.0"/>
      </rPr>
      <t>1</t>
    </r>
    <r>
      <rPr>
        <rFont val="Noto Sans CJK SC"/>
        <i/>
        <color rgb="FF7F7F7F"/>
        <sz val="8.0"/>
      </rPr>
      <t xml:space="preserve">저자 </t>
    </r>
    <r>
      <rPr>
        <rFont val="맑은 고딕"/>
        <i/>
        <color rgb="FF7F7F7F"/>
        <sz val="8.0"/>
      </rPr>
      <t xml:space="preserve">/ </t>
    </r>
    <r>
      <rPr>
        <rFont val="Noto Sans CJK SC"/>
        <i/>
        <color rgb="FF7F7F7F"/>
        <sz val="8.0"/>
      </rPr>
      <t>공동저자</t>
    </r>
    <r>
      <rPr>
        <rFont val="맑은 고딕"/>
        <i/>
        <color rgb="FF7F7F7F"/>
        <sz val="8.0"/>
      </rPr>
      <t>]</t>
    </r>
  </si>
  <si>
    <r>
      <rPr>
        <rFont val="맑은 고딕"/>
        <b/>
        <color rgb="FF000000"/>
        <sz val="11.0"/>
      </rPr>
      <t xml:space="preserve">TA </t>
    </r>
    <r>
      <rPr>
        <rFont val="Noto Sans CJK SC"/>
        <b/>
        <color rgb="FF000000"/>
        <sz val="11.0"/>
      </rPr>
      <t>활동</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</si>
  <si>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xml:space="preserve">· </t>
    </r>
    <r>
      <rPr>
        <rFont val="Noto Sans CJK SC"/>
        <i/>
        <color rgb="FF7F7F7F"/>
        <sz val="8.0"/>
      </rPr>
      <t xml:space="preserve">교수학습센터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 xml:space="preserve">커뮤니케이션 </t>
    </r>
    <r>
      <rPr>
        <rFont val="맑은 고딕"/>
        <i/>
        <color rgb="FF7F7F7F"/>
        <sz val="8.0"/>
      </rPr>
      <t xml:space="preserve">/ </t>
    </r>
    <r>
      <rPr>
        <rFont val="Noto Sans CJK SC"/>
        <i/>
        <color rgb="FF7F7F7F"/>
        <sz val="8.0"/>
      </rPr>
      <t xml:space="preserve">책임감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기존 데이터셋에 없는 신규 근거</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</si>
  <si>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</si>
  <si>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맑은 고딕"/>
        <i/>
        <color rgb="FF7F7F7F"/>
        <sz val="8.0"/>
      </rPr>
      <t>YYYY-1 / YYYY-2 / YYYY-</t>
    </r>
    <r>
      <rPr>
        <rFont val="Noto Sans CJK SC"/>
        <i/>
        <color rgb="FF7F7F7F"/>
        <sz val="8.0"/>
      </rPr>
      <t xml:space="preserve">여름 </t>
    </r>
    <r>
      <rPr>
        <rFont val="맑은 고딕"/>
        <i/>
        <color rgb="FF7F7F7F"/>
        <sz val="8.0"/>
      </rPr>
      <t>/ YYYY-</t>
    </r>
    <r>
      <rPr>
        <rFont val="Noto Sans CJK SC"/>
        <i/>
        <color rgb="FF7F7F7F"/>
        <sz val="8.0"/>
      </rPr>
      <t>겨울</t>
    </r>
  </si>
  <si>
    <r>
      <rPr>
        <rFont val="Noto Sans CJK SC"/>
        <b/>
        <color rgb="FFFFFFFF"/>
        <sz val="11.0"/>
      </rPr>
      <t>■ 실무</t>
    </r>
    <r>
      <rPr>
        <rFont val="맑은 고딕"/>
        <b/>
        <color rgb="FFFFFFFF"/>
        <sz val="11.0"/>
      </rPr>
      <t>·</t>
    </r>
    <r>
      <rPr>
        <rFont val="Noto Sans CJK SC"/>
        <b/>
        <color rgb="FFFFFFFF"/>
        <sz val="11.0"/>
      </rPr>
      <t>진로</t>
    </r>
  </si>
  <si>
    <r>
      <rPr>
        <rFont val="Noto Sans CJK SC"/>
        <b/>
        <color rgb="FF000000"/>
        <sz val="11.0"/>
      </rPr>
      <t>인턴</t>
    </r>
    <r>
      <rPr>
        <rFont val="맑은 고딕"/>
        <b/>
        <color rgb="FF000000"/>
        <sz val="11.0"/>
      </rPr>
      <t>·</t>
    </r>
    <r>
      <rPr>
        <rFont val="Noto Sans CJK SC"/>
        <b/>
        <color rgb="FF000000"/>
        <sz val="11.0"/>
      </rPr>
      <t>현장실습</t>
    </r>
  </si>
  <si>
    <r>
      <rPr>
        <rFont val="Noto Sans CJK SC"/>
        <i/>
        <color rgb="FF7F7F7F"/>
        <sz val="8.0"/>
      </rPr>
      <t>출처</t>
    </r>
    <r>
      <rPr>
        <rFont val="맑은 고딕"/>
        <i/>
        <color rgb="FF7F7F7F"/>
        <sz val="8.0"/>
      </rPr>
      <t xml:space="preserve">: </t>
    </r>
    <r>
      <rPr>
        <rFont val="Noto Sans CJK SC"/>
        <i/>
        <color rgb="FF7F7F7F"/>
        <sz val="8.0"/>
      </rPr>
      <t xml:space="preserve">현장실습 지원 시스템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인턴십</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커뮤니케이션</t>
    </r>
    <r>
      <rPr>
        <rFont val="맑은 고딕"/>
        <i/>
        <color rgb="FF7F7F7F"/>
        <sz val="8.0"/>
      </rPr>
      <t>(</t>
    </r>
    <r>
      <rPr>
        <rFont val="Noto Sans CJK SC"/>
        <i/>
        <color rgb="FF7F7F7F"/>
        <sz val="8.0"/>
      </rPr>
      <t>협업</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기간</t>
    </r>
    <r>
      <rPr>
        <rFont val="맑은 고딕"/>
        <i/>
        <color rgb="FF7F7F7F"/>
        <sz val="8.0"/>
      </rPr>
      <t>(</t>
    </r>
    <r>
      <rPr>
        <rFont val="Noto Sans CJK SC"/>
        <i/>
        <color rgb="FF7F7F7F"/>
        <sz val="8.0"/>
      </rPr>
      <t>개월</t>
    </r>
    <r>
      <rPr>
        <rFont val="맑은 고딕"/>
        <i/>
        <color rgb="FF7F7F7F"/>
        <sz val="8.0"/>
      </rPr>
      <t>)</t>
    </r>
    <r>
      <rPr>
        <rFont val="Noto Sans CJK SC"/>
        <i/>
        <color rgb="FF7F7F7F"/>
        <sz val="8.0"/>
      </rPr>
      <t>과 직무 관련성을 함께 추출</t>
    </r>
  </si>
  <si>
    <r>
      <rPr>
        <rFont val="Noto Sans CJK SC"/>
        <b/>
        <color rgb="FF000000"/>
        <sz val="9.0"/>
      </rPr>
      <t>직무</t>
    </r>
    <r>
      <rPr>
        <rFont val="맑은 고딕"/>
        <b/>
        <color rgb="FF000000"/>
        <sz val="9.0"/>
      </rPr>
      <t>·</t>
    </r>
    <r>
      <rPr>
        <rFont val="Noto Sans CJK SC"/>
        <b/>
        <color rgb="FF000000"/>
        <sz val="9.0"/>
      </rPr>
      <t>부서</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</si>
  <si>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</si>
  <si>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맑은 고딕"/>
        <b/>
        <color rgb="FF000000"/>
        <sz val="9.0"/>
      </rPr>
      <t>3</t>
    </r>
    <r>
      <rPr>
        <rFont val="Noto Sans CJK SC"/>
        <b/>
        <color rgb="FF000000"/>
        <sz val="9.0"/>
      </rPr>
      <t>품 인정</t>
    </r>
  </si>
  <si>
    <r>
      <rPr>
        <rFont val="맑은 고딕"/>
        <i/>
        <color rgb="FF7F7F7F"/>
        <sz val="8.0"/>
      </rPr>
      <t>[</t>
    </r>
    <r>
      <rPr>
        <rFont val="Noto Sans CJK SC"/>
        <i/>
        <color rgb="FF7F7F7F"/>
        <sz val="8.0"/>
      </rPr>
      <t xml:space="preserve">인턴십 </t>
    </r>
    <r>
      <rPr>
        <rFont val="맑은 고딕"/>
        <i/>
        <color rgb="FF7F7F7F"/>
        <sz val="8.0"/>
      </rPr>
      <t xml:space="preserve">/ </t>
    </r>
    <r>
      <rPr>
        <rFont val="Noto Sans CJK SC"/>
        <i/>
        <color rgb="FF7F7F7F"/>
        <sz val="8.0"/>
      </rPr>
      <t xml:space="preserve">현장실습 </t>
    </r>
    <r>
      <rPr>
        <rFont val="맑은 고딕"/>
        <i/>
        <color rgb="FF7F7F7F"/>
        <sz val="8.0"/>
      </rPr>
      <t xml:space="preserve">/ </t>
    </r>
    <r>
      <rPr>
        <rFont val="Noto Sans CJK SC"/>
        <i/>
        <color rgb="FF7F7F7F"/>
        <sz val="8.0"/>
      </rPr>
      <t xml:space="preserve">연구체험 </t>
    </r>
    <r>
      <rPr>
        <rFont val="맑은 고딕"/>
        <i/>
        <color rgb="FF7F7F7F"/>
        <sz val="8.0"/>
      </rPr>
      <t xml:space="preserve">/ </t>
    </r>
    <r>
      <rPr>
        <rFont val="Noto Sans CJK SC"/>
        <i/>
        <color rgb="FF7F7F7F"/>
        <sz val="8.0"/>
      </rPr>
      <t>문제해결프로젝트</t>
    </r>
    <r>
      <rPr>
        <rFont val="맑은 고딕"/>
        <i/>
        <color rgb="FF7F7F7F"/>
        <sz val="8.0"/>
      </rPr>
      <t>]</t>
    </r>
  </si>
  <si>
    <r>
      <rPr>
        <rFont val="맑은 고딕"/>
        <i/>
        <color rgb="FF7F7F7F"/>
        <sz val="8.0"/>
      </rPr>
      <t>[</t>
    </r>
    <r>
      <rPr>
        <rFont val="Noto Sans CJK SC"/>
        <i/>
        <color rgb="FF7F7F7F"/>
        <sz val="8.0"/>
      </rPr>
      <t xml:space="preserve">관련 </t>
    </r>
    <r>
      <rPr>
        <rFont val="맑은 고딕"/>
        <i/>
        <color rgb="FF7F7F7F"/>
        <sz val="8.0"/>
      </rPr>
      <t xml:space="preserve">/ </t>
    </r>
    <r>
      <rPr>
        <rFont val="Noto Sans CJK SC"/>
        <i/>
        <color rgb="FF7F7F7F"/>
        <sz val="8.0"/>
      </rPr>
      <t xml:space="preserve">일부 관련 </t>
    </r>
    <r>
      <rPr>
        <rFont val="맑은 고딕"/>
        <i/>
        <color rgb="FF7F7F7F"/>
        <sz val="8.0"/>
      </rPr>
      <t xml:space="preserve">/ </t>
    </r>
    <r>
      <rPr>
        <rFont val="Noto Sans CJK SC"/>
        <i/>
        <color rgb="FF7F7F7F"/>
        <sz val="8.0"/>
      </rPr>
      <t>무관</t>
    </r>
    <r>
      <rPr>
        <rFont val="맑은 고딕"/>
        <i/>
        <color rgb="FF7F7F7F"/>
        <sz val="8.0"/>
      </rPr>
      <t>]</t>
    </r>
  </si>
  <si>
    <r>
      <rPr>
        <rFont val="Noto Sans CJK SC"/>
        <i/>
        <color rgb="FF7F7F7F"/>
        <sz val="8.0"/>
      </rPr>
      <t>출처</t>
    </r>
    <r>
      <rPr>
        <rFont val="맑은 고딕"/>
        <i/>
        <color rgb="FF7F7F7F"/>
        <sz val="8.0"/>
      </rPr>
      <t xml:space="preserve">: </t>
    </r>
    <r>
      <rPr>
        <rFont val="Noto Sans CJK SC"/>
        <i/>
        <color rgb="FF7F7F7F"/>
        <sz val="8.0"/>
      </rPr>
      <t>학생 등록</t>
    </r>
    <r>
      <rPr>
        <rFont val="맑은 고딕"/>
        <i/>
        <color rgb="FF7F7F7F"/>
        <sz val="8.0"/>
      </rPr>
      <t>(</t>
    </r>
    <r>
      <rPr>
        <rFont val="Noto Sans CJK SC"/>
        <i/>
        <color rgb="FF7F7F7F"/>
        <sz val="8.0"/>
      </rPr>
      <t>고용보험 자격이력 등</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커뮤니케이션 </t>
    </r>
    <r>
      <rPr>
        <rFont val="맑은 고딕"/>
        <i/>
        <color rgb="FF7F7F7F"/>
        <sz val="8.0"/>
      </rPr>
      <t xml:space="preserve">/ </t>
    </r>
    <r>
      <rPr>
        <rFont val="Noto Sans CJK SC"/>
        <i/>
        <color rgb="FF7F7F7F"/>
        <sz val="8.0"/>
      </rPr>
      <t xml:space="preserve">책임감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증빙 신뢰도 낮음 → 기간 위주 정량화 권장</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</si>
  <si>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</si>
  <si>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맑은 고딕"/>
        <i/>
        <color rgb="FF7F7F7F"/>
        <sz val="8.0"/>
      </rPr>
      <t>[</t>
    </r>
    <r>
      <rPr>
        <rFont val="Noto Sans CJK SC"/>
        <i/>
        <color rgb="FF7F7F7F"/>
        <sz val="8.0"/>
      </rPr>
      <t xml:space="preserve">고용보험 </t>
    </r>
    <r>
      <rPr>
        <rFont val="맑은 고딕"/>
        <i/>
        <color rgb="FF7F7F7F"/>
        <sz val="8.0"/>
      </rPr>
      <t xml:space="preserve">/ </t>
    </r>
    <r>
      <rPr>
        <rFont val="Noto Sans CJK SC"/>
        <i/>
        <color rgb="FF7F7F7F"/>
        <sz val="8.0"/>
      </rPr>
      <t>재직</t>
    </r>
    <r>
      <rPr>
        <rFont val="맑은 고딕"/>
        <i/>
        <color rgb="FF7F7F7F"/>
        <sz val="8.0"/>
      </rPr>
      <t>·</t>
    </r>
    <r>
      <rPr>
        <rFont val="Noto Sans CJK SC"/>
        <i/>
        <color rgb="FF7F7F7F"/>
        <sz val="8.0"/>
      </rPr>
      <t xml:space="preserve">경력증명 </t>
    </r>
    <r>
      <rPr>
        <rFont val="맑은 고딕"/>
        <i/>
        <color rgb="FF7F7F7F"/>
        <sz val="8.0"/>
      </rPr>
      <t xml:space="preserve">/ </t>
    </r>
    <r>
      <rPr>
        <rFont val="Noto Sans CJK SC"/>
        <i/>
        <color rgb="FF7F7F7F"/>
        <sz val="8.0"/>
      </rPr>
      <t>없음</t>
    </r>
    <r>
      <rPr>
        <rFont val="맑은 고딕"/>
        <i/>
        <color rgb="FF7F7F7F"/>
        <sz val="8.0"/>
      </rPr>
      <t>]</t>
    </r>
  </si>
  <si>
    <r>
      <rPr>
        <rFont val="Noto Sans CJK SC"/>
        <b/>
        <color rgb="FF000000"/>
        <sz val="11.0"/>
      </rPr>
      <t>진로설계</t>
    </r>
    <r>
      <rPr>
        <rFont val="맑은 고딕"/>
        <b/>
        <color rgb="FF000000"/>
        <sz val="11.0"/>
      </rPr>
      <t>·</t>
    </r>
    <r>
      <rPr>
        <rFont val="Noto Sans CJK SC"/>
        <b/>
        <color rgb="FF000000"/>
        <sz val="11.0"/>
      </rPr>
      <t>취업상담</t>
    </r>
  </si>
  <si>
    <r>
      <rPr>
        <rFont val="Noto Sans CJK SC"/>
        <i/>
        <color rgb="FF7F7F7F"/>
        <sz val="8.0"/>
      </rPr>
      <t>출처</t>
    </r>
    <r>
      <rPr>
        <rFont val="맑은 고딕"/>
        <i/>
        <color rgb="FF7F7F7F"/>
        <sz val="8.0"/>
      </rPr>
      <t xml:space="preserve">: </t>
    </r>
    <r>
      <rPr>
        <rFont val="Noto Sans CJK SC"/>
        <i/>
        <color rgb="FF7F7F7F"/>
        <sz val="8.0"/>
      </rPr>
      <t xml:space="preserve">경력개발 </t>
    </r>
    <r>
      <rPr>
        <rFont val="맑은 고딕"/>
        <i/>
        <color rgb="FF7F7F7F"/>
        <sz val="8.0"/>
      </rPr>
      <t xml:space="preserve">· </t>
    </r>
    <r>
      <rPr>
        <rFont val="Noto Sans CJK SC"/>
        <i/>
        <color rgb="FF7F7F7F"/>
        <sz val="8.0"/>
      </rPr>
      <t xml:space="preserve">상담 시스템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자기관리</t>
    </r>
    <r>
      <rPr>
        <rFont val="맑은 고딕"/>
        <i/>
        <color rgb="FF7F7F7F"/>
        <sz val="8.0"/>
      </rPr>
      <t>(</t>
    </r>
    <r>
      <rPr>
        <rFont val="Noto Sans CJK SC"/>
        <i/>
        <color rgb="FF7F7F7F"/>
        <sz val="8.0"/>
      </rPr>
      <t>계획 수립</t>
    </r>
    <r>
      <rPr>
        <rFont val="맑은 고딕"/>
        <i/>
        <color rgb="FF7F7F7F"/>
        <sz val="8.0"/>
      </rPr>
      <t xml:space="preserve">) /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t>
    </r>
    <r>
      <rPr>
        <rFont val="Noto Sans CJK SC"/>
        <i/>
        <color rgb="FF7F7F7F"/>
        <sz val="8.0"/>
      </rPr>
      <t>계획 수립 및 실행 능력</t>
    </r>
    <r>
      <rPr>
        <rFont val="맑은 고딕"/>
        <i/>
        <color rgb="FF7F7F7F"/>
        <sz val="8.0"/>
      </rPr>
      <t>'</t>
    </r>
    <r>
      <rPr>
        <rFont val="Noto Sans CJK SC"/>
        <i/>
        <color rgb="FF7F7F7F"/>
        <sz val="8.0"/>
      </rPr>
      <t xml:space="preserve">의 근거가 </t>
    </r>
    <r>
      <rPr>
        <rFont val="맑은 고딕"/>
        <i/>
        <color rgb="FF7F7F7F"/>
        <sz val="8.0"/>
      </rPr>
      <t xml:space="preserve">LMS </t>
    </r>
    <r>
      <rPr>
        <rFont val="Noto Sans CJK SC"/>
        <i/>
        <color rgb="FF7F7F7F"/>
        <sz val="8.0"/>
      </rPr>
      <t>하나뿐인 공백 보완</t>
    </r>
  </si>
  <si>
    <r>
      <rPr>
        <rFont val="Noto Sans CJK SC"/>
        <b/>
        <color rgb="FF000000"/>
        <sz val="10.0"/>
      </rPr>
      <t>진로</t>
    </r>
    <r>
      <rPr>
        <rFont val="맑은 고딕"/>
        <b/>
        <color rgb="FF000000"/>
        <sz val="10.0"/>
      </rPr>
      <t>·</t>
    </r>
    <r>
      <rPr>
        <rFont val="Noto Sans CJK SC"/>
        <b/>
        <color rgb="FF000000"/>
        <sz val="10.0"/>
      </rPr>
      <t>취업 상담 횟수</t>
    </r>
    <r>
      <rPr>
        <rFont val="맑은 고딕"/>
        <b/>
        <color rgb="FF000000"/>
        <sz val="10.0"/>
      </rPr>
      <t>(</t>
    </r>
    <r>
      <rPr>
        <rFont val="Noto Sans CJK SC"/>
        <b/>
        <color rgb="FF000000"/>
        <sz val="10.0"/>
      </rPr>
      <t>누적</t>
    </r>
    <r>
      <rPr>
        <rFont val="맑은 고딕"/>
        <b/>
        <color rgb="FF000000"/>
        <sz val="10.0"/>
      </rPr>
      <t>)</t>
    </r>
  </si>
  <si>
    <r>
      <rPr>
        <rFont val="Noto Sans CJK SC"/>
        <b/>
        <color rgb="FF000000"/>
        <sz val="10.0"/>
      </rPr>
      <t>희망 직무</t>
    </r>
    <r>
      <rPr>
        <rFont val="맑은 고딕"/>
        <b/>
        <color rgb="FF000000"/>
        <sz val="10.0"/>
      </rPr>
      <t>·</t>
    </r>
    <r>
      <rPr>
        <rFont val="Noto Sans CJK SC"/>
        <b/>
        <color rgb="FF000000"/>
        <sz val="10.0"/>
      </rPr>
      <t>분야</t>
    </r>
  </si>
  <si>
    <t>화학소재 해외영업</t>
  </si>
  <si>
    <t>일본계 화학소재 기업의 해외영업 직무 취업이 목표</t>
  </si>
  <si>
    <r>
      <rPr>
        <rFont val="맑은 고딕"/>
        <color rgb="FF7F7F7F"/>
        <sz val="9.0"/>
      </rPr>
      <t>1~3</t>
    </r>
    <r>
      <rPr>
        <rFont val="Noto Sans CJK SC"/>
        <color rgb="FF7F7F7F"/>
        <sz val="9.0"/>
      </rPr>
      <t>문장</t>
    </r>
  </si>
  <si>
    <r>
      <rPr>
        <rFont val="Noto Sans CJK SC"/>
        <b/>
        <color rgb="FFFFFFFF"/>
        <sz val="11.0"/>
      </rPr>
      <t>■ 창의</t>
    </r>
    <r>
      <rPr>
        <rFont val="맑은 고딕"/>
        <b/>
        <color rgb="FFFFFFFF"/>
        <sz val="11.0"/>
      </rPr>
      <t>·</t>
    </r>
    <r>
      <rPr>
        <rFont val="Noto Sans CJK SC"/>
        <b/>
        <color rgb="FFFFFFFF"/>
        <sz val="11.0"/>
      </rPr>
      <t>도전</t>
    </r>
  </si>
  <si>
    <r>
      <rPr>
        <rFont val="Noto Sans CJK SC"/>
        <b/>
        <color rgb="FF000000"/>
        <sz val="11.0"/>
      </rPr>
      <t>공모전 참가</t>
    </r>
    <r>
      <rPr>
        <rFont val="맑은 고딕"/>
        <b/>
        <color rgb="FF000000"/>
        <sz val="11.0"/>
      </rPr>
      <t>·</t>
    </r>
    <r>
      <rPr>
        <rFont val="Noto Sans CJK SC"/>
        <b/>
        <color rgb="FF000000"/>
        <sz val="11.0"/>
      </rPr>
      <t>수상</t>
    </r>
  </si>
  <si>
    <r>
      <rPr>
        <rFont val="Noto Sans CJK SC"/>
        <i/>
        <color rgb="FF7F7F7F"/>
        <sz val="8.0"/>
      </rPr>
      <t>출처</t>
    </r>
    <r>
      <rPr>
        <rFont val="맑은 고딕"/>
        <i/>
        <color rgb="FF7F7F7F"/>
        <sz val="8.0"/>
      </rPr>
      <t xml:space="preserve">: </t>
    </r>
    <r>
      <rPr>
        <rFont val="Noto Sans CJK SC"/>
        <i/>
        <color rgb="FF7F7F7F"/>
        <sz val="8.0"/>
      </rPr>
      <t xml:space="preserve">비교과 시스템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창의 </t>
    </r>
    <r>
      <rPr>
        <rFont val="맑은 고딕"/>
        <i/>
        <color rgb="FF7F7F7F"/>
        <sz val="8.0"/>
      </rPr>
      <t xml:space="preserve">/ </t>
    </r>
    <r>
      <rPr>
        <rFont val="Noto Sans CJK SC"/>
        <i/>
        <color rgb="FF7F7F7F"/>
        <sz val="8.0"/>
      </rPr>
      <t xml:space="preserve">종합적사고력 </t>
    </r>
    <r>
      <rPr>
        <rFont val="맑은 고딕"/>
        <i/>
        <color rgb="FF7F7F7F"/>
        <sz val="8.0"/>
      </rPr>
      <t xml:space="preserve">/ </t>
    </r>
    <r>
      <rPr>
        <rFont val="Noto Sans CJK SC"/>
        <i/>
        <color rgb="FF7F7F7F"/>
        <sz val="8.0"/>
      </rPr>
      <t xml:space="preserve">문제해결력 </t>
    </r>
    <r>
      <rPr>
        <rFont val="맑은 고딕"/>
        <i/>
        <color rgb="FF7F7F7F"/>
        <sz val="8.0"/>
      </rPr>
      <t xml:space="preserve">/ </t>
    </r>
    <r>
      <rPr>
        <rFont val="Noto Sans CJK SC"/>
        <i/>
        <color rgb="FF7F7F7F"/>
        <sz val="8.0"/>
      </rPr>
      <t xml:space="preserve">도전정신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수상 등급 </t>
    </r>
    <r>
      <rPr>
        <rFont val="맑은 고딕"/>
        <i/>
        <color rgb="FF7F7F7F"/>
        <sz val="8.0"/>
      </rPr>
      <t xml:space="preserve">× </t>
    </r>
    <r>
      <rPr>
        <rFont val="Noto Sans CJK SC"/>
        <i/>
        <color rgb="FF7F7F7F"/>
        <sz val="8.0"/>
      </rPr>
      <t>주관 수준</t>
    </r>
    <r>
      <rPr>
        <rFont val="맑은 고딕"/>
        <i/>
        <color rgb="FF7F7F7F"/>
        <sz val="8.0"/>
      </rPr>
      <t>(</t>
    </r>
    <r>
      <rPr>
        <rFont val="Noto Sans CJK SC"/>
        <i/>
        <color rgb="FF7F7F7F"/>
        <sz val="8.0"/>
      </rPr>
      <t>교내</t>
    </r>
    <r>
      <rPr>
        <rFont val="맑은 고딕"/>
        <i/>
        <color rgb="FF7F7F7F"/>
        <sz val="8.0"/>
      </rPr>
      <t>·</t>
    </r>
    <r>
      <rPr>
        <rFont val="Noto Sans CJK SC"/>
        <i/>
        <color rgb="FF7F7F7F"/>
        <sz val="8.0"/>
      </rPr>
      <t>전국</t>
    </r>
    <r>
      <rPr>
        <rFont val="맑은 고딕"/>
        <i/>
        <color rgb="FF7F7F7F"/>
        <sz val="8.0"/>
      </rPr>
      <t>·</t>
    </r>
    <r>
      <rPr>
        <rFont val="Noto Sans CJK SC"/>
        <i/>
        <color rgb="FF7F7F7F"/>
        <sz val="8.0"/>
      </rPr>
      <t>국제</t>
    </r>
    <r>
      <rPr>
        <rFont val="맑은 고딕"/>
        <i/>
        <color rgb="FF7F7F7F"/>
        <sz val="8.0"/>
      </rPr>
      <t xml:space="preserve">) </t>
    </r>
    <r>
      <rPr>
        <rFont val="Noto Sans CJK SC"/>
        <i/>
        <color rgb="FF7F7F7F"/>
        <sz val="8.0"/>
      </rPr>
      <t>매핑 필요</t>
    </r>
  </si>
  <si>
    <r>
      <rPr>
        <rFont val="맑은 고딕"/>
        <i/>
        <color rgb="FF7F7F7F"/>
        <sz val="8.0"/>
      </rPr>
      <t>[</t>
    </r>
    <r>
      <rPr>
        <rFont val="Noto Sans CJK SC"/>
        <i/>
        <color rgb="FF7F7F7F"/>
        <sz val="8.0"/>
      </rPr>
      <t xml:space="preserve">교내 </t>
    </r>
    <r>
      <rPr>
        <rFont val="맑은 고딕"/>
        <i/>
        <color rgb="FF7F7F7F"/>
        <sz val="8.0"/>
      </rPr>
      <t xml:space="preserve">/ </t>
    </r>
    <r>
      <rPr>
        <rFont val="Noto Sans CJK SC"/>
        <i/>
        <color rgb="FF7F7F7F"/>
        <sz val="8.0"/>
      </rPr>
      <t xml:space="preserve">지역 </t>
    </r>
    <r>
      <rPr>
        <rFont val="맑은 고딕"/>
        <i/>
        <color rgb="FF7F7F7F"/>
        <sz val="8.0"/>
      </rPr>
      <t xml:space="preserve">/ </t>
    </r>
    <r>
      <rPr>
        <rFont val="Noto Sans CJK SC"/>
        <i/>
        <color rgb="FF7F7F7F"/>
        <sz val="8.0"/>
      </rPr>
      <t xml:space="preserve">전국 </t>
    </r>
    <r>
      <rPr>
        <rFont val="맑은 고딕"/>
        <i/>
        <color rgb="FF7F7F7F"/>
        <sz val="8.0"/>
      </rPr>
      <t xml:space="preserve">/ </t>
    </r>
    <r>
      <rPr>
        <rFont val="Noto Sans CJK SC"/>
        <i/>
        <color rgb="FF7F7F7F"/>
        <sz val="8.0"/>
      </rPr>
      <t>국제</t>
    </r>
    <r>
      <rPr>
        <rFont val="맑은 고딕"/>
        <i/>
        <color rgb="FF7F7F7F"/>
        <sz val="8.0"/>
      </rPr>
      <t>]</t>
    </r>
  </si>
  <si>
    <r>
      <rPr>
        <rFont val="맑은 고딕"/>
        <i/>
        <color rgb="FF7F7F7F"/>
        <sz val="8.0"/>
      </rPr>
      <t>[</t>
    </r>
    <r>
      <rPr>
        <rFont val="Noto Sans CJK SC"/>
        <i/>
        <color rgb="FF7F7F7F"/>
        <sz val="8.0"/>
      </rPr>
      <t xml:space="preserve">참가 </t>
    </r>
    <r>
      <rPr>
        <rFont val="맑은 고딕"/>
        <i/>
        <color rgb="FF7F7F7F"/>
        <sz val="8.0"/>
      </rPr>
      <t xml:space="preserve">/ </t>
    </r>
    <r>
      <rPr>
        <rFont val="Noto Sans CJK SC"/>
        <i/>
        <color rgb="FF7F7F7F"/>
        <sz val="8.0"/>
      </rPr>
      <t xml:space="preserve">입선 </t>
    </r>
    <r>
      <rPr>
        <rFont val="맑은 고딕"/>
        <i/>
        <color rgb="FF7F7F7F"/>
        <sz val="8.0"/>
      </rPr>
      <t xml:space="preserve">/ </t>
    </r>
    <r>
      <rPr>
        <rFont val="Noto Sans CJK SC"/>
        <i/>
        <color rgb="FF7F7F7F"/>
        <sz val="8.0"/>
      </rPr>
      <t xml:space="preserve">장려 </t>
    </r>
    <r>
      <rPr>
        <rFont val="맑은 고딕"/>
        <i/>
        <color rgb="FF7F7F7F"/>
        <sz val="8.0"/>
      </rPr>
      <t xml:space="preserve">/ </t>
    </r>
    <r>
      <rPr>
        <rFont val="Noto Sans CJK SC"/>
        <i/>
        <color rgb="FF7F7F7F"/>
        <sz val="8.0"/>
      </rPr>
      <t xml:space="preserve">우수 </t>
    </r>
    <r>
      <rPr>
        <rFont val="맑은 고딕"/>
        <i/>
        <color rgb="FF7F7F7F"/>
        <sz val="8.0"/>
      </rPr>
      <t xml:space="preserve">/ </t>
    </r>
    <r>
      <rPr>
        <rFont val="Noto Sans CJK SC"/>
        <i/>
        <color rgb="FF7F7F7F"/>
        <sz val="8.0"/>
      </rPr>
      <t xml:space="preserve">최우수 </t>
    </r>
    <r>
      <rPr>
        <rFont val="맑은 고딕"/>
        <i/>
        <color rgb="FF7F7F7F"/>
        <sz val="8.0"/>
      </rPr>
      <t xml:space="preserve">/ </t>
    </r>
    <r>
      <rPr>
        <rFont val="Noto Sans CJK SC"/>
        <i/>
        <color rgb="FF7F7F7F"/>
        <sz val="8.0"/>
      </rPr>
      <t>대상</t>
    </r>
    <r>
      <rPr>
        <rFont val="맑은 고딕"/>
        <i/>
        <color rgb="FF7F7F7F"/>
        <sz val="8.0"/>
      </rPr>
      <t>]</t>
    </r>
  </si>
  <si>
    <r>
      <rPr>
        <rFont val="맑은 고딕"/>
        <i/>
        <color rgb="FF7F7F7F"/>
        <sz val="8.0"/>
      </rPr>
      <t>[</t>
    </r>
    <r>
      <rPr>
        <rFont val="Noto Sans CJK SC"/>
        <i/>
        <color rgb="FF7F7F7F"/>
        <sz val="8.0"/>
      </rPr>
      <t xml:space="preserve">개인 </t>
    </r>
    <r>
      <rPr>
        <rFont val="맑은 고딕"/>
        <i/>
        <color rgb="FF7F7F7F"/>
        <sz val="8.0"/>
      </rPr>
      <t xml:space="preserve">/ </t>
    </r>
    <r>
      <rPr>
        <rFont val="Noto Sans CJK SC"/>
        <i/>
        <color rgb="FF7F7F7F"/>
        <sz val="8.0"/>
      </rPr>
      <t>팀</t>
    </r>
    <r>
      <rPr>
        <rFont val="맑은 고딕"/>
        <i/>
        <color rgb="FF7F7F7F"/>
        <sz val="8.0"/>
      </rPr>
      <t>]</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</si>
  <si>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xml:space="preserve">· </t>
    </r>
    <r>
      <rPr>
        <rFont val="Noto Sans CJK SC"/>
        <i/>
        <color rgb="FF7F7F7F"/>
        <sz val="8.0"/>
      </rPr>
      <t xml:space="preserve">창업지원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창의 </t>
    </r>
    <r>
      <rPr>
        <rFont val="맑은 고딕"/>
        <i/>
        <color rgb="FF7F7F7F"/>
        <sz val="8.0"/>
      </rPr>
      <t xml:space="preserve">/ </t>
    </r>
    <r>
      <rPr>
        <rFont val="Noto Sans CJK SC"/>
        <i/>
        <color rgb="FF7F7F7F"/>
        <sz val="8.0"/>
      </rPr>
      <t>도전정신</t>
    </r>
  </si>
  <si>
    <r>
      <rPr>
        <rFont val="Noto Sans CJK SC"/>
        <b/>
        <color rgb="FF000000"/>
        <sz val="9.0"/>
      </rPr>
      <t>명칭</t>
    </r>
    <r>
      <rPr>
        <rFont val="맑은 고딕"/>
        <b/>
        <color rgb="FF000000"/>
        <sz val="9.0"/>
      </rPr>
      <t>·</t>
    </r>
    <r>
      <rPr>
        <rFont val="Noto Sans CJK SC"/>
        <b/>
        <color rgb="FF000000"/>
        <sz val="9.0"/>
      </rPr>
      <t>내용</t>
    </r>
  </si>
  <si>
    <r>
      <rPr>
        <rFont val="맑은 고딕"/>
        <i/>
        <color rgb="FF7F7F7F"/>
        <sz val="8.0"/>
      </rPr>
      <t>[</t>
    </r>
    <r>
      <rPr>
        <rFont val="Noto Sans CJK SC"/>
        <i/>
        <color rgb="FF7F7F7F"/>
        <sz val="8.0"/>
      </rPr>
      <t xml:space="preserve">창업교과목 </t>
    </r>
    <r>
      <rPr>
        <rFont val="맑은 고딕"/>
        <i/>
        <color rgb="FF7F7F7F"/>
        <sz val="8.0"/>
      </rPr>
      <t xml:space="preserve">/ </t>
    </r>
    <r>
      <rPr>
        <rFont val="Noto Sans CJK SC"/>
        <i/>
        <color rgb="FF7F7F7F"/>
        <sz val="8.0"/>
      </rPr>
      <t xml:space="preserve">창업경진대회 </t>
    </r>
    <r>
      <rPr>
        <rFont val="맑은 고딕"/>
        <i/>
        <color rgb="FF7F7F7F"/>
        <sz val="8.0"/>
      </rPr>
      <t xml:space="preserve">/ </t>
    </r>
    <r>
      <rPr>
        <rFont val="Noto Sans CJK SC"/>
        <i/>
        <color rgb="FF7F7F7F"/>
        <sz val="8.0"/>
      </rPr>
      <t xml:space="preserve">사업자등록 </t>
    </r>
    <r>
      <rPr>
        <rFont val="맑은 고딕"/>
        <i/>
        <color rgb="FF7F7F7F"/>
        <sz val="8.0"/>
      </rPr>
      <t xml:space="preserve">/ </t>
    </r>
    <r>
      <rPr>
        <rFont val="Noto Sans CJK SC"/>
        <i/>
        <color rgb="FF7F7F7F"/>
        <sz val="8.0"/>
      </rPr>
      <t>창업동아리</t>
    </r>
    <r>
      <rPr>
        <rFont val="맑은 고딕"/>
        <i/>
        <color rgb="FF7F7F7F"/>
        <sz val="8.0"/>
      </rPr>
      <t>]</t>
    </r>
  </si>
  <si>
    <r>
      <rPr>
        <rFont val="Noto Sans CJK SC"/>
        <b/>
        <color rgb="FF000000"/>
        <sz val="11.0"/>
      </rPr>
      <t>특허출원</t>
    </r>
    <r>
      <rPr>
        <rFont val="맑은 고딕"/>
        <b/>
        <color rgb="FF000000"/>
        <sz val="11.0"/>
      </rPr>
      <t xml:space="preserve">·SW </t>
    </r>
    <r>
      <rPr>
        <rFont val="Noto Sans CJK SC"/>
        <b/>
        <color rgb="FF000000"/>
        <sz val="11.0"/>
      </rPr>
      <t>등록</t>
    </r>
  </si>
  <si>
    <r>
      <rPr>
        <rFont val="Noto Sans CJK SC"/>
        <i/>
        <color rgb="FF7F7F7F"/>
        <sz val="8.0"/>
      </rPr>
      <t>출처</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 xml:space="preserve">) </t>
    </r>
    <r>
      <rPr>
        <rFont val="Noto Sans CJK SC"/>
        <i/>
        <color rgb="FF7F7F7F"/>
        <sz val="8.0"/>
      </rPr>
      <t xml:space="preserve">인증 </t>
    </r>
    <r>
      <rPr>
        <rFont val="맑은 고딕"/>
        <i/>
        <color rgb="FF7F7F7F"/>
        <sz val="8.0"/>
      </rPr>
      <t xml:space="preserve">· </t>
    </r>
    <r>
      <rPr>
        <rFont val="Noto Sans CJK SC"/>
        <i/>
        <color rgb="FF7F7F7F"/>
        <sz val="8.0"/>
      </rPr>
      <t xml:space="preserve">학생 등록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창의 </t>
    </r>
    <r>
      <rPr>
        <rFont val="맑은 고딕"/>
        <i/>
        <color rgb="FF7F7F7F"/>
        <sz val="8.0"/>
      </rPr>
      <t xml:space="preserve">/ </t>
    </r>
    <r>
      <rPr>
        <rFont val="Noto Sans CJK SC"/>
        <i/>
        <color rgb="FF7F7F7F"/>
        <sz val="8.0"/>
      </rPr>
      <t xml:space="preserve">도전정신 </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기존 데이터셋에 없는 신규 근거</t>
    </r>
  </si>
  <si>
    <r>
      <rPr>
        <rFont val="Noto Sans CJK SC"/>
        <b/>
        <color rgb="FF000000"/>
        <sz val="9.0"/>
      </rPr>
      <t>출원</t>
    </r>
    <r>
      <rPr>
        <rFont val="맑은 고딕"/>
        <b/>
        <color rgb="FF000000"/>
        <sz val="9.0"/>
      </rPr>
      <t>·</t>
    </r>
    <r>
      <rPr>
        <rFont val="Noto Sans CJK SC"/>
        <b/>
        <color rgb="FF000000"/>
        <sz val="9.0"/>
      </rPr>
      <t>등록번호</t>
    </r>
  </si>
  <si>
    <r>
      <rPr>
        <rFont val="맑은 고딕"/>
        <i/>
        <color rgb="FF7F7F7F"/>
        <sz val="8.0"/>
      </rPr>
      <t>[</t>
    </r>
    <r>
      <rPr>
        <rFont val="Noto Sans CJK SC"/>
        <i/>
        <color rgb="FF7F7F7F"/>
        <sz val="8.0"/>
      </rPr>
      <t xml:space="preserve">특허 </t>
    </r>
    <r>
      <rPr>
        <rFont val="맑은 고딕"/>
        <i/>
        <color rgb="FF7F7F7F"/>
        <sz val="8.0"/>
      </rPr>
      <t xml:space="preserve">/ </t>
    </r>
    <r>
      <rPr>
        <rFont val="Noto Sans CJK SC"/>
        <i/>
        <color rgb="FF7F7F7F"/>
        <sz val="8.0"/>
      </rPr>
      <t xml:space="preserve">실용신안 </t>
    </r>
    <r>
      <rPr>
        <rFont val="맑은 고딕"/>
        <i/>
        <color rgb="FF7F7F7F"/>
        <sz val="8.0"/>
      </rPr>
      <t xml:space="preserve">/ </t>
    </r>
    <r>
      <rPr>
        <rFont val="Noto Sans CJK SC"/>
        <i/>
        <color rgb="FF7F7F7F"/>
        <sz val="8.0"/>
      </rPr>
      <t xml:space="preserve">디자인 </t>
    </r>
    <r>
      <rPr>
        <rFont val="맑은 고딕"/>
        <i/>
        <color rgb="FF7F7F7F"/>
        <sz val="8.0"/>
      </rPr>
      <t>/ SW</t>
    </r>
    <r>
      <rPr>
        <rFont val="Noto Sans CJK SC"/>
        <i/>
        <color rgb="FF7F7F7F"/>
        <sz val="8.0"/>
      </rPr>
      <t>등록</t>
    </r>
    <r>
      <rPr>
        <rFont val="맑은 고딕"/>
        <i/>
        <color rgb="FF7F7F7F"/>
        <sz val="8.0"/>
      </rPr>
      <t>]</t>
    </r>
  </si>
  <si>
    <r>
      <rPr>
        <rFont val="맑은 고딕"/>
        <i/>
        <color rgb="FF7F7F7F"/>
        <sz val="8.0"/>
      </rPr>
      <t>[</t>
    </r>
    <r>
      <rPr>
        <rFont val="Noto Sans CJK SC"/>
        <i/>
        <color rgb="FF7F7F7F"/>
        <sz val="8.0"/>
      </rPr>
      <t xml:space="preserve">출원 </t>
    </r>
    <r>
      <rPr>
        <rFont val="맑은 고딕"/>
        <i/>
        <color rgb="FF7F7F7F"/>
        <sz val="8.0"/>
      </rPr>
      <t xml:space="preserve">/ </t>
    </r>
    <r>
      <rPr>
        <rFont val="Noto Sans CJK SC"/>
        <i/>
        <color rgb="FF7F7F7F"/>
        <sz val="8.0"/>
      </rPr>
      <t>등록</t>
    </r>
    <r>
      <rPr>
        <rFont val="맑은 고딕"/>
        <i/>
        <color rgb="FF7F7F7F"/>
        <sz val="8.0"/>
      </rPr>
      <t>]</t>
    </r>
  </si>
  <si>
    <r>
      <rPr>
        <rFont val="맑은 고딕"/>
        <i/>
        <color rgb="FF7F7F7F"/>
        <sz val="8.0"/>
      </rPr>
      <t>[</t>
    </r>
    <r>
      <rPr>
        <rFont val="Noto Sans CJK SC"/>
        <i/>
        <color rgb="FF7F7F7F"/>
        <sz val="8.0"/>
      </rPr>
      <t xml:space="preserve">단독 </t>
    </r>
    <r>
      <rPr>
        <rFont val="맑은 고딕"/>
        <i/>
        <color rgb="FF7F7F7F"/>
        <sz val="8.0"/>
      </rPr>
      <t xml:space="preserve">/ </t>
    </r>
    <r>
      <rPr>
        <rFont val="Noto Sans CJK SC"/>
        <i/>
        <color rgb="FF7F7F7F"/>
        <sz val="8.0"/>
      </rPr>
      <t>공동</t>
    </r>
    <r>
      <rPr>
        <rFont val="맑은 고딕"/>
        <i/>
        <color rgb="FF7F7F7F"/>
        <sz val="8.0"/>
      </rPr>
      <t>]</t>
    </r>
  </si>
  <si>
    <r>
      <rPr>
        <rFont val="Noto Sans CJK SC"/>
        <b/>
        <color rgb="FF000000"/>
        <sz val="11.0"/>
      </rPr>
      <t>교환학생</t>
    </r>
    <r>
      <rPr>
        <rFont val="맑은 고딕"/>
        <b/>
        <color rgb="FF000000"/>
        <sz val="11.0"/>
      </rPr>
      <t>·</t>
    </r>
    <r>
      <rPr>
        <rFont val="Noto Sans CJK SC"/>
        <b/>
        <color rgb="FF000000"/>
        <sz val="11.0"/>
      </rPr>
      <t>해외경험</t>
    </r>
  </si>
  <si>
    <r>
      <rPr>
        <rFont val="Noto Sans CJK SC"/>
        <i/>
        <color rgb="FF7F7F7F"/>
        <sz val="8.0"/>
      </rPr>
      <t>출처</t>
    </r>
    <r>
      <rPr>
        <rFont val="맑은 고딕"/>
        <i/>
        <color rgb="FF7F7F7F"/>
        <sz val="8.0"/>
      </rPr>
      <t xml:space="preserve">: </t>
    </r>
    <r>
      <rPr>
        <rFont val="Noto Sans CJK SC"/>
        <i/>
        <color rgb="FF7F7F7F"/>
        <sz val="8.0"/>
      </rPr>
      <t xml:space="preserve">국제처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글로벌</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글로벌</t>
    </r>
    <r>
      <rPr>
        <rFont val="맑은 고딕"/>
        <i/>
        <color rgb="FF7F7F7F"/>
        <sz val="8.0"/>
      </rPr>
      <t>(</t>
    </r>
    <r>
      <rPr>
        <rFont val="Noto Sans CJK SC"/>
        <i/>
        <color rgb="FF7F7F7F"/>
        <sz val="8.0"/>
      </rPr>
      <t>문화적 수용능력</t>
    </r>
    <r>
      <rPr>
        <rFont val="맑은 고딕"/>
        <i/>
        <color rgb="FF7F7F7F"/>
        <sz val="8.0"/>
      </rPr>
      <t xml:space="preserve">)   |   </t>
    </r>
    <r>
      <rPr>
        <rFont val="Noto Sans CJK SC"/>
        <i/>
        <color rgb="FF7F7F7F"/>
        <sz val="8.0"/>
      </rPr>
      <t>비고</t>
    </r>
    <r>
      <rPr>
        <rFont val="맑은 고딕"/>
        <i/>
        <color rgb="FF7F7F7F"/>
        <sz val="8.0"/>
      </rPr>
      <t xml:space="preserve">: [C] </t>
    </r>
    <r>
      <rPr>
        <rFont val="Noto Sans CJK SC"/>
        <i/>
        <color rgb="FF7F7F7F"/>
        <sz val="8.0"/>
      </rPr>
      <t>국제연구</t>
    </r>
    <r>
      <rPr>
        <rFont val="맑은 고딕"/>
        <i/>
        <color rgb="FF7F7F7F"/>
        <sz val="8.0"/>
      </rPr>
      <t>·</t>
    </r>
    <r>
      <rPr>
        <rFont val="Noto Sans CJK SC"/>
        <i/>
        <color rgb="FF7F7F7F"/>
        <sz val="8.0"/>
      </rPr>
      <t>국제문화체험 항목 추가</t>
    </r>
  </si>
  <si>
    <r>
      <rPr>
        <rFont val="Noto Sans CJK SC"/>
        <b/>
        <color rgb="FF000000"/>
        <sz val="9.0"/>
      </rPr>
      <t>기관</t>
    </r>
    <r>
      <rPr>
        <rFont val="맑은 고딕"/>
        <b/>
        <color rgb="FF000000"/>
        <sz val="9.0"/>
      </rPr>
      <t>·</t>
    </r>
    <r>
      <rPr>
        <rFont val="Noto Sans CJK SC"/>
        <b/>
        <color rgb="FF000000"/>
        <sz val="9.0"/>
      </rPr>
      <t>프로그램명</t>
    </r>
  </si>
  <si>
    <r>
      <rPr>
        <rFont val="Noto Sans CJK SC"/>
        <b/>
        <color rgb="FF000000"/>
        <sz val="9.0"/>
      </rPr>
      <t>기간</t>
    </r>
    <r>
      <rPr>
        <rFont val="맑은 고딕"/>
        <b/>
        <color rgb="FF000000"/>
        <sz val="9.0"/>
      </rPr>
      <t>(</t>
    </r>
    <r>
      <rPr>
        <rFont val="Noto Sans CJK SC"/>
        <b/>
        <color rgb="FF000000"/>
        <sz val="9.0"/>
      </rPr>
      <t>주</t>
    </r>
    <r>
      <rPr>
        <rFont val="맑은 고딕"/>
        <b/>
        <color rgb="FF000000"/>
        <sz val="9.0"/>
      </rPr>
      <t>)</t>
    </r>
  </si>
  <si>
    <r>
      <rPr>
        <rFont val="맑은 고딕"/>
        <b/>
        <color rgb="FF000000"/>
        <sz val="9.0"/>
      </rPr>
      <t>3</t>
    </r>
    <r>
      <rPr>
        <rFont val="Noto Sans CJK SC"/>
        <b/>
        <color rgb="FF000000"/>
        <sz val="9.0"/>
      </rPr>
      <t>품 인정</t>
    </r>
  </si>
  <si>
    <r>
      <rPr>
        <rFont val="맑은 고딕"/>
        <i/>
        <color rgb="FF7F7F7F"/>
        <sz val="8.0"/>
      </rPr>
      <t>[</t>
    </r>
    <r>
      <rPr>
        <rFont val="Noto Sans CJK SC"/>
        <i/>
        <color rgb="FF7F7F7F"/>
        <sz val="8.0"/>
      </rPr>
      <t xml:space="preserve">교환학생 </t>
    </r>
    <r>
      <rPr>
        <rFont val="맑은 고딕"/>
        <i/>
        <color rgb="FF7F7F7F"/>
        <sz val="8.0"/>
      </rPr>
      <t xml:space="preserve">/ </t>
    </r>
    <r>
      <rPr>
        <rFont val="Noto Sans CJK SC"/>
        <i/>
        <color rgb="FF7F7F7F"/>
        <sz val="8.0"/>
      </rPr>
      <t xml:space="preserve">어학연수 </t>
    </r>
    <r>
      <rPr>
        <rFont val="맑은 고딕"/>
        <i/>
        <color rgb="FF7F7F7F"/>
        <sz val="8.0"/>
      </rPr>
      <t xml:space="preserve">/ </t>
    </r>
    <r>
      <rPr>
        <rFont val="Noto Sans CJK SC"/>
        <i/>
        <color rgb="FF7F7F7F"/>
        <sz val="8.0"/>
      </rPr>
      <t xml:space="preserve">해외봉사 </t>
    </r>
    <r>
      <rPr>
        <rFont val="맑은 고딕"/>
        <i/>
        <color rgb="FF7F7F7F"/>
        <sz val="8.0"/>
      </rPr>
      <t xml:space="preserve">/ </t>
    </r>
    <r>
      <rPr>
        <rFont val="Noto Sans CJK SC"/>
        <i/>
        <color rgb="FF7F7F7F"/>
        <sz val="8.0"/>
      </rPr>
      <t xml:space="preserve">국제연구 </t>
    </r>
    <r>
      <rPr>
        <rFont val="맑은 고딕"/>
        <i/>
        <color rgb="FF7F7F7F"/>
        <sz val="8.0"/>
      </rPr>
      <t xml:space="preserve">/ </t>
    </r>
    <r>
      <rPr>
        <rFont val="Noto Sans CJK SC"/>
        <i/>
        <color rgb="FF7F7F7F"/>
        <sz val="8.0"/>
      </rPr>
      <t xml:space="preserve">국제문화체험 </t>
    </r>
    <r>
      <rPr>
        <rFont val="맑은 고딕"/>
        <i/>
        <color rgb="FF7F7F7F"/>
        <sz val="8.0"/>
      </rPr>
      <t xml:space="preserve">/ </t>
    </r>
    <r>
      <rPr>
        <rFont val="Noto Sans CJK SC"/>
        <i/>
        <color rgb="FF7F7F7F"/>
        <sz val="8.0"/>
      </rPr>
      <t>해외학습</t>
    </r>
    <r>
      <rPr>
        <rFont val="맑은 고딕"/>
        <i/>
        <color rgb="FF7F7F7F"/>
        <sz val="8.0"/>
      </rPr>
      <t>]</t>
    </r>
  </si>
  <si>
    <t>어학연수</t>
  </si>
  <si>
    <t>일본</t>
  </si>
  <si>
    <r>
      <rPr>
        <rFont val="Noto Sans CJK SC"/>
        <color rgb="FF1F3B8A"/>
        <sz val="10.0"/>
      </rPr>
      <t>도쿄 일본어학교</t>
    </r>
    <r>
      <rPr>
        <rFont val="맑은 고딕"/>
        <color rgb="FF1F3B8A"/>
        <sz val="10.0"/>
      </rPr>
      <t>(</t>
    </r>
    <r>
      <rPr>
        <rFont val="Noto Sans CJK SC"/>
        <color rgb="FF1F3B8A"/>
        <sz val="10.0"/>
      </rPr>
      <t>가상</t>
    </r>
    <r>
      <rPr>
        <rFont val="맑은 고딕"/>
        <color rgb="FF1F3B8A"/>
        <sz val="10.0"/>
      </rPr>
      <t>)</t>
    </r>
  </si>
  <si>
    <t>해외봉사</t>
  </si>
  <si>
    <t>베트남</t>
  </si>
  <si>
    <t>대학연합 해외봉사단</t>
  </si>
  <si>
    <t>국제문화체험</t>
  </si>
  <si>
    <t>캐나다</t>
  </si>
  <si>
    <t>단기 문화교류 프로그램</t>
  </si>
  <si>
    <r>
      <rPr>
        <rFont val="Noto Sans CJK SC"/>
        <i/>
        <color rgb="FF7F7F7F"/>
        <sz val="8.0"/>
      </rPr>
      <t>출처</t>
    </r>
    <r>
      <rPr>
        <rFont val="맑은 고딕"/>
        <i/>
        <color rgb="FF7F7F7F"/>
        <sz val="8.0"/>
      </rPr>
      <t xml:space="preserve">: </t>
    </r>
    <r>
      <rPr>
        <rFont val="Noto Sans CJK SC"/>
        <i/>
        <color rgb="FF7F7F7F"/>
        <sz val="8.0"/>
      </rPr>
      <t>학사시스템</t>
    </r>
    <r>
      <rPr>
        <rFont val="맑은 고딕"/>
        <i/>
        <color rgb="FF7F7F7F"/>
        <sz val="8.0"/>
      </rPr>
      <t>(</t>
    </r>
    <r>
      <rPr>
        <rFont val="Noto Sans CJK SC"/>
        <i/>
        <color rgb="FF7F7F7F"/>
        <sz val="8.0"/>
      </rPr>
      <t>수강내역</t>
    </r>
    <r>
      <rPr>
        <rFont val="맑은 고딕"/>
        <i/>
        <color rgb="FF7F7F7F"/>
        <sz val="8.0"/>
      </rPr>
      <t xml:space="preserve">)   |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글로벌</t>
    </r>
    <r>
      <rPr>
        <rFont val="맑은 고딕"/>
        <i/>
        <color rgb="FF7F7F7F"/>
        <sz val="8.0"/>
      </rPr>
      <t>(</t>
    </r>
    <r>
      <rPr>
        <rFont val="Noto Sans CJK SC"/>
        <i/>
        <color rgb="FF7F7F7F"/>
        <sz val="8.0"/>
      </rPr>
      <t>외국어 능력</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마인드맵</t>
    </r>
    <r>
      <rPr>
        <rFont val="맑은 고딕"/>
        <i/>
        <color rgb="FF7F7F7F"/>
        <sz val="8.0"/>
      </rPr>
      <t>(</t>
    </r>
    <r>
      <rPr>
        <rFont val="Noto Sans CJK SC"/>
        <i/>
        <color rgb="FF7F7F7F"/>
        <sz val="8.0"/>
      </rPr>
      <t>기업 관심</t>
    </r>
    <r>
      <rPr>
        <rFont val="맑은 고딕"/>
        <i/>
        <color rgb="FF7F7F7F"/>
        <sz val="8.0"/>
      </rPr>
      <t>-</t>
    </r>
    <r>
      <rPr>
        <rFont val="Noto Sans CJK SC"/>
        <i/>
        <color rgb="FF7F7F7F"/>
        <sz val="8.0"/>
      </rPr>
      <t>글로벌</t>
    </r>
    <r>
      <rPr>
        <rFont val="맑은 고딕"/>
        <i/>
        <color rgb="FF7F7F7F"/>
        <sz val="8.0"/>
      </rPr>
      <t>)</t>
    </r>
    <r>
      <rPr>
        <rFont val="Noto Sans CJK SC"/>
        <i/>
        <color rgb="FF7F7F7F"/>
        <sz val="8.0"/>
      </rPr>
      <t>에 있으나 기존 데이터셋에 없음</t>
    </r>
  </si>
  <si>
    <r>
      <rPr>
        <rFont val="Noto Sans CJK SC"/>
        <color rgb="FF7F7F7F"/>
        <sz val="9.0"/>
      </rPr>
      <t xml:space="preserve">없으면 </t>
    </r>
    <r>
      <rPr>
        <rFont val="맑은 고딕"/>
        <color rgb="FF7F7F7F"/>
        <sz val="9.0"/>
      </rPr>
      <t>0</t>
    </r>
  </si>
  <si>
    <r>
      <rPr>
        <rFont val="Noto Sans CJK SC"/>
        <color rgb="FF7F7F7F"/>
        <sz val="9.0"/>
      </rPr>
      <t>예</t>
    </r>
    <r>
      <rPr>
        <rFont val="맑은 고딕"/>
        <color rgb="FF7F7F7F"/>
        <sz val="9.0"/>
      </rPr>
      <t xml:space="preserve">: </t>
    </r>
    <r>
      <rPr>
        <rFont val="Noto Sans CJK SC"/>
        <color rgb="FF7F7F7F"/>
        <sz val="9.0"/>
      </rPr>
      <t>영어</t>
    </r>
  </si>
  <si>
    <r>
      <rPr>
        <rFont val="Noto Sans CJK SC"/>
        <b/>
        <color rgb="FFFFFFFF"/>
        <sz val="11.0"/>
      </rPr>
      <t>■ 디지털</t>
    </r>
    <r>
      <rPr>
        <rFont val="맑은 고딕"/>
        <b/>
        <color rgb="FFFFFFFF"/>
        <sz val="11.0"/>
      </rPr>
      <t>·AI</t>
    </r>
  </si>
  <si>
    <r>
      <rPr>
        <rFont val="맑은 고딕"/>
        <b/>
        <color rgb="FF000000"/>
        <sz val="11.0"/>
      </rPr>
      <t>AI</t>
    </r>
    <r>
      <rPr>
        <rFont val="Noto Sans CJK SC"/>
        <b/>
        <color rgb="FF000000"/>
        <sz val="11.0"/>
      </rPr>
      <t>교육 이수내역</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</si>
  <si>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xml:space="preserve">· </t>
    </r>
    <r>
      <rPr>
        <rFont val="Noto Sans CJK SC"/>
        <i/>
        <color rgb="FF7F7F7F"/>
        <sz val="8.0"/>
      </rPr>
      <t xml:space="preserve">비교과 </t>
    </r>
    <r>
      <rPr>
        <rFont val="맑은 고딕"/>
        <i/>
        <color rgb="FF7F7F7F"/>
        <sz val="8.0"/>
      </rPr>
      <t>· 3</t>
    </r>
    <r>
      <rPr>
        <rFont val="Noto Sans CJK SC"/>
        <i/>
        <color rgb="FF7F7F7F"/>
        <sz val="8.0"/>
      </rPr>
      <t>품</t>
    </r>
    <r>
      <rPr>
        <rFont val="맑은 고딕"/>
        <i/>
        <color rgb="FF7F7F7F"/>
        <sz val="8.0"/>
      </rPr>
      <t xml:space="preserve">(AI)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자원</t>
    </r>
    <r>
      <rPr>
        <rFont val="맑은 고딕"/>
        <i/>
        <color rgb="FF7F7F7F"/>
        <sz val="8.0"/>
      </rPr>
      <t>·</t>
    </r>
    <r>
      <rPr>
        <rFont val="Noto Sans CJK SC"/>
        <i/>
        <color rgb="FF7F7F7F"/>
        <sz val="8.0"/>
      </rPr>
      <t xml:space="preserve">정보기술활용 </t>
    </r>
    <r>
      <rPr>
        <rFont val="맑은 고딕"/>
        <i/>
        <color rgb="FF7F7F7F"/>
        <sz val="8.0"/>
      </rPr>
      <t xml:space="preserve">/ </t>
    </r>
    <r>
      <rPr>
        <rFont val="Noto Sans CJK SC"/>
        <i/>
        <color rgb="FF7F7F7F"/>
        <sz val="8.0"/>
      </rPr>
      <t xml:space="preserve">디지털리터러시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이수 </t>
    </r>
    <r>
      <rPr>
        <rFont val="맑은 고딕"/>
        <i/>
        <color rgb="FF7F7F7F"/>
        <sz val="8.0"/>
      </rPr>
      <t>'</t>
    </r>
    <r>
      <rPr>
        <rFont val="Noto Sans CJK SC"/>
        <i/>
        <color rgb="FF7F7F7F"/>
        <sz val="8.0"/>
      </rPr>
      <t>시간</t>
    </r>
    <r>
      <rPr>
        <rFont val="맑은 고딕"/>
        <i/>
        <color rgb="FF7F7F7F"/>
        <sz val="8.0"/>
      </rPr>
      <t>'</t>
    </r>
    <r>
      <rPr>
        <rFont val="Noto Sans CJK SC"/>
        <i/>
        <color rgb="FF7F7F7F"/>
        <sz val="8.0"/>
      </rPr>
      <t>까지 받으면 정량화 쉬워짐</t>
    </r>
  </si>
  <si>
    <r>
      <rPr>
        <rFont val="Noto Sans CJK SC"/>
        <b/>
        <color rgb="FF000000"/>
        <sz val="9.0"/>
      </rPr>
      <t>이수 시간</t>
    </r>
    <r>
      <rPr>
        <rFont val="맑은 고딕"/>
        <b/>
        <color rgb="FF000000"/>
        <sz val="9.0"/>
      </rPr>
      <t>(h)</t>
    </r>
  </si>
  <si>
    <r>
      <rPr>
        <rFont val="맑은 고딕"/>
        <i/>
        <color rgb="FF7F7F7F"/>
        <sz val="8.0"/>
      </rPr>
      <t>[</t>
    </r>
    <r>
      <rPr>
        <rFont val="Noto Sans CJK SC"/>
        <i/>
        <color rgb="FF7F7F7F"/>
        <sz val="8.0"/>
      </rPr>
      <t xml:space="preserve">교과 </t>
    </r>
    <r>
      <rPr>
        <rFont val="맑은 고딕"/>
        <i/>
        <color rgb="FF7F7F7F"/>
        <sz val="8.0"/>
      </rPr>
      <t xml:space="preserve">/ </t>
    </r>
    <r>
      <rPr>
        <rFont val="Noto Sans CJK SC"/>
        <i/>
        <color rgb="FF7F7F7F"/>
        <sz val="8.0"/>
      </rPr>
      <t xml:space="preserve">비교과 </t>
    </r>
    <r>
      <rPr>
        <rFont val="맑은 고딕"/>
        <i/>
        <color rgb="FF7F7F7F"/>
        <sz val="8.0"/>
      </rPr>
      <t>/ 3</t>
    </r>
    <r>
      <rPr>
        <rFont val="Noto Sans CJK SC"/>
        <i/>
        <color rgb="FF7F7F7F"/>
        <sz val="8.0"/>
      </rPr>
      <t>품</t>
    </r>
    <r>
      <rPr>
        <rFont val="맑은 고딕"/>
        <i/>
        <color rgb="FF7F7F7F"/>
        <sz val="8.0"/>
      </rPr>
      <t>(AI)]</t>
    </r>
  </si>
  <si>
    <r>
      <rPr>
        <rFont val="맑은 고딕"/>
        <i/>
        <color rgb="FF7F7F7F"/>
        <sz val="8.0"/>
      </rPr>
      <t>[</t>
    </r>
    <r>
      <rPr>
        <rFont val="Noto Sans CJK SC"/>
        <i/>
        <color rgb="FF7F7F7F"/>
        <sz val="8.0"/>
      </rPr>
      <t xml:space="preserve">이수 </t>
    </r>
    <r>
      <rPr>
        <rFont val="맑은 고딕"/>
        <i/>
        <color rgb="FF7F7F7F"/>
        <sz val="8.0"/>
      </rPr>
      <t xml:space="preserve">/ </t>
    </r>
    <r>
      <rPr>
        <rFont val="Noto Sans CJK SC"/>
        <i/>
        <color rgb="FF7F7F7F"/>
        <sz val="8.0"/>
      </rPr>
      <t xml:space="preserve">수강중 </t>
    </r>
    <r>
      <rPr>
        <rFont val="맑은 고딕"/>
        <i/>
        <color rgb="FF7F7F7F"/>
        <sz val="8.0"/>
      </rPr>
      <t xml:space="preserve">/ </t>
    </r>
    <r>
      <rPr>
        <rFont val="Noto Sans CJK SC"/>
        <i/>
        <color rgb="FF7F7F7F"/>
        <sz val="8.0"/>
      </rPr>
      <t>미이수</t>
    </r>
    <r>
      <rPr>
        <rFont val="맑은 고딕"/>
        <i/>
        <color rgb="FF7F7F7F"/>
        <sz val="8.0"/>
      </rPr>
      <t>]</t>
    </r>
  </si>
  <si>
    <r>
      <rPr>
        <rFont val="맑은 고딕"/>
        <b/>
        <color rgb="FF000000"/>
        <sz val="11.0"/>
      </rPr>
      <t xml:space="preserve">AI </t>
    </r>
    <r>
      <rPr>
        <rFont val="Noto Sans CJK SC"/>
        <b/>
        <color rgb="FF000000"/>
        <sz val="11.0"/>
      </rPr>
      <t>프로젝트</t>
    </r>
    <r>
      <rPr>
        <rFont val="맑은 고딕"/>
        <b/>
        <color rgb="FF000000"/>
        <sz val="11.0"/>
      </rPr>
      <t>·</t>
    </r>
    <r>
      <rPr>
        <rFont val="Noto Sans CJK SC"/>
        <b/>
        <color rgb="FF000000"/>
        <sz val="11.0"/>
      </rPr>
      <t>대회</t>
    </r>
  </si>
  <si>
    <r>
      <rPr>
        <rFont val="Noto Sans CJK SC"/>
        <i/>
        <color rgb="FF7F7F7F"/>
        <sz val="8.0"/>
      </rPr>
      <t>출처</t>
    </r>
    <r>
      <rPr>
        <rFont val="맑은 고딕"/>
        <i/>
        <color rgb="FF7F7F7F"/>
        <sz val="8.0"/>
      </rPr>
      <t xml:space="preserve">: </t>
    </r>
    <r>
      <rPr>
        <rFont val="Noto Sans CJK SC"/>
        <i/>
        <color rgb="FF7F7F7F"/>
        <sz val="8.0"/>
      </rPr>
      <t xml:space="preserve">학사시스템 </t>
    </r>
    <r>
      <rPr>
        <rFont val="맑은 고딕"/>
        <i/>
        <color rgb="FF7F7F7F"/>
        <sz val="8.0"/>
      </rPr>
      <t>· 3</t>
    </r>
    <r>
      <rPr>
        <rFont val="Noto Sans CJK SC"/>
        <i/>
        <color rgb="FF7F7F7F"/>
        <sz val="8.0"/>
      </rPr>
      <t>품</t>
    </r>
    <r>
      <rPr>
        <rFont val="맑은 고딕"/>
        <i/>
        <color rgb="FF7F7F7F"/>
        <sz val="8.0"/>
      </rPr>
      <t xml:space="preserve">(AI)   |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디지털리터러시</t>
    </r>
    <r>
      <rPr>
        <rFont val="맑은 고딕"/>
        <i/>
        <color rgb="FF7F7F7F"/>
        <sz val="8.0"/>
      </rPr>
      <t xml:space="preserve">(AI </t>
    </r>
    <r>
      <rPr>
        <rFont val="Noto Sans CJK SC"/>
        <i/>
        <color rgb="FF7F7F7F"/>
        <sz val="8.0"/>
      </rPr>
      <t>활용</t>
    </r>
    <r>
      <rPr>
        <rFont val="맑은 고딕"/>
        <i/>
        <color rgb="FF7F7F7F"/>
        <sz val="8.0"/>
      </rPr>
      <t xml:space="preserve">) / </t>
    </r>
    <r>
      <rPr>
        <rFont val="Noto Sans CJK SC"/>
        <i/>
        <color rgb="FF7F7F7F"/>
        <sz val="8.0"/>
      </rPr>
      <t xml:space="preserve">문제해결력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공모전 항목과 중복 가산되지 않게 분리</t>
    </r>
  </si>
  <si>
    <r>
      <rPr>
        <rFont val="Noto Sans CJK SC"/>
        <b/>
        <color rgb="FF000000"/>
        <sz val="9.0"/>
      </rPr>
      <t>결과</t>
    </r>
    <r>
      <rPr>
        <rFont val="맑은 고딕"/>
        <b/>
        <color rgb="FF000000"/>
        <sz val="9.0"/>
      </rPr>
      <t>·</t>
    </r>
    <r>
      <rPr>
        <rFont val="Noto Sans CJK SC"/>
        <b/>
        <color rgb="FF000000"/>
        <sz val="9.0"/>
      </rPr>
      <t>산출물</t>
    </r>
  </si>
  <si>
    <r>
      <rPr>
        <rFont val="맑은 고딕"/>
        <i/>
        <color rgb="FF7F7F7F"/>
        <sz val="8.0"/>
      </rPr>
      <t>[AI</t>
    </r>
    <r>
      <rPr>
        <rFont val="Noto Sans CJK SC"/>
        <i/>
        <color rgb="FF7F7F7F"/>
        <sz val="8.0"/>
      </rPr>
      <t xml:space="preserve">캡스톤 </t>
    </r>
    <r>
      <rPr>
        <rFont val="맑은 고딕"/>
        <i/>
        <color rgb="FF7F7F7F"/>
        <sz val="8.0"/>
      </rPr>
      <t>/ AI</t>
    </r>
    <r>
      <rPr>
        <rFont val="Noto Sans CJK SC"/>
        <i/>
        <color rgb="FF7F7F7F"/>
        <sz val="8.0"/>
      </rPr>
      <t xml:space="preserve">대회 </t>
    </r>
    <r>
      <rPr>
        <rFont val="맑은 고딕"/>
        <i/>
        <color rgb="FF7F7F7F"/>
        <sz val="8.0"/>
      </rPr>
      <t>/ AI</t>
    </r>
    <r>
      <rPr>
        <rFont val="Noto Sans CJK SC"/>
        <i/>
        <color rgb="FF7F7F7F"/>
        <sz val="8.0"/>
      </rPr>
      <t xml:space="preserve">공모전 </t>
    </r>
    <r>
      <rPr>
        <rFont val="맑은 고딕"/>
        <i/>
        <color rgb="FF7F7F7F"/>
        <sz val="8.0"/>
      </rPr>
      <t>/ AI</t>
    </r>
    <r>
      <rPr>
        <rFont val="Noto Sans CJK SC"/>
        <i/>
        <color rgb="FF7F7F7F"/>
        <sz val="8.0"/>
      </rPr>
      <t>프로젝트</t>
    </r>
    <r>
      <rPr>
        <rFont val="맑은 고딕"/>
        <i/>
        <color rgb="FF7F7F7F"/>
        <sz val="8.0"/>
      </rPr>
      <t>]</t>
    </r>
  </si>
  <si>
    <r>
      <rPr>
        <rFont val="맑은 고딕"/>
        <i/>
        <color rgb="FF7F7F7F"/>
        <sz val="8.0"/>
      </rPr>
      <t>[</t>
    </r>
    <r>
      <rPr>
        <rFont val="Noto Sans CJK SC"/>
        <i/>
        <color rgb="FF7F7F7F"/>
        <sz val="8.0"/>
      </rPr>
      <t xml:space="preserve">교내 </t>
    </r>
    <r>
      <rPr>
        <rFont val="맑은 고딕"/>
        <i/>
        <color rgb="FF7F7F7F"/>
        <sz val="8.0"/>
      </rPr>
      <t xml:space="preserve">/ </t>
    </r>
    <r>
      <rPr>
        <rFont val="Noto Sans CJK SC"/>
        <i/>
        <color rgb="FF7F7F7F"/>
        <sz val="8.0"/>
      </rPr>
      <t xml:space="preserve">지역 </t>
    </r>
    <r>
      <rPr>
        <rFont val="맑은 고딕"/>
        <i/>
        <color rgb="FF7F7F7F"/>
        <sz val="8.0"/>
      </rPr>
      <t xml:space="preserve">/ </t>
    </r>
    <r>
      <rPr>
        <rFont val="Noto Sans CJK SC"/>
        <i/>
        <color rgb="FF7F7F7F"/>
        <sz val="8.0"/>
      </rPr>
      <t xml:space="preserve">전국 </t>
    </r>
    <r>
      <rPr>
        <rFont val="맑은 고딕"/>
        <i/>
        <color rgb="FF7F7F7F"/>
        <sz val="8.0"/>
      </rPr>
      <t xml:space="preserve">/ </t>
    </r>
    <r>
      <rPr>
        <rFont val="Noto Sans CJK SC"/>
        <i/>
        <color rgb="FF7F7F7F"/>
        <sz val="8.0"/>
      </rPr>
      <t>국제</t>
    </r>
    <r>
      <rPr>
        <rFont val="맑은 고딕"/>
        <i/>
        <color rgb="FF7F7F7F"/>
        <sz val="8.0"/>
      </rPr>
      <t>]</t>
    </r>
  </si>
  <si>
    <r>
      <rPr>
        <rFont val="Noto Sans CJK SC"/>
        <i/>
        <color rgb="FF7F7F7F"/>
        <sz val="8.0"/>
      </rPr>
      <t>출처</t>
    </r>
    <r>
      <rPr>
        <rFont val="맑은 고딕"/>
        <i/>
        <color rgb="FF7F7F7F"/>
        <sz val="8.0"/>
      </rPr>
      <t xml:space="preserve">: </t>
    </r>
    <r>
      <rPr>
        <rFont val="Noto Sans CJK SC"/>
        <i/>
        <color rgb="FF7F7F7F"/>
        <sz val="8.0"/>
      </rPr>
      <t xml:space="preserve">학생 등록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자원</t>
    </r>
    <r>
      <rPr>
        <rFont val="맑은 고딕"/>
        <i/>
        <color rgb="FF7F7F7F"/>
        <sz val="8.0"/>
      </rPr>
      <t>·</t>
    </r>
    <r>
      <rPr>
        <rFont val="Noto Sans CJK SC"/>
        <i/>
        <color rgb="FF7F7F7F"/>
        <sz val="8.0"/>
      </rPr>
      <t xml:space="preserve">정보기술활용 </t>
    </r>
    <r>
      <rPr>
        <rFont val="맑은 고딕"/>
        <i/>
        <color rgb="FF7F7F7F"/>
        <sz val="8.0"/>
      </rPr>
      <t xml:space="preserve">/ </t>
    </r>
    <r>
      <rPr>
        <rFont val="Noto Sans CJK SC"/>
        <i/>
        <color rgb="FF7F7F7F"/>
        <sz val="8.0"/>
      </rPr>
      <t xml:space="preserve">디지털리터러시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자기 서술 위주 → 정성 판단 </t>
    </r>
    <r>
      <rPr>
        <rFont val="맑은 고딕"/>
        <i/>
        <color rgb="FF7F7F7F"/>
        <sz val="8.0"/>
      </rPr>
      <t xml:space="preserve">+ </t>
    </r>
    <r>
      <rPr>
        <rFont val="Noto Sans CJK SC"/>
        <i/>
        <color rgb="FF7F7F7F"/>
        <sz val="8.0"/>
      </rPr>
      <t>낮은 가중치 권장</t>
    </r>
  </si>
  <si>
    <r>
      <rPr>
        <rFont val="맑은 고딕"/>
        <i/>
        <color rgb="FF7F7F7F"/>
        <sz val="8.0"/>
      </rPr>
      <t>[</t>
    </r>
    <r>
      <rPr>
        <rFont val="Noto Sans CJK SC"/>
        <i/>
        <color rgb="FF7F7F7F"/>
        <sz val="8.0"/>
      </rPr>
      <t xml:space="preserve">기초 </t>
    </r>
    <r>
      <rPr>
        <rFont val="맑은 고딕"/>
        <i/>
        <color rgb="FF7F7F7F"/>
        <sz val="8.0"/>
      </rPr>
      <t xml:space="preserve">/ </t>
    </r>
    <r>
      <rPr>
        <rFont val="Noto Sans CJK SC"/>
        <i/>
        <color rgb="FF7F7F7F"/>
        <sz val="8.0"/>
      </rPr>
      <t xml:space="preserve">활용 </t>
    </r>
    <r>
      <rPr>
        <rFont val="맑은 고딕"/>
        <i/>
        <color rgb="FF7F7F7F"/>
        <sz val="8.0"/>
      </rPr>
      <t xml:space="preserve">/ </t>
    </r>
    <r>
      <rPr>
        <rFont val="Noto Sans CJK SC"/>
        <i/>
        <color rgb="FF7F7F7F"/>
        <sz val="8.0"/>
      </rPr>
      <t>능숙</t>
    </r>
    <r>
      <rPr>
        <rFont val="맑은 고딕"/>
        <i/>
        <color rgb="FF7F7F7F"/>
        <sz val="8.0"/>
      </rPr>
      <t>]</t>
    </r>
  </si>
  <si>
    <t>구글 스프레드시트</t>
  </si>
  <si>
    <t>해외봉사단 예산 관리</t>
  </si>
  <si>
    <r>
      <rPr>
        <rFont val="Noto Sans CJK SC"/>
        <b/>
        <color rgb="FFFFFFFF"/>
        <sz val="11.0"/>
      </rPr>
      <t>■ 공동체</t>
    </r>
    <r>
      <rPr>
        <rFont val="맑은 고딕"/>
        <b/>
        <color rgb="FFFFFFFF"/>
        <sz val="11.0"/>
      </rPr>
      <t>·</t>
    </r>
    <r>
      <rPr>
        <rFont val="Noto Sans CJK SC"/>
        <b/>
        <color rgb="FFFFFFFF"/>
        <sz val="11.0"/>
      </rPr>
      <t>리더십</t>
    </r>
  </si>
  <si>
    <r>
      <rPr>
        <rFont val="Noto Sans CJK SC"/>
        <b/>
        <color rgb="FF000000"/>
        <sz val="11.0"/>
      </rPr>
      <t>동아리</t>
    </r>
    <r>
      <rPr>
        <rFont val="맑은 고딕"/>
        <b/>
        <color rgb="FF000000"/>
        <sz val="11.0"/>
      </rPr>
      <t>·</t>
    </r>
    <r>
      <rPr>
        <rFont val="Noto Sans CJK SC"/>
        <b/>
        <color rgb="FF000000"/>
        <sz val="11.0"/>
      </rPr>
      <t>학생회 활동</t>
    </r>
  </si>
  <si>
    <r>
      <rPr>
        <rFont val="Noto Sans CJK SC"/>
        <i/>
        <color rgb="FF7F7F7F"/>
        <sz val="8.0"/>
      </rPr>
      <t>출처</t>
    </r>
    <r>
      <rPr>
        <rFont val="맑은 고딕"/>
        <i/>
        <color rgb="FF7F7F7F"/>
        <sz val="8.0"/>
      </rPr>
      <t xml:space="preserve">: </t>
    </r>
    <r>
      <rPr>
        <rFont val="Noto Sans CJK SC"/>
        <i/>
        <color rgb="FF7F7F7F"/>
        <sz val="8.0"/>
      </rPr>
      <t xml:space="preserve">비교과 시스템 </t>
    </r>
    <r>
      <rPr>
        <rFont val="맑은 고딕"/>
        <i/>
        <color rgb="FF7F7F7F"/>
        <sz val="8.0"/>
      </rPr>
      <t xml:space="preserve">· </t>
    </r>
    <r>
      <rPr>
        <rFont val="Noto Sans CJK SC"/>
        <i/>
        <color rgb="FF7F7F7F"/>
        <sz val="8.0"/>
      </rPr>
      <t xml:space="preserve">학생 등록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대인관계 </t>
    </r>
    <r>
      <rPr>
        <rFont val="맑은 고딕"/>
        <i/>
        <color rgb="FF7F7F7F"/>
        <sz val="8.0"/>
      </rPr>
      <t xml:space="preserve">/ </t>
    </r>
    <r>
      <rPr>
        <rFont val="Noto Sans CJK SC"/>
        <i/>
        <color rgb="FF7F7F7F"/>
        <sz val="8.0"/>
      </rPr>
      <t xml:space="preserve">리더십 </t>
    </r>
    <r>
      <rPr>
        <rFont val="맑은 고딕"/>
        <i/>
        <color rgb="FF7F7F7F"/>
        <sz val="8.0"/>
      </rPr>
      <t xml:space="preserve">/ </t>
    </r>
    <r>
      <rPr>
        <rFont val="Noto Sans CJK SC"/>
        <i/>
        <color rgb="FF7F7F7F"/>
        <sz val="8.0"/>
      </rPr>
      <t xml:space="preserve">커뮤니케이션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직책</t>
    </r>
    <r>
      <rPr>
        <rFont val="맑은 고딕"/>
        <i/>
        <color rgb="FF7F7F7F"/>
        <sz val="8.0"/>
      </rPr>
      <t>(</t>
    </r>
    <r>
      <rPr>
        <rFont val="Noto Sans CJK SC"/>
        <i/>
        <color rgb="FF7F7F7F"/>
        <sz val="8.0"/>
      </rPr>
      <t>회장</t>
    </r>
    <r>
      <rPr>
        <rFont val="맑은 고딕"/>
        <i/>
        <color rgb="FF7F7F7F"/>
        <sz val="8.0"/>
      </rPr>
      <t>·</t>
    </r>
    <r>
      <rPr>
        <rFont val="Noto Sans CJK SC"/>
        <i/>
        <color rgb="FF7F7F7F"/>
        <sz val="8.0"/>
      </rPr>
      <t>부장</t>
    </r>
    <r>
      <rPr>
        <rFont val="맑은 고딕"/>
        <i/>
        <color rgb="FF7F7F7F"/>
        <sz val="8.0"/>
      </rPr>
      <t>·</t>
    </r>
    <r>
      <rPr>
        <rFont val="Noto Sans CJK SC"/>
        <i/>
        <color rgb="FF7F7F7F"/>
        <sz val="8.0"/>
      </rPr>
      <t>총무</t>
    </r>
    <r>
      <rPr>
        <rFont val="맑은 고딕"/>
        <i/>
        <color rgb="FF7F7F7F"/>
        <sz val="8.0"/>
      </rPr>
      <t>·</t>
    </r>
    <r>
      <rPr>
        <rFont val="Noto Sans CJK SC"/>
        <i/>
        <color rgb="FF7F7F7F"/>
        <sz val="8.0"/>
      </rPr>
      <t>부원</t>
    </r>
    <r>
      <rPr>
        <rFont val="맑은 고딕"/>
        <i/>
        <color rgb="FF7F7F7F"/>
        <sz val="8.0"/>
      </rPr>
      <t xml:space="preserve">) × </t>
    </r>
    <r>
      <rPr>
        <rFont val="Noto Sans CJK SC"/>
        <i/>
        <color rgb="FF7F7F7F"/>
        <sz val="8.0"/>
      </rPr>
      <t>기간으로 정량화</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</si>
  <si>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</si>
  <si>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Noto Sans CJK SC"/>
        <b/>
        <color rgb="FF000000"/>
        <sz val="9.0"/>
      </rPr>
      <t>단체 규모</t>
    </r>
    <r>
      <rPr>
        <rFont val="맑은 고딕"/>
        <b/>
        <color rgb="FF000000"/>
        <sz val="9.0"/>
      </rPr>
      <t>(</t>
    </r>
    <r>
      <rPr>
        <rFont val="Noto Sans CJK SC"/>
        <b/>
        <color rgb="FF000000"/>
        <sz val="9.0"/>
      </rPr>
      <t>명</t>
    </r>
    <r>
      <rPr>
        <rFont val="맑은 고딕"/>
        <b/>
        <color rgb="FF000000"/>
        <sz val="9.0"/>
      </rPr>
      <t>)</t>
    </r>
  </si>
  <si>
    <r>
      <rPr>
        <rFont val="Noto Sans CJK SC"/>
        <b/>
        <color rgb="FF000000"/>
        <sz val="9.0"/>
      </rPr>
      <t>주요 활동</t>
    </r>
    <r>
      <rPr>
        <rFont val="맑은 고딕"/>
        <b/>
        <color rgb="FF000000"/>
        <sz val="9.0"/>
      </rPr>
      <t>·</t>
    </r>
    <r>
      <rPr>
        <rFont val="Noto Sans CJK SC"/>
        <b/>
        <color rgb="FF000000"/>
        <sz val="9.0"/>
      </rPr>
      <t>성과</t>
    </r>
  </si>
  <si>
    <r>
      <rPr>
        <rFont val="맑은 고딕"/>
        <i/>
        <color rgb="FF7F7F7F"/>
        <sz val="8.0"/>
      </rPr>
      <t>[</t>
    </r>
    <r>
      <rPr>
        <rFont val="Noto Sans CJK SC"/>
        <i/>
        <color rgb="FF7F7F7F"/>
        <sz val="8.0"/>
      </rPr>
      <t xml:space="preserve">동아리 </t>
    </r>
    <r>
      <rPr>
        <rFont val="맑은 고딕"/>
        <i/>
        <color rgb="FF7F7F7F"/>
        <sz val="8.0"/>
      </rPr>
      <t xml:space="preserve">/ </t>
    </r>
    <r>
      <rPr>
        <rFont val="Noto Sans CJK SC"/>
        <i/>
        <color rgb="FF7F7F7F"/>
        <sz val="8.0"/>
      </rPr>
      <t xml:space="preserve">학생회 </t>
    </r>
    <r>
      <rPr>
        <rFont val="맑은 고딕"/>
        <i/>
        <color rgb="FF7F7F7F"/>
        <sz val="8.0"/>
      </rPr>
      <t xml:space="preserve">/ </t>
    </r>
    <r>
      <rPr>
        <rFont val="Noto Sans CJK SC"/>
        <i/>
        <color rgb="FF7F7F7F"/>
        <sz val="8.0"/>
      </rPr>
      <t xml:space="preserve">학회 </t>
    </r>
    <r>
      <rPr>
        <rFont val="맑은 고딕"/>
        <i/>
        <color rgb="FF7F7F7F"/>
        <sz val="8.0"/>
      </rPr>
      <t xml:space="preserve">/ </t>
    </r>
    <r>
      <rPr>
        <rFont val="Noto Sans CJK SC"/>
        <i/>
        <color rgb="FF7F7F7F"/>
        <sz val="8.0"/>
      </rPr>
      <t>기타단체</t>
    </r>
    <r>
      <rPr>
        <rFont val="맑은 고딕"/>
        <i/>
        <color rgb="FF7F7F7F"/>
        <sz val="8.0"/>
      </rPr>
      <t>]</t>
    </r>
  </si>
  <si>
    <r>
      <rPr>
        <rFont val="맑은 고딕"/>
        <i/>
        <color rgb="FF7F7F7F"/>
        <sz val="8.0"/>
      </rPr>
      <t>[</t>
    </r>
    <r>
      <rPr>
        <rFont val="Noto Sans CJK SC"/>
        <i/>
        <color rgb="FF7F7F7F"/>
        <sz val="8.0"/>
      </rPr>
      <t xml:space="preserve">회장 </t>
    </r>
    <r>
      <rPr>
        <rFont val="맑은 고딕"/>
        <i/>
        <color rgb="FF7F7F7F"/>
        <sz val="8.0"/>
      </rPr>
      <t xml:space="preserve">/ </t>
    </r>
    <r>
      <rPr>
        <rFont val="Noto Sans CJK SC"/>
        <i/>
        <color rgb="FF7F7F7F"/>
        <sz val="8.0"/>
      </rPr>
      <t xml:space="preserve">부회장 </t>
    </r>
    <r>
      <rPr>
        <rFont val="맑은 고딕"/>
        <i/>
        <color rgb="FF7F7F7F"/>
        <sz val="8.0"/>
      </rPr>
      <t xml:space="preserve">/ </t>
    </r>
    <r>
      <rPr>
        <rFont val="Noto Sans CJK SC"/>
        <i/>
        <color rgb="FF7F7F7F"/>
        <sz val="8.0"/>
      </rPr>
      <t xml:space="preserve">부장 </t>
    </r>
    <r>
      <rPr>
        <rFont val="맑은 고딕"/>
        <i/>
        <color rgb="FF7F7F7F"/>
        <sz val="8.0"/>
      </rPr>
      <t xml:space="preserve">/ </t>
    </r>
    <r>
      <rPr>
        <rFont val="Noto Sans CJK SC"/>
        <i/>
        <color rgb="FF7F7F7F"/>
        <sz val="8.0"/>
      </rPr>
      <t xml:space="preserve">총무 </t>
    </r>
    <r>
      <rPr>
        <rFont val="맑은 고딕"/>
        <i/>
        <color rgb="FF7F7F7F"/>
        <sz val="8.0"/>
      </rPr>
      <t xml:space="preserve">/ </t>
    </r>
    <r>
      <rPr>
        <rFont val="Noto Sans CJK SC"/>
        <i/>
        <color rgb="FF7F7F7F"/>
        <sz val="8.0"/>
      </rPr>
      <t>부원</t>
    </r>
    <r>
      <rPr>
        <rFont val="맑은 고딕"/>
        <i/>
        <color rgb="FF7F7F7F"/>
        <sz val="8.0"/>
      </rPr>
      <t>]</t>
    </r>
  </si>
  <si>
    <r>
      <rPr>
        <rFont val="맑은 고딕"/>
        <i/>
        <color rgb="FF7F7F7F"/>
        <sz val="8.0"/>
      </rPr>
      <t xml:space="preserve">YYYY-MM / </t>
    </r>
    <r>
      <rPr>
        <rFont val="Noto Sans CJK SC"/>
        <i/>
        <color rgb="FF7F7F7F"/>
        <sz val="8.0"/>
      </rPr>
      <t>진행중</t>
    </r>
  </si>
  <si>
    <t>기타단체</t>
  </si>
  <si>
    <r>
      <rPr>
        <rFont val="Noto Sans CJK SC"/>
        <color rgb="FF1F3B8A"/>
        <sz val="10.0"/>
      </rPr>
      <t>대학연합 해외봉사단</t>
    </r>
    <r>
      <rPr>
        <rFont val="맑은 고딕"/>
        <color rgb="FF1F3B8A"/>
        <sz val="10.0"/>
      </rPr>
      <t>(</t>
    </r>
    <r>
      <rPr>
        <rFont val="Noto Sans CJK SC"/>
        <color rgb="FF1F3B8A"/>
        <sz val="10.0"/>
      </rPr>
      <t>전적대</t>
    </r>
    <r>
      <rPr>
        <rFont val="맑은 고딕"/>
        <color rgb="FF1F3B8A"/>
        <sz val="10.0"/>
      </rPr>
      <t>)</t>
    </r>
  </si>
  <si>
    <r>
      <rPr>
        <rFont val="Noto Sans CJK SC"/>
        <color rgb="FF1F3B8A"/>
        <sz val="10.0"/>
      </rPr>
      <t>예산</t>
    </r>
    <r>
      <rPr>
        <rFont val="맑은 고딕"/>
        <color rgb="FF1F3B8A"/>
        <sz val="10.0"/>
      </rPr>
      <t>·</t>
    </r>
    <r>
      <rPr>
        <rFont val="Noto Sans CJK SC"/>
        <color rgb="FF1F3B8A"/>
        <sz val="10.0"/>
      </rPr>
      <t>물품 관리</t>
    </r>
  </si>
  <si>
    <r>
      <rPr>
        <rFont val="Noto Sans CJK SC"/>
        <i/>
        <color rgb="FF7F7F7F"/>
        <sz val="8.0"/>
      </rPr>
      <t>출처</t>
    </r>
    <r>
      <rPr>
        <rFont val="맑은 고딕"/>
        <i/>
        <color rgb="FF7F7F7F"/>
        <sz val="8.0"/>
      </rPr>
      <t>: 1365 · 3</t>
    </r>
    <r>
      <rPr>
        <rFont val="Noto Sans CJK SC"/>
        <i/>
        <color rgb="FF7F7F7F"/>
        <sz val="8.0"/>
      </rPr>
      <t>품</t>
    </r>
    <r>
      <rPr>
        <rFont val="맑은 고딕"/>
        <i/>
        <color rgb="FF7F7F7F"/>
        <sz val="8.0"/>
      </rPr>
      <t>(</t>
    </r>
    <r>
      <rPr>
        <rFont val="Noto Sans CJK SC"/>
        <i/>
        <color rgb="FF7F7F7F"/>
        <sz val="8.0"/>
      </rPr>
      <t>인성</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대인관계 </t>
    </r>
    <r>
      <rPr>
        <rFont val="맑은 고딕"/>
        <i/>
        <color rgb="FF7F7F7F"/>
        <sz val="8.0"/>
      </rPr>
      <t xml:space="preserve">/ </t>
    </r>
    <r>
      <rPr>
        <rFont val="Noto Sans CJK SC"/>
        <i/>
        <color rgb="FF7F7F7F"/>
        <sz val="8.0"/>
      </rPr>
      <t xml:space="preserve">리더십 </t>
    </r>
    <r>
      <rPr>
        <rFont val="맑은 고딕"/>
        <i/>
        <color rgb="FF7F7F7F"/>
        <sz val="8.0"/>
      </rPr>
      <t xml:space="preserve">/ </t>
    </r>
    <r>
      <rPr>
        <rFont val="Noto Sans CJK SC"/>
        <i/>
        <color rgb="FF7F7F7F"/>
        <sz val="8.0"/>
      </rPr>
      <t xml:space="preserve">문화적수용능력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학년 보정</t>
    </r>
    <r>
      <rPr>
        <rFont val="맑은 고딕"/>
        <i/>
        <color rgb="FF7F7F7F"/>
        <sz val="8.0"/>
      </rPr>
      <t>(</t>
    </r>
    <r>
      <rPr>
        <rFont val="Noto Sans CJK SC"/>
        <i/>
        <color rgb="FF7F7F7F"/>
        <sz val="8.0"/>
      </rPr>
      <t>학기당 시간</t>
    </r>
    <r>
      <rPr>
        <rFont val="맑은 고딕"/>
        <i/>
        <color rgb="FF7F7F7F"/>
        <sz val="8.0"/>
      </rPr>
      <t xml:space="preserve">) </t>
    </r>
    <r>
      <rPr>
        <rFont val="Noto Sans CJK SC"/>
        <i/>
        <color rgb="FF7F7F7F"/>
        <sz val="8.0"/>
      </rPr>
      <t>필요</t>
    </r>
  </si>
  <si>
    <r>
      <rPr>
        <rFont val="Noto Sans CJK SC"/>
        <b/>
        <color rgb="FF000000"/>
        <sz val="10.0"/>
      </rPr>
      <t>총 봉사시간</t>
    </r>
    <r>
      <rPr>
        <rFont val="맑은 고딕"/>
        <b/>
        <color rgb="FF000000"/>
        <sz val="10.0"/>
      </rPr>
      <t>(h)</t>
    </r>
  </si>
  <si>
    <r>
      <rPr>
        <rFont val="맑은 고딕"/>
        <color rgb="FF7F7F7F"/>
        <sz val="9.0"/>
      </rPr>
      <t xml:space="preserve">1365 </t>
    </r>
    <r>
      <rPr>
        <rFont val="Noto Sans CJK SC"/>
        <color rgb="FF7F7F7F"/>
        <sz val="9.0"/>
      </rPr>
      <t>등 인증 시간 합계</t>
    </r>
  </si>
  <si>
    <r>
      <rPr>
        <rFont val="Noto Sans CJK SC"/>
        <b/>
        <color rgb="FF000000"/>
        <sz val="9.0"/>
      </rPr>
      <t>기관</t>
    </r>
    <r>
      <rPr>
        <rFont val="맑은 고딕"/>
        <b/>
        <color rgb="FF000000"/>
        <sz val="9.0"/>
      </rPr>
      <t>·</t>
    </r>
    <r>
      <rPr>
        <rFont val="Noto Sans CJK SC"/>
        <b/>
        <color rgb="FF000000"/>
        <sz val="9.0"/>
      </rPr>
      <t>내용</t>
    </r>
  </si>
  <si>
    <r>
      <rPr>
        <rFont val="Noto Sans CJK SC"/>
        <b/>
        <color rgb="FF000000"/>
        <sz val="9.0"/>
      </rPr>
      <t>시간</t>
    </r>
    <r>
      <rPr>
        <rFont val="맑은 고딕"/>
        <b/>
        <color rgb="FF000000"/>
        <sz val="9.0"/>
      </rPr>
      <t>(h)</t>
    </r>
  </si>
  <si>
    <r>
      <rPr>
        <rFont val="맑은 고딕"/>
        <i/>
        <color rgb="FF7F7F7F"/>
        <sz val="8.0"/>
      </rPr>
      <t>[</t>
    </r>
    <r>
      <rPr>
        <rFont val="Noto Sans CJK SC"/>
        <i/>
        <color rgb="FF7F7F7F"/>
        <sz val="8.0"/>
      </rPr>
      <t xml:space="preserve">교내 </t>
    </r>
    <r>
      <rPr>
        <rFont val="맑은 고딕"/>
        <i/>
        <color rgb="FF7F7F7F"/>
        <sz val="8.0"/>
      </rPr>
      <t xml:space="preserve">/ </t>
    </r>
    <r>
      <rPr>
        <rFont val="Noto Sans CJK SC"/>
        <i/>
        <color rgb="FF7F7F7F"/>
        <sz val="8.0"/>
      </rPr>
      <t>교외</t>
    </r>
    <r>
      <rPr>
        <rFont val="맑은 고딕"/>
        <i/>
        <color rgb="FF7F7F7F"/>
        <sz val="8.0"/>
      </rPr>
      <t>(</t>
    </r>
    <r>
      <rPr>
        <rFont val="Noto Sans CJK SC"/>
        <i/>
        <color rgb="FF7F7F7F"/>
        <sz val="8.0"/>
      </rPr>
      <t>국내</t>
    </r>
    <r>
      <rPr>
        <rFont val="맑은 고딕"/>
        <i/>
        <color rgb="FF7F7F7F"/>
        <sz val="8.0"/>
      </rPr>
      <t xml:space="preserve">) / </t>
    </r>
    <r>
      <rPr>
        <rFont val="Noto Sans CJK SC"/>
        <i/>
        <color rgb="FF7F7F7F"/>
        <sz val="8.0"/>
      </rPr>
      <t xml:space="preserve">국외 </t>
    </r>
    <r>
      <rPr>
        <rFont val="맑은 고딕"/>
        <i/>
        <color rgb="FF7F7F7F"/>
        <sz val="8.0"/>
      </rPr>
      <t xml:space="preserve">/ </t>
    </r>
    <r>
      <rPr>
        <rFont val="Noto Sans CJK SC"/>
        <i/>
        <color rgb="FF7F7F7F"/>
        <sz val="8.0"/>
      </rPr>
      <t>유학생 봉사</t>
    </r>
    <r>
      <rPr>
        <rFont val="맑은 고딕"/>
        <i/>
        <color rgb="FF7F7F7F"/>
        <sz val="8.0"/>
      </rPr>
      <t>]</t>
    </r>
  </si>
  <si>
    <t>국외</t>
  </si>
  <si>
    <t>베트남 초등학교 교육봉사</t>
  </si>
  <si>
    <r>
      <rPr>
        <rFont val="Noto Sans CJK SC"/>
        <color rgb="FF1F3B8A"/>
        <sz val="10.0"/>
      </rPr>
      <t>교외</t>
    </r>
    <r>
      <rPr>
        <rFont val="맑은 고딕"/>
        <color rgb="FF1F3B8A"/>
        <sz val="10.0"/>
      </rPr>
      <t>(</t>
    </r>
    <r>
      <rPr>
        <rFont val="Noto Sans CJK SC"/>
        <color rgb="FF1F3B8A"/>
        <sz val="10.0"/>
      </rPr>
      <t>국내</t>
    </r>
    <r>
      <rPr>
        <rFont val="맑은 고딕"/>
        <color rgb="FF1F3B8A"/>
        <sz val="10.0"/>
      </rPr>
      <t>)</t>
    </r>
  </si>
  <si>
    <t>다문화가정 아동 언어 지도</t>
  </si>
  <si>
    <r>
      <rPr>
        <rFont val="Noto Sans CJK SC"/>
        <b/>
        <color rgb="FF000000"/>
        <sz val="11.0"/>
      </rPr>
      <t>멘토링</t>
    </r>
    <r>
      <rPr>
        <rFont val="맑은 고딕"/>
        <b/>
        <color rgb="FF000000"/>
        <sz val="11.0"/>
      </rPr>
      <t>·</t>
    </r>
    <r>
      <rPr>
        <rFont val="Noto Sans CJK SC"/>
        <b/>
        <color rgb="FF000000"/>
        <sz val="11.0"/>
      </rPr>
      <t>학습공동체</t>
    </r>
  </si>
  <si>
    <r>
      <rPr>
        <rFont val="Noto Sans CJK SC"/>
        <i/>
        <color rgb="FF7F7F7F"/>
        <sz val="8.0"/>
      </rPr>
      <t>출처</t>
    </r>
    <r>
      <rPr>
        <rFont val="맑은 고딕"/>
        <i/>
        <color rgb="FF7F7F7F"/>
        <sz val="8.0"/>
      </rPr>
      <t xml:space="preserve">: </t>
    </r>
    <r>
      <rPr>
        <rFont val="Noto Sans CJK SC"/>
        <i/>
        <color rgb="FF7F7F7F"/>
        <sz val="8.0"/>
      </rPr>
      <t xml:space="preserve">교수학습센터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소통능력 </t>
    </r>
    <r>
      <rPr>
        <rFont val="맑은 고딕"/>
        <i/>
        <color rgb="FF7F7F7F"/>
        <sz val="8.0"/>
      </rPr>
      <t xml:space="preserve">/ </t>
    </r>
    <r>
      <rPr>
        <rFont val="Noto Sans CJK SC"/>
        <i/>
        <color rgb="FF7F7F7F"/>
        <sz val="8.0"/>
      </rPr>
      <t xml:space="preserve">대인관계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교수 관심 </t>
    </r>
    <r>
      <rPr>
        <rFont val="맑은 고딕"/>
        <i/>
        <color rgb="FF7F7F7F"/>
        <sz val="8.0"/>
      </rPr>
      <t>'</t>
    </r>
    <r>
      <rPr>
        <rFont val="Noto Sans CJK SC"/>
        <i/>
        <color rgb="FF7F7F7F"/>
        <sz val="8.0"/>
      </rPr>
      <t>소통능력</t>
    </r>
    <r>
      <rPr>
        <rFont val="맑은 고딕"/>
        <i/>
        <color rgb="FF7F7F7F"/>
        <sz val="8.0"/>
      </rPr>
      <t>'</t>
    </r>
    <r>
      <rPr>
        <rFont val="Noto Sans CJK SC"/>
        <i/>
        <color rgb="FF7F7F7F"/>
        <sz val="8.0"/>
      </rPr>
      <t xml:space="preserve">의 </t>
    </r>
    <r>
      <rPr>
        <rFont val="맑은 고딕"/>
        <i/>
        <color rgb="FF7F7F7F"/>
        <sz val="8.0"/>
      </rPr>
      <t>'</t>
    </r>
    <r>
      <rPr>
        <rFont val="Noto Sans CJK SC"/>
        <i/>
        <color rgb="FF7F7F7F"/>
        <sz val="8.0"/>
      </rPr>
      <t>스터디 참여</t>
    </r>
    <r>
      <rPr>
        <rFont val="맑은 고딕"/>
        <i/>
        <color rgb="FF7F7F7F"/>
        <sz val="8.0"/>
      </rPr>
      <t xml:space="preserve">' </t>
    </r>
    <r>
      <rPr>
        <rFont val="Noto Sans CJK SC"/>
        <i/>
        <color rgb="FF7F7F7F"/>
        <sz val="8.0"/>
      </rPr>
      <t>근거 확보</t>
    </r>
  </si>
  <si>
    <r>
      <rPr>
        <rFont val="Noto Sans CJK SC"/>
        <b/>
        <color rgb="FF000000"/>
        <sz val="9.0"/>
      </rPr>
      <t>역할</t>
    </r>
    <r>
      <rPr>
        <rFont val="맑은 고딕"/>
        <b/>
        <color rgb="FF000000"/>
        <sz val="9.0"/>
      </rPr>
      <t>·</t>
    </r>
    <r>
      <rPr>
        <rFont val="Noto Sans CJK SC"/>
        <b/>
        <color rgb="FF000000"/>
        <sz val="9.0"/>
      </rPr>
      <t>내용</t>
    </r>
  </si>
  <si>
    <r>
      <rPr>
        <rFont val="Noto Sans CJK SC"/>
        <b/>
        <color rgb="FF000000"/>
        <sz val="9.0"/>
      </rPr>
      <t>기간</t>
    </r>
    <r>
      <rPr>
        <rFont val="맑은 고딕"/>
        <b/>
        <color rgb="FF000000"/>
        <sz val="9.0"/>
      </rPr>
      <t>(</t>
    </r>
    <r>
      <rPr>
        <rFont val="Noto Sans CJK SC"/>
        <b/>
        <color rgb="FF000000"/>
        <sz val="9.0"/>
      </rPr>
      <t>개월</t>
    </r>
    <r>
      <rPr>
        <rFont val="맑은 고딕"/>
        <b/>
        <color rgb="FF000000"/>
        <sz val="9.0"/>
      </rPr>
      <t>)</t>
    </r>
  </si>
  <si>
    <r>
      <rPr>
        <rFont val="맑은 고딕"/>
        <i/>
        <color rgb="FF7F7F7F"/>
        <sz val="8.0"/>
      </rPr>
      <t>[</t>
    </r>
    <r>
      <rPr>
        <rFont val="Noto Sans CJK SC"/>
        <i/>
        <color rgb="FF7F7F7F"/>
        <sz val="8.0"/>
      </rPr>
      <t xml:space="preserve">튜터 </t>
    </r>
    <r>
      <rPr>
        <rFont val="맑은 고딕"/>
        <i/>
        <color rgb="FF7F7F7F"/>
        <sz val="8.0"/>
      </rPr>
      <t xml:space="preserve">/ </t>
    </r>
    <r>
      <rPr>
        <rFont val="Noto Sans CJK SC"/>
        <i/>
        <color rgb="FF7F7F7F"/>
        <sz val="8.0"/>
      </rPr>
      <t xml:space="preserve">튜티 </t>
    </r>
    <r>
      <rPr>
        <rFont val="맑은 고딕"/>
        <i/>
        <color rgb="FF7F7F7F"/>
        <sz val="8.0"/>
      </rPr>
      <t xml:space="preserve">/ </t>
    </r>
    <r>
      <rPr>
        <rFont val="Noto Sans CJK SC"/>
        <i/>
        <color rgb="FF7F7F7F"/>
        <sz val="8.0"/>
      </rPr>
      <t xml:space="preserve">멘토 </t>
    </r>
    <r>
      <rPr>
        <rFont val="맑은 고딕"/>
        <i/>
        <color rgb="FF7F7F7F"/>
        <sz val="8.0"/>
      </rPr>
      <t xml:space="preserve">/ </t>
    </r>
    <r>
      <rPr>
        <rFont val="Noto Sans CJK SC"/>
        <i/>
        <color rgb="FF7F7F7F"/>
        <sz val="8.0"/>
      </rPr>
      <t xml:space="preserve">멘티 </t>
    </r>
    <r>
      <rPr>
        <rFont val="맑은 고딕"/>
        <i/>
        <color rgb="FF7F7F7F"/>
        <sz val="8.0"/>
      </rPr>
      <t xml:space="preserve">/ </t>
    </r>
    <r>
      <rPr>
        <rFont val="Noto Sans CJK SC"/>
        <i/>
        <color rgb="FF7F7F7F"/>
        <sz val="8.0"/>
      </rPr>
      <t xml:space="preserve">스터디 </t>
    </r>
    <r>
      <rPr>
        <rFont val="맑은 고딕"/>
        <i/>
        <color rgb="FF7F7F7F"/>
        <sz val="8.0"/>
      </rPr>
      <t xml:space="preserve">/ </t>
    </r>
    <r>
      <rPr>
        <rFont val="Noto Sans CJK SC"/>
        <i/>
        <color rgb="FF7F7F7F"/>
        <sz val="8.0"/>
      </rPr>
      <t>학습공동체</t>
    </r>
    <r>
      <rPr>
        <rFont val="맑은 고딕"/>
        <i/>
        <color rgb="FF7F7F7F"/>
        <sz val="8.0"/>
      </rPr>
      <t>]</t>
    </r>
  </si>
  <si>
    <t>멘토</t>
  </si>
  <si>
    <t>유학생 한국어 멘토링</t>
  </si>
  <si>
    <r>
      <rPr>
        <rFont val="Noto Sans CJK SC"/>
        <color rgb="FF1F3B8A"/>
        <sz val="10.0"/>
      </rPr>
      <t xml:space="preserve">일본인 유학생 </t>
    </r>
    <r>
      <rPr>
        <rFont val="맑은 고딕"/>
        <color rgb="FF1F3B8A"/>
        <sz val="10.0"/>
      </rPr>
      <t>1:1</t>
    </r>
  </si>
  <si>
    <r>
      <rPr>
        <rFont val="Noto Sans CJK SC"/>
        <i/>
        <color rgb="FF7F7F7F"/>
        <sz val="8.0"/>
      </rPr>
      <t>출처</t>
    </r>
    <r>
      <rPr>
        <rFont val="맑은 고딕"/>
        <i/>
        <color rgb="FF7F7F7F"/>
        <sz val="8.0"/>
      </rPr>
      <t xml:space="preserve">: LMS(i-Campus)   |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커뮤니케이션</t>
    </r>
    <r>
      <rPr>
        <rFont val="맑은 고딕"/>
        <i/>
        <color rgb="FF7F7F7F"/>
        <sz val="8.0"/>
      </rPr>
      <t>(</t>
    </r>
    <r>
      <rPr>
        <rFont val="Noto Sans CJK SC"/>
        <i/>
        <color rgb="FF7F7F7F"/>
        <sz val="8.0"/>
      </rPr>
      <t>협업</t>
    </r>
    <r>
      <rPr>
        <rFont val="맑은 고딕"/>
        <i/>
        <color rgb="FF7F7F7F"/>
        <sz val="8.0"/>
      </rPr>
      <t xml:space="preserve">) / </t>
    </r>
    <r>
      <rPr>
        <rFont val="Noto Sans CJK SC"/>
        <i/>
        <color rgb="FF7F7F7F"/>
        <sz val="8.0"/>
      </rPr>
      <t xml:space="preserve">대인관계 </t>
    </r>
    <r>
      <rPr>
        <rFont val="맑은 고딕"/>
        <i/>
        <color rgb="FF7F7F7F"/>
        <sz val="8.0"/>
      </rPr>
      <t xml:space="preserve">/ </t>
    </r>
    <r>
      <rPr>
        <rFont val="Noto Sans CJK SC"/>
        <i/>
        <color rgb="FF7F7F7F"/>
        <sz val="8.0"/>
      </rPr>
      <t xml:space="preserve">리더십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대인관계 역량을 </t>
    </r>
    <r>
      <rPr>
        <rFont val="맑은 고딕"/>
        <i/>
        <color rgb="FF7F7F7F"/>
        <sz val="8.0"/>
      </rPr>
      <t>'</t>
    </r>
    <r>
      <rPr>
        <rFont val="Noto Sans CJK SC"/>
        <i/>
        <color rgb="FF7F7F7F"/>
        <sz val="8.0"/>
      </rPr>
      <t>활동 여부</t>
    </r>
    <r>
      <rPr>
        <rFont val="맑은 고딕"/>
        <i/>
        <color rgb="FF7F7F7F"/>
        <sz val="8.0"/>
      </rPr>
      <t>'</t>
    </r>
    <r>
      <rPr>
        <rFont val="Noto Sans CJK SC"/>
        <i/>
        <color rgb="FF7F7F7F"/>
        <sz val="8.0"/>
      </rPr>
      <t xml:space="preserve">가 아닌 </t>
    </r>
    <r>
      <rPr>
        <rFont val="맑은 고딕"/>
        <i/>
        <color rgb="FF7F7F7F"/>
        <sz val="8.0"/>
      </rPr>
      <t>'</t>
    </r>
    <r>
      <rPr>
        <rFont val="Noto Sans CJK SC"/>
        <i/>
        <color rgb="FF7F7F7F"/>
        <sz val="8.0"/>
      </rPr>
      <t>평판</t>
    </r>
    <r>
      <rPr>
        <rFont val="맑은 고딕"/>
        <i/>
        <color rgb="FF7F7F7F"/>
        <sz val="8.0"/>
      </rPr>
      <t>'</t>
    </r>
    <r>
      <rPr>
        <rFont val="Noto Sans CJK SC"/>
        <i/>
        <color rgb="FF7F7F7F"/>
        <sz val="8.0"/>
      </rPr>
      <t>으로 측정할 수 있는 유일한 근거</t>
    </r>
  </si>
  <si>
    <r>
      <rPr>
        <rFont val="Noto Sans CJK SC"/>
        <b/>
        <color rgb="FF000000"/>
        <sz val="9.0"/>
      </rPr>
      <t>평가 인원</t>
    </r>
    <r>
      <rPr>
        <rFont val="맑은 고딕"/>
        <b/>
        <color rgb="FF000000"/>
        <sz val="9.0"/>
      </rPr>
      <t>(</t>
    </r>
    <r>
      <rPr>
        <rFont val="Noto Sans CJK SC"/>
        <b/>
        <color rgb="FF000000"/>
        <sz val="9.0"/>
      </rPr>
      <t>명</t>
    </r>
    <r>
      <rPr>
        <rFont val="맑은 고딕"/>
        <b/>
        <color rgb="FF000000"/>
        <sz val="9.0"/>
      </rPr>
      <t>)</t>
    </r>
  </si>
  <si>
    <r>
      <rPr>
        <rFont val="맑은 고딕"/>
        <i/>
        <color rgb="FF7F7F7F"/>
        <sz val="8.0"/>
      </rPr>
      <t>YYYY-1 / YYYY-2 / YYYY-</t>
    </r>
    <r>
      <rPr>
        <rFont val="Noto Sans CJK SC"/>
        <i/>
        <color rgb="FF7F7F7F"/>
        <sz val="8.0"/>
      </rPr>
      <t xml:space="preserve">여름 </t>
    </r>
    <r>
      <rPr>
        <rFont val="맑은 고딕"/>
        <i/>
        <color rgb="FF7F7F7F"/>
        <sz val="8.0"/>
      </rPr>
      <t>/ YYYY-</t>
    </r>
    <r>
      <rPr>
        <rFont val="Noto Sans CJK SC"/>
        <i/>
        <color rgb="FF7F7F7F"/>
        <sz val="8.0"/>
      </rPr>
      <t>겨울</t>
    </r>
  </si>
  <si>
    <r>
      <rPr>
        <rFont val="Noto Sans CJK SC"/>
        <b/>
        <color rgb="FFFFFFFF"/>
        <sz val="11.0"/>
      </rPr>
      <t>■ 자격</t>
    </r>
    <r>
      <rPr>
        <rFont val="맑은 고딕"/>
        <b/>
        <color rgb="FFFFFFFF"/>
        <sz val="11.0"/>
      </rPr>
      <t>·</t>
    </r>
    <r>
      <rPr>
        <rFont val="Noto Sans CJK SC"/>
        <b/>
        <color rgb="FFFFFFFF"/>
        <sz val="11.0"/>
      </rPr>
      <t>인증</t>
    </r>
  </si>
  <si>
    <r>
      <rPr>
        <rFont val="Noto Sans CJK SC"/>
        <b/>
        <color rgb="FF000000"/>
        <sz val="11.0"/>
      </rPr>
      <t>자격증</t>
    </r>
    <r>
      <rPr>
        <rFont val="맑은 고딕"/>
        <b/>
        <color rgb="FF000000"/>
        <sz val="11.0"/>
      </rPr>
      <t>(</t>
    </r>
    <r>
      <rPr>
        <rFont val="Noto Sans CJK SC"/>
        <b/>
        <color rgb="FF000000"/>
        <sz val="11.0"/>
      </rPr>
      <t>어학</t>
    </r>
    <r>
      <rPr>
        <rFont val="맑은 고딕"/>
        <b/>
        <color rgb="FF000000"/>
        <sz val="11.0"/>
      </rPr>
      <t>)</t>
    </r>
  </si>
  <si>
    <r>
      <rPr>
        <rFont val="Noto Sans CJK SC"/>
        <i/>
        <color rgb="FF7F7F7F"/>
        <sz val="8.0"/>
      </rPr>
      <t>출처</t>
    </r>
    <r>
      <rPr>
        <rFont val="맑은 고딕"/>
        <i/>
        <color rgb="FF7F7F7F"/>
        <sz val="8.0"/>
      </rPr>
      <t xml:space="preserve">: </t>
    </r>
    <r>
      <rPr>
        <rFont val="Noto Sans CJK SC"/>
        <i/>
        <color rgb="FF7F7F7F"/>
        <sz val="8.0"/>
      </rPr>
      <t>학생 등록</t>
    </r>
    <r>
      <rPr>
        <rFont val="맑은 고딕"/>
        <i/>
        <color rgb="FF7F7F7F"/>
        <sz val="8.0"/>
      </rPr>
      <t>(</t>
    </r>
    <r>
      <rPr>
        <rFont val="Noto Sans CJK SC"/>
        <i/>
        <color rgb="FF7F7F7F"/>
        <sz val="8.0"/>
      </rPr>
      <t>성적표</t>
    </r>
    <r>
      <rPr>
        <rFont val="맑은 고딕"/>
        <i/>
        <color rgb="FF7F7F7F"/>
        <sz val="8.0"/>
      </rPr>
      <t>) · 3</t>
    </r>
    <r>
      <rPr>
        <rFont val="Noto Sans CJK SC"/>
        <i/>
        <color rgb="FF7F7F7F"/>
        <sz val="8.0"/>
      </rPr>
      <t>품</t>
    </r>
    <r>
      <rPr>
        <rFont val="맑은 고딕"/>
        <i/>
        <color rgb="FF7F7F7F"/>
        <sz val="8.0"/>
      </rPr>
      <t>(</t>
    </r>
    <r>
      <rPr>
        <rFont val="Noto Sans CJK SC"/>
        <i/>
        <color rgb="FF7F7F7F"/>
        <sz val="8.0"/>
      </rPr>
      <t>글로벌</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글로벌</t>
    </r>
    <r>
      <rPr>
        <rFont val="맑은 고딕"/>
        <i/>
        <color rgb="FF7F7F7F"/>
        <sz val="8.0"/>
      </rPr>
      <t>(</t>
    </r>
    <r>
      <rPr>
        <rFont val="Noto Sans CJK SC"/>
        <i/>
        <color rgb="FF7F7F7F"/>
        <sz val="8.0"/>
      </rPr>
      <t>언어 사용능력</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시험별 공통 척도 환산표 필요</t>
    </r>
  </si>
  <si>
    <r>
      <rPr>
        <rFont val="Noto Sans CJK SC"/>
        <b/>
        <color rgb="FF000000"/>
        <sz val="9.0"/>
      </rPr>
      <t>등급</t>
    </r>
    <r>
      <rPr>
        <rFont val="맑은 고딕"/>
        <b/>
        <color rgb="FF000000"/>
        <sz val="9.0"/>
      </rPr>
      <t>·</t>
    </r>
    <r>
      <rPr>
        <rFont val="Noto Sans CJK SC"/>
        <b/>
        <color rgb="FF000000"/>
        <sz val="9.0"/>
      </rPr>
      <t>레벨</t>
    </r>
  </si>
  <si>
    <r>
      <rPr>
        <rFont val="맑은 고딕"/>
        <i/>
        <color rgb="FF7F7F7F"/>
        <sz val="8.0"/>
      </rPr>
      <t xml:space="preserve">[TOEIC / TOEFL iBT / TOEIC Speaking / OPIc / HSK / JPT / JLPT / DELF/DALF / DELE / </t>
    </r>
    <r>
      <rPr>
        <rFont val="Noto Sans CJK SC"/>
        <i/>
        <color rgb="FF7F7F7F"/>
        <sz val="8.0"/>
      </rPr>
      <t>기타</t>
    </r>
    <r>
      <rPr>
        <rFont val="맑은 고딕"/>
        <i/>
        <color rgb="FF7F7F7F"/>
        <sz val="8.0"/>
      </rPr>
      <t>]</t>
    </r>
  </si>
  <si>
    <r>
      <rPr>
        <rFont val="Noto Sans CJK SC"/>
        <i/>
        <color rgb="FF7F7F7F"/>
        <sz val="8.0"/>
      </rPr>
      <t>예</t>
    </r>
    <r>
      <rPr>
        <rFont val="맑은 고딕"/>
        <i/>
        <color rgb="FF7F7F7F"/>
        <sz val="8.0"/>
      </rPr>
      <t>: IH, N1, 5</t>
    </r>
    <r>
      <rPr>
        <rFont val="Noto Sans CJK SC"/>
        <i/>
        <color rgb="FF7F7F7F"/>
        <sz val="8.0"/>
      </rPr>
      <t>급</t>
    </r>
  </si>
  <si>
    <t>TOEFL iBT</t>
  </si>
  <si>
    <t>2025-08-10</t>
  </si>
  <si>
    <t>2027-08-10</t>
  </si>
  <si>
    <t>JLPT</t>
  </si>
  <si>
    <t>N1</t>
  </si>
  <si>
    <t>2024-12-01</t>
  </si>
  <si>
    <t>HSK</t>
  </si>
  <si>
    <r>
      <rPr>
        <rFont val="맑은 고딕"/>
        <color rgb="FF1F3B8A"/>
        <sz val="10.0"/>
      </rPr>
      <t>4</t>
    </r>
    <r>
      <rPr>
        <rFont val="Noto Sans CJK SC"/>
        <color rgb="FF1F3B8A"/>
        <sz val="10.0"/>
      </rPr>
      <t>급</t>
    </r>
  </si>
  <si>
    <t>2025-05-17</t>
  </si>
  <si>
    <t>2027-05-17</t>
  </si>
  <si>
    <r>
      <rPr>
        <rFont val="Noto Sans CJK SC"/>
        <b/>
        <color rgb="FF000000"/>
        <sz val="11.0"/>
      </rPr>
      <t>자격증</t>
    </r>
    <r>
      <rPr>
        <rFont val="맑은 고딕"/>
        <b/>
        <color rgb="FF000000"/>
        <sz val="11.0"/>
      </rPr>
      <t>(</t>
    </r>
    <r>
      <rPr>
        <rFont val="Noto Sans CJK SC"/>
        <b/>
        <color rgb="FF000000"/>
        <sz val="11.0"/>
      </rPr>
      <t>기타</t>
    </r>
    <r>
      <rPr>
        <rFont val="맑은 고딕"/>
        <b/>
        <color rgb="FF000000"/>
        <sz val="11.0"/>
      </rPr>
      <t>/</t>
    </r>
    <r>
      <rPr>
        <rFont val="Noto Sans CJK SC"/>
        <b/>
        <color rgb="FF000000"/>
        <sz val="11.0"/>
      </rPr>
      <t>전공</t>
    </r>
    <r>
      <rPr>
        <rFont val="맑은 고딕"/>
        <b/>
        <color rgb="FF000000"/>
        <sz val="11.0"/>
      </rPr>
      <t>)</t>
    </r>
  </si>
  <si>
    <r>
      <rPr>
        <rFont val="Noto Sans CJK SC"/>
        <i/>
        <color rgb="FF7F7F7F"/>
        <sz val="8.0"/>
      </rPr>
      <t>출처</t>
    </r>
    <r>
      <rPr>
        <rFont val="맑은 고딕"/>
        <i/>
        <color rgb="FF7F7F7F"/>
        <sz val="8.0"/>
      </rPr>
      <t xml:space="preserve">: </t>
    </r>
    <r>
      <rPr>
        <rFont val="Noto Sans CJK SC"/>
        <i/>
        <color rgb="FF7F7F7F"/>
        <sz val="8.0"/>
      </rPr>
      <t xml:space="preserve">학생 등록 </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 xml:space="preserve">-IT </t>
    </r>
    <r>
      <rPr>
        <rFont val="Noto Sans CJK SC"/>
        <i/>
        <color rgb="FF7F7F7F"/>
        <sz val="8.0"/>
      </rPr>
      <t>활용</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기존 </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자원</t>
    </r>
    <r>
      <rPr>
        <rFont val="맑은 고딕"/>
        <i/>
        <color rgb="FF7F7F7F"/>
        <sz val="8.0"/>
      </rPr>
      <t>·</t>
    </r>
    <r>
      <rPr>
        <rFont val="Noto Sans CJK SC"/>
        <i/>
        <color rgb="FF7F7F7F"/>
        <sz val="8.0"/>
      </rPr>
      <t xml:space="preserve">정보기술활용 </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 xml:space="preserve">디지털리터러시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자격증별 </t>
    </r>
    <r>
      <rPr>
        <rFont val="맑은 고딕"/>
        <i/>
        <color rgb="FF7F7F7F"/>
        <sz val="8.0"/>
      </rPr>
      <t>'</t>
    </r>
    <r>
      <rPr>
        <rFont val="Noto Sans CJK SC"/>
        <i/>
        <color rgb="FF7F7F7F"/>
        <sz val="8.0"/>
      </rPr>
      <t>등급</t>
    </r>
    <r>
      <rPr>
        <rFont val="맑은 고딕"/>
        <i/>
        <color rgb="FF7F7F7F"/>
        <sz val="8.0"/>
      </rPr>
      <t>·</t>
    </r>
    <r>
      <rPr>
        <rFont val="Noto Sans CJK SC"/>
        <i/>
        <color rgb="FF7F7F7F"/>
        <sz val="8.0"/>
      </rPr>
      <t>난이도</t>
    </r>
    <r>
      <rPr>
        <rFont val="맑은 고딕"/>
        <i/>
        <color rgb="FF7F7F7F"/>
        <sz val="8.0"/>
      </rPr>
      <t xml:space="preserve">' </t>
    </r>
    <r>
      <rPr>
        <rFont val="Noto Sans CJK SC"/>
        <i/>
        <color rgb="FF7F7F7F"/>
        <sz val="8.0"/>
      </rPr>
      <t>매핑표 필요</t>
    </r>
  </si>
  <si>
    <r>
      <rPr>
        <rFont val="Noto Sans CJK SC"/>
        <b/>
        <color rgb="FF000000"/>
        <sz val="9.0"/>
      </rPr>
      <t>등급</t>
    </r>
    <r>
      <rPr>
        <rFont val="맑은 고딕"/>
        <b/>
        <color rgb="FF000000"/>
        <sz val="9.0"/>
      </rPr>
      <t>·</t>
    </r>
    <r>
      <rPr>
        <rFont val="Noto Sans CJK SC"/>
        <b/>
        <color rgb="FF000000"/>
        <sz val="9.0"/>
      </rPr>
      <t>급수</t>
    </r>
  </si>
  <si>
    <r>
      <rPr>
        <rFont val="Noto Sans CJK SC"/>
        <b/>
        <color rgb="FF000000"/>
        <sz val="11.0"/>
      </rPr>
      <t>전문직</t>
    </r>
    <r>
      <rPr>
        <rFont val="맑은 고딕"/>
        <b/>
        <color rgb="FF000000"/>
        <sz val="11.0"/>
      </rPr>
      <t>·</t>
    </r>
    <r>
      <rPr>
        <rFont val="Noto Sans CJK SC"/>
        <b/>
        <color rgb="FF000000"/>
        <sz val="11.0"/>
      </rPr>
      <t>공직 시험</t>
    </r>
  </si>
  <si>
    <r>
      <rPr>
        <rFont val="Noto Sans CJK SC"/>
        <i/>
        <color rgb="FF7F7F7F"/>
        <sz val="8.0"/>
      </rPr>
      <t>출처</t>
    </r>
    <r>
      <rPr>
        <rFont val="맑은 고딕"/>
        <i/>
        <color rgb="FF7F7F7F"/>
        <sz val="8.0"/>
      </rPr>
      <t>: 3</t>
    </r>
    <r>
      <rPr>
        <rFont val="Noto Sans CJK SC"/>
        <i/>
        <color rgb="FF7F7F7F"/>
        <sz val="8.0"/>
      </rPr>
      <t>품</t>
    </r>
    <r>
      <rPr>
        <rFont val="맑은 고딕"/>
        <i/>
        <color rgb="FF7F7F7F"/>
        <sz val="8.0"/>
      </rPr>
      <t>(</t>
    </r>
    <r>
      <rPr>
        <rFont val="Noto Sans CJK SC"/>
        <i/>
        <color rgb="FF7F7F7F"/>
        <sz val="8.0"/>
      </rPr>
      <t>창의</t>
    </r>
    <r>
      <rPr>
        <rFont val="맑은 고딕"/>
        <i/>
        <color rgb="FF7F7F7F"/>
        <sz val="8.0"/>
      </rPr>
      <t>-</t>
    </r>
    <r>
      <rPr>
        <rFont val="Noto Sans CJK SC"/>
        <i/>
        <color rgb="FF7F7F7F"/>
        <sz val="8.0"/>
      </rPr>
      <t>진로개발</t>
    </r>
    <r>
      <rPr>
        <rFont val="맑은 고딕"/>
        <i/>
        <color rgb="FF7F7F7F"/>
        <sz val="8.0"/>
      </rPr>
      <t xml:space="preserve">) </t>
    </r>
    <r>
      <rPr>
        <rFont val="Noto Sans CJK SC"/>
        <i/>
        <color rgb="FF7F7F7F"/>
        <sz val="8.0"/>
      </rPr>
      <t xml:space="preserve">인증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직무전문성 </t>
    </r>
    <r>
      <rPr>
        <rFont val="맑은 고딕"/>
        <i/>
        <color rgb="FF7F7F7F"/>
        <sz val="8.0"/>
      </rPr>
      <t xml:space="preserve">/ </t>
    </r>
    <r>
      <rPr>
        <rFont val="Noto Sans CJK SC"/>
        <i/>
        <color rgb="FF7F7F7F"/>
        <sz val="8.0"/>
      </rPr>
      <t xml:space="preserve">도전정신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단계</t>
    </r>
    <r>
      <rPr>
        <rFont val="맑은 고딕"/>
        <i/>
        <color rgb="FF7F7F7F"/>
        <sz val="8.0"/>
      </rPr>
      <t>(1</t>
    </r>
    <r>
      <rPr>
        <rFont val="Noto Sans CJK SC"/>
        <i/>
        <color rgb="FF7F7F7F"/>
        <sz val="8.0"/>
      </rPr>
      <t>차</t>
    </r>
    <r>
      <rPr>
        <rFont val="맑은 고딕"/>
        <i/>
        <color rgb="FF7F7F7F"/>
        <sz val="8.0"/>
      </rPr>
      <t>·</t>
    </r>
    <r>
      <rPr>
        <rFont val="Noto Sans CJK SC"/>
        <i/>
        <color rgb="FF7F7F7F"/>
        <sz val="8.0"/>
      </rPr>
      <t>최종</t>
    </r>
    <r>
      <rPr>
        <rFont val="맑은 고딕"/>
        <i/>
        <color rgb="FF7F7F7F"/>
        <sz val="8.0"/>
      </rPr>
      <t xml:space="preserve">) </t>
    </r>
    <r>
      <rPr>
        <rFont val="Noto Sans CJK SC"/>
        <i/>
        <color rgb="FF7F7F7F"/>
        <sz val="8.0"/>
      </rPr>
      <t>구분</t>
    </r>
  </si>
  <si>
    <r>
      <rPr>
        <rFont val="맑은 고딕"/>
        <i/>
        <color rgb="FF7F7F7F"/>
        <sz val="8.0"/>
      </rPr>
      <t>[</t>
    </r>
    <r>
      <rPr>
        <rFont val="Noto Sans CJK SC"/>
        <i/>
        <color rgb="FF7F7F7F"/>
        <sz val="8.0"/>
      </rPr>
      <t xml:space="preserve">응시 </t>
    </r>
    <r>
      <rPr>
        <rFont val="맑은 고딕"/>
        <i/>
        <color rgb="FF7F7F7F"/>
        <sz val="8.0"/>
      </rPr>
      <t>/ 1</t>
    </r>
    <r>
      <rPr>
        <rFont val="Noto Sans CJK SC"/>
        <i/>
        <color rgb="FF7F7F7F"/>
        <sz val="8.0"/>
      </rPr>
      <t xml:space="preserve">차 합격 </t>
    </r>
    <r>
      <rPr>
        <rFont val="맑은 고딕"/>
        <i/>
        <color rgb="FF7F7F7F"/>
        <sz val="8.0"/>
      </rPr>
      <t>/ 2</t>
    </r>
    <r>
      <rPr>
        <rFont val="Noto Sans CJK SC"/>
        <i/>
        <color rgb="FF7F7F7F"/>
        <sz val="8.0"/>
      </rPr>
      <t xml:space="preserve">차 합격 </t>
    </r>
    <r>
      <rPr>
        <rFont val="맑은 고딕"/>
        <i/>
        <color rgb="FF7F7F7F"/>
        <sz val="8.0"/>
      </rPr>
      <t xml:space="preserve">/ </t>
    </r>
    <r>
      <rPr>
        <rFont val="Noto Sans CJK SC"/>
        <i/>
        <color rgb="FF7F7F7F"/>
        <sz val="8.0"/>
      </rPr>
      <t>최종 합격</t>
    </r>
    <r>
      <rPr>
        <rFont val="맑은 고딕"/>
        <i/>
        <color rgb="FF7F7F7F"/>
        <sz val="8.0"/>
      </rPr>
      <t>]</t>
    </r>
  </si>
  <si>
    <r>
      <rPr>
        <rFont val="맑은 고딕"/>
        <b/>
        <color rgb="FF000000"/>
        <sz val="11.0"/>
      </rPr>
      <t>3</t>
    </r>
    <r>
      <rPr>
        <rFont val="Noto Sans CJK SC"/>
        <b/>
        <color rgb="FF000000"/>
        <sz val="11.0"/>
      </rPr>
      <t>품인증 취득현황</t>
    </r>
  </si>
  <si>
    <r>
      <rPr>
        <rFont val="Noto Sans CJK SC"/>
        <i/>
        <color rgb="FF7F7F7F"/>
        <sz val="8.0"/>
      </rPr>
      <t>출처</t>
    </r>
    <r>
      <rPr>
        <rFont val="맑은 고딕"/>
        <i/>
        <color rgb="FF7F7F7F"/>
        <sz val="8.0"/>
      </rPr>
      <t>: 3</t>
    </r>
    <r>
      <rPr>
        <rFont val="Noto Sans CJK SC"/>
        <i/>
        <color rgb="FF7F7F7F"/>
        <sz val="8.0"/>
      </rPr>
      <t xml:space="preserve">품인증 시스템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t>
    </r>
    <r>
      <rPr>
        <rFont val="Noto Sans CJK SC"/>
        <i/>
        <color rgb="FF7F7F7F"/>
        <sz val="8.0"/>
      </rPr>
      <t>복수 역량 종합</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 xml:space="preserve">하위 활동과 중복 가산 위험 → 가산점이 아닌 </t>
    </r>
    <r>
      <rPr>
        <rFont val="맑은 고딕"/>
        <i/>
        <color rgb="FF7F7F7F"/>
        <sz val="8.0"/>
      </rPr>
      <t>'</t>
    </r>
    <r>
      <rPr>
        <rFont val="Noto Sans CJK SC"/>
        <i/>
        <color rgb="FF7F7F7F"/>
        <sz val="8.0"/>
      </rPr>
      <t>참고 지표</t>
    </r>
    <r>
      <rPr>
        <rFont val="맑은 고딕"/>
        <i/>
        <color rgb="FF7F7F7F"/>
        <sz val="8.0"/>
      </rPr>
      <t>'</t>
    </r>
    <r>
      <rPr>
        <rFont val="Noto Sans CJK SC"/>
        <i/>
        <color rgb="FF7F7F7F"/>
        <sz val="8.0"/>
      </rPr>
      <t>로 권장</t>
    </r>
  </si>
  <si>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</si>
  <si>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</si>
  <si>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</si>
  <si>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r>
      <rPr>
        <rFont val="맑은 고딕"/>
        <b/>
        <color rgb="FF000000"/>
        <sz val="10.0"/>
      </rPr>
      <t xml:space="preserve">AI </t>
    </r>
    <r>
      <rPr>
        <rFont val="Noto Sans CJK SC"/>
        <b/>
        <color rgb="FF000000"/>
        <sz val="10.0"/>
      </rPr>
      <t>영역</t>
    </r>
  </si>
  <si>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</si>
  <si>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r>
      <rPr>
        <rFont val="맑은 고딕"/>
        <color rgb="FF7F7F7F"/>
        <sz val="9.0"/>
      </rPr>
      <t>[</t>
    </r>
    <r>
      <rPr>
        <rFont val="Noto Sans CJK SC"/>
        <color rgb="FF7F7F7F"/>
        <sz val="9.0"/>
      </rPr>
      <t xml:space="preserve">취득 </t>
    </r>
    <r>
      <rPr>
        <rFont val="맑은 고딕"/>
        <color rgb="FF7F7F7F"/>
        <sz val="9.0"/>
      </rPr>
      <t xml:space="preserve">/ </t>
    </r>
    <r>
      <rPr>
        <rFont val="Noto Sans CJK SC"/>
        <color rgb="FF7F7F7F"/>
        <sz val="9.0"/>
      </rPr>
      <t xml:space="preserve">진행중 </t>
    </r>
    <r>
      <rPr>
        <rFont val="맑은 고딕"/>
        <color rgb="FF7F7F7F"/>
        <sz val="9.0"/>
      </rPr>
      <t xml:space="preserve">/ </t>
    </r>
    <r>
      <rPr>
        <rFont val="Noto Sans CJK SC"/>
        <color rgb="FF7F7F7F"/>
        <sz val="9.0"/>
      </rPr>
      <t>미취득</t>
    </r>
    <r>
      <rPr>
        <rFont val="맑은 고딕"/>
        <color rgb="FF7F7F7F"/>
        <sz val="9.0"/>
      </rPr>
      <t>]</t>
    </r>
  </si>
  <si>
    <r>
      <rPr>
        <rFont val="Noto Sans CJK SC"/>
        <i/>
        <color rgb="FF7F7F7F"/>
        <sz val="8.0"/>
      </rPr>
      <t>출처</t>
    </r>
    <r>
      <rPr>
        <rFont val="맑은 고딕"/>
        <i/>
        <color rgb="FF7F7F7F"/>
        <sz val="8.0"/>
      </rPr>
      <t xml:space="preserve">: </t>
    </r>
    <r>
      <rPr>
        <rFont val="Noto Sans CJK SC"/>
        <i/>
        <color rgb="FF7F7F7F"/>
        <sz val="8.0"/>
      </rPr>
      <t xml:space="preserve">비교과 시스템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자기관리 </t>
    </r>
    <r>
      <rPr>
        <rFont val="맑은 고딕"/>
        <i/>
        <color rgb="FF7F7F7F"/>
        <sz val="8.0"/>
      </rPr>
      <t xml:space="preserve">/ </t>
    </r>
    <r>
      <rPr>
        <rFont val="Noto Sans CJK SC"/>
        <i/>
        <color rgb="FF7F7F7F"/>
        <sz val="8.0"/>
      </rPr>
      <t>종합적사고력</t>
    </r>
    <r>
      <rPr>
        <rFont val="맑은 고딕"/>
        <i/>
        <color rgb="FF7F7F7F"/>
        <sz val="8.0"/>
      </rPr>
      <t>(</t>
    </r>
    <r>
      <rPr>
        <rFont val="Noto Sans CJK SC"/>
        <i/>
        <color rgb="FF7F7F7F"/>
        <sz val="8.0"/>
      </rPr>
      <t>융합적 사고</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학년 보정 필요</t>
    </r>
  </si>
  <si>
    <r>
      <rPr>
        <rFont val="Noto Sans CJK SC"/>
        <b/>
        <color rgb="FF000000"/>
        <sz val="10.0"/>
      </rPr>
      <t>누적 이수시간</t>
    </r>
    <r>
      <rPr>
        <rFont val="맑은 고딕"/>
        <b/>
        <color rgb="FF000000"/>
        <sz val="10.0"/>
      </rPr>
      <t>(h)</t>
    </r>
  </si>
  <si>
    <r>
      <rPr>
        <rFont val="Noto Sans CJK SC"/>
        <b/>
        <color rgb="FF000000"/>
        <sz val="10.0"/>
      </rPr>
      <t>기준 시간</t>
    </r>
    <r>
      <rPr>
        <rFont val="맑은 고딕"/>
        <b/>
        <color rgb="FF000000"/>
        <sz val="10.0"/>
      </rPr>
      <t>(h)</t>
    </r>
  </si>
  <si>
    <r>
      <rPr>
        <rFont val="Noto Sans CJK SC"/>
        <color rgb="FF7F7F7F"/>
        <sz val="9.0"/>
      </rPr>
      <t>예</t>
    </r>
    <r>
      <rPr>
        <rFont val="맑은 고딕"/>
        <color rgb="FF7F7F7F"/>
        <sz val="9.0"/>
      </rPr>
      <t>: 90</t>
    </r>
  </si>
  <si>
    <r>
      <rPr>
        <rFont val="Noto Sans CJK SC"/>
        <b/>
        <color rgb="FFFFFFFF"/>
        <sz val="11.0"/>
      </rPr>
      <t>■ 진단</t>
    </r>
    <r>
      <rPr>
        <rFont val="맑은 고딕"/>
        <b/>
        <color rgb="FFFFFFFF"/>
        <sz val="11.0"/>
      </rPr>
      <t>·</t>
    </r>
    <r>
      <rPr>
        <rFont val="Noto Sans CJK SC"/>
        <b/>
        <color rgb="FFFFFFFF"/>
        <sz val="11.0"/>
      </rPr>
      <t>자기평가</t>
    </r>
  </si>
  <si>
    <r>
      <rPr>
        <rFont val="맑은 고딕"/>
        <b/>
        <color rgb="FF000000"/>
        <sz val="11.0"/>
      </rPr>
      <t xml:space="preserve">SSCA </t>
    </r>
    <r>
      <rPr>
        <rFont val="Noto Sans CJK SC"/>
        <b/>
        <color rgb="FF000000"/>
        <sz val="11.0"/>
      </rPr>
      <t>학생성공역량진단</t>
    </r>
  </si>
  <si>
    <r>
      <rPr>
        <rFont val="Noto Sans CJK SC"/>
        <i/>
        <color rgb="FF7F7F7F"/>
        <sz val="8.0"/>
      </rPr>
      <t>출처</t>
    </r>
    <r>
      <rPr>
        <rFont val="맑은 고딕"/>
        <i/>
        <color rgb="FF7F7F7F"/>
        <sz val="8.0"/>
      </rPr>
      <t xml:space="preserve">: </t>
    </r>
    <r>
      <rPr>
        <rFont val="Noto Sans CJK SC"/>
        <i/>
        <color rgb="FF7F7F7F"/>
        <sz val="8.0"/>
      </rPr>
      <t xml:space="preserve">학생성공 게이트웨이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전 역량</t>
    </r>
    <r>
      <rPr>
        <rFont val="맑은 고딕"/>
        <i/>
        <color rgb="FF7F7F7F"/>
        <sz val="8.0"/>
      </rPr>
      <t>(</t>
    </r>
    <r>
      <rPr>
        <rFont val="Noto Sans CJK SC"/>
        <i/>
        <color rgb="FF7F7F7F"/>
        <sz val="8.0"/>
      </rPr>
      <t>자기인식</t>
    </r>
    <r>
      <rPr>
        <rFont val="맑은 고딕"/>
        <i/>
        <color rgb="FF7F7F7F"/>
        <sz val="8.0"/>
      </rPr>
      <t xml:space="preserve">)   |   </t>
    </r>
    <r>
      <rPr>
        <rFont val="Noto Sans CJK SC"/>
        <i/>
        <color rgb="FF7F7F7F"/>
        <sz val="8.0"/>
      </rPr>
      <t>비고</t>
    </r>
    <r>
      <rPr>
        <rFont val="맑은 고딕"/>
        <i/>
        <color rgb="FF7F7F7F"/>
        <sz val="8.0"/>
      </rPr>
      <t xml:space="preserve">: </t>
    </r>
    <r>
      <rPr>
        <rFont val="Noto Sans CJK SC"/>
        <i/>
        <color rgb="FF7F7F7F"/>
        <sz val="8.0"/>
      </rPr>
      <t xml:space="preserve">객관 점수에 합산하지 말고 </t>
    </r>
    <r>
      <rPr>
        <rFont val="맑은 고딕"/>
        <i/>
        <color rgb="FF7F7F7F"/>
        <sz val="8.0"/>
      </rPr>
      <t>'</t>
    </r>
    <r>
      <rPr>
        <rFont val="Noto Sans CJK SC"/>
        <i/>
        <color rgb="FF7F7F7F"/>
        <sz val="8.0"/>
      </rPr>
      <t xml:space="preserve">자기평가 </t>
    </r>
    <r>
      <rPr>
        <rFont val="맑은 고딕"/>
        <i/>
        <color rgb="FF7F7F7F"/>
        <sz val="8.0"/>
      </rPr>
      <t xml:space="preserve">vs </t>
    </r>
    <r>
      <rPr>
        <rFont val="Noto Sans CJK SC"/>
        <i/>
        <color rgb="FF7F7F7F"/>
        <sz val="8.0"/>
      </rPr>
      <t>데이터 평가</t>
    </r>
    <r>
      <rPr>
        <rFont val="맑은 고딕"/>
        <i/>
        <color rgb="FF7F7F7F"/>
        <sz val="8.0"/>
      </rPr>
      <t xml:space="preserve">' </t>
    </r>
    <r>
      <rPr>
        <rFont val="Noto Sans CJK SC"/>
        <i/>
        <color rgb="FF7F7F7F"/>
        <sz val="8.0"/>
      </rPr>
      <t>비교용으로 별도 표시</t>
    </r>
  </si>
  <si>
    <r>
      <rPr>
        <rFont val="Noto Sans CJK SC"/>
        <i/>
        <color rgb="FF7F7F7F"/>
        <sz val="8.0"/>
      </rPr>
      <t>출처</t>
    </r>
    <r>
      <rPr>
        <rFont val="맑은 고딕"/>
        <i/>
        <color rgb="FF7F7F7F"/>
        <sz val="8.0"/>
      </rPr>
      <t xml:space="preserve">: </t>
    </r>
    <r>
      <rPr>
        <rFont val="Noto Sans CJK SC"/>
        <i/>
        <color rgb="FF7F7F7F"/>
        <sz val="8.0"/>
      </rPr>
      <t xml:space="preserve">학생성공 게이트웨이   </t>
    </r>
    <r>
      <rPr>
        <rFont val="맑은 고딕"/>
        <i/>
        <color rgb="FF7F7F7F"/>
        <sz val="8.0"/>
      </rPr>
      <t xml:space="preserve">|   </t>
    </r>
    <r>
      <rPr>
        <rFont val="Noto Sans CJK SC"/>
        <i/>
        <color rgb="FF7F7F7F"/>
        <sz val="8.0"/>
      </rPr>
      <t>확보 구분</t>
    </r>
    <r>
      <rPr>
        <rFont val="맑은 고딕"/>
        <i/>
        <color rgb="FF7F7F7F"/>
        <sz val="8.0"/>
      </rPr>
      <t xml:space="preserve">: SKKU </t>
    </r>
    <r>
      <rPr>
        <rFont val="Noto Sans CJK SC"/>
        <i/>
        <color rgb="FF7F7F7F"/>
        <sz val="8.0"/>
      </rPr>
      <t xml:space="preserve">확보가능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자기관리 </t>
    </r>
    <r>
      <rPr>
        <rFont val="맑은 고딕"/>
        <i/>
        <color rgb="FF7F7F7F"/>
        <sz val="8.0"/>
      </rPr>
      <t xml:space="preserve">/ </t>
    </r>
    <r>
      <rPr>
        <rFont val="Noto Sans CJK SC"/>
        <i/>
        <color rgb="FF7F7F7F"/>
        <sz val="8.0"/>
      </rPr>
      <t xml:space="preserve">학업성취   </t>
    </r>
    <r>
      <rPr>
        <rFont val="맑은 고딕"/>
        <i/>
        <color rgb="FF7F7F7F"/>
        <sz val="8.0"/>
      </rPr>
      <t xml:space="preserve">|   </t>
    </r>
    <r>
      <rPr>
        <rFont val="Noto Sans CJK SC"/>
        <i/>
        <color rgb="FF7F7F7F"/>
        <sz val="8.0"/>
      </rPr>
      <t>비고</t>
    </r>
    <r>
      <rPr>
        <rFont val="맑은 고딕"/>
        <i/>
        <color rgb="FF7F7F7F"/>
        <sz val="8.0"/>
      </rPr>
      <t>: SSCA</t>
    </r>
    <r>
      <rPr>
        <rFont val="Noto Sans CJK SC"/>
        <i/>
        <color rgb="FF7F7F7F"/>
        <sz val="8.0"/>
      </rPr>
      <t>와 동일하게 비교용 권장</t>
    </r>
  </si>
  <si>
    <r>
      <rPr>
        <rFont val="Noto Sans CJK SC"/>
        <b/>
        <color rgb="FF000000"/>
        <sz val="11.0"/>
      </rPr>
      <t>활동 성찰 기록</t>
    </r>
    <r>
      <rPr>
        <rFont val="맑은 고딕"/>
        <b/>
        <color rgb="FF000000"/>
        <sz val="11.0"/>
      </rPr>
      <t>(STAR)</t>
    </r>
  </si>
  <si>
    <r>
      <rPr>
        <rFont val="Noto Sans CJK SC"/>
        <i/>
        <color rgb="FF7F7F7F"/>
        <sz val="8.0"/>
      </rPr>
      <t>출처</t>
    </r>
    <r>
      <rPr>
        <rFont val="맑은 고딕"/>
        <i/>
        <color rgb="FF7F7F7F"/>
        <sz val="8.0"/>
      </rPr>
      <t xml:space="preserve">: </t>
    </r>
    <r>
      <rPr>
        <rFont val="Noto Sans CJK SC"/>
        <i/>
        <color rgb="FF7F7F7F"/>
        <sz val="8.0"/>
      </rPr>
      <t>학생 입력</t>
    </r>
    <r>
      <rPr>
        <rFont val="맑은 고딕"/>
        <i/>
        <color rgb="FF7F7F7F"/>
        <sz val="8.0"/>
      </rPr>
      <t>(</t>
    </r>
    <r>
      <rPr>
        <rFont val="Noto Sans CJK SC"/>
        <i/>
        <color rgb="FF7F7F7F"/>
        <sz val="8.0"/>
      </rPr>
      <t>포트폴리오</t>
    </r>
    <r>
      <rPr>
        <rFont val="맑은 고딕"/>
        <i/>
        <color rgb="FF7F7F7F"/>
        <sz val="8.0"/>
      </rPr>
      <t xml:space="preserve">)   |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리더십 </t>
    </r>
    <r>
      <rPr>
        <rFont val="맑은 고딕"/>
        <i/>
        <color rgb="FF7F7F7F"/>
        <sz val="8.0"/>
      </rPr>
      <t xml:space="preserve">/ </t>
    </r>
    <r>
      <rPr>
        <rFont val="Noto Sans CJK SC"/>
        <i/>
        <color rgb="FF7F7F7F"/>
        <sz val="8.0"/>
      </rPr>
      <t xml:space="preserve">문제해결력 </t>
    </r>
    <r>
      <rPr>
        <rFont val="맑은 고딕"/>
        <i/>
        <color rgb="FF7F7F7F"/>
        <sz val="8.0"/>
      </rPr>
      <t xml:space="preserve">/ </t>
    </r>
    <r>
      <rPr>
        <rFont val="Noto Sans CJK SC"/>
        <i/>
        <color rgb="FF7F7F7F"/>
        <sz val="8.0"/>
      </rPr>
      <t xml:space="preserve">커뮤니케이션 등 정성 역량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 xml:space="preserve">정성 루브릭이 판단할 </t>
    </r>
    <r>
      <rPr>
        <rFont val="맑은 고딕"/>
        <i/>
        <color rgb="FF7F7F7F"/>
        <sz val="8.0"/>
      </rPr>
      <t>'</t>
    </r>
    <r>
      <rPr>
        <rFont val="Noto Sans CJK SC"/>
        <i/>
        <color rgb="FF7F7F7F"/>
        <sz val="8.0"/>
      </rPr>
      <t>질적 근거</t>
    </r>
    <r>
      <rPr>
        <rFont val="맑은 고딕"/>
        <i/>
        <color rgb="FF7F7F7F"/>
        <sz val="8.0"/>
      </rPr>
      <t>'</t>
    </r>
    <r>
      <rPr>
        <rFont val="Noto Sans CJK SC"/>
        <i/>
        <color rgb="FF7F7F7F"/>
        <sz val="8.0"/>
      </rPr>
      <t>가 현재 거의 없음 → 가장 우선 확보 권장</t>
    </r>
  </si>
  <si>
    <r>
      <rPr>
        <rFont val="Noto Sans CJK SC"/>
        <b/>
        <color rgb="FF000000"/>
        <sz val="9.0"/>
      </rPr>
      <t xml:space="preserve">관련 카테고리 </t>
    </r>
    <r>
      <rPr>
        <rFont val="맑은 고딕"/>
        <b/>
        <color rgb="FF000000"/>
        <sz val="9.0"/>
      </rPr>
      <t>No</t>
    </r>
  </si>
  <si>
    <r>
      <rPr>
        <rFont val="Noto Sans CJK SC"/>
        <b/>
        <color rgb="FF000000"/>
        <sz val="9.0"/>
      </rPr>
      <t>상황</t>
    </r>
    <r>
      <rPr>
        <rFont val="맑은 고딕"/>
        <b/>
        <color rgb="FF000000"/>
        <sz val="9.0"/>
      </rPr>
      <t>(S)</t>
    </r>
  </si>
  <si>
    <r>
      <rPr>
        <rFont val="Noto Sans CJK SC"/>
        <b/>
        <color rgb="FF000000"/>
        <sz val="9.0"/>
      </rPr>
      <t>과제</t>
    </r>
    <r>
      <rPr>
        <rFont val="맑은 고딕"/>
        <b/>
        <color rgb="FF000000"/>
        <sz val="9.0"/>
      </rPr>
      <t>·</t>
    </r>
    <r>
      <rPr>
        <rFont val="Noto Sans CJK SC"/>
        <b/>
        <color rgb="FF000000"/>
        <sz val="9.0"/>
      </rPr>
      <t>역할</t>
    </r>
    <r>
      <rPr>
        <rFont val="맑은 고딕"/>
        <b/>
        <color rgb="FF000000"/>
        <sz val="9.0"/>
      </rPr>
      <t>(T)</t>
    </r>
  </si>
  <si>
    <r>
      <rPr>
        <rFont val="Noto Sans CJK SC"/>
        <b/>
        <color rgb="FF000000"/>
        <sz val="9.0"/>
      </rPr>
      <t>행동</t>
    </r>
    <r>
      <rPr>
        <rFont val="맑은 고딕"/>
        <b/>
        <color rgb="FF000000"/>
        <sz val="9.0"/>
      </rPr>
      <t>(A)</t>
    </r>
  </si>
  <si>
    <r>
      <rPr>
        <rFont val="Noto Sans CJK SC"/>
        <b/>
        <color rgb="FF000000"/>
        <sz val="9.0"/>
      </rPr>
      <t>결과</t>
    </r>
    <r>
      <rPr>
        <rFont val="맑은 고딕"/>
        <b/>
        <color rgb="FF000000"/>
        <sz val="9.0"/>
      </rPr>
      <t>(R)</t>
    </r>
  </si>
  <si>
    <r>
      <rPr>
        <rFont val="Noto Sans CJK SC"/>
        <i/>
        <color rgb="FF7F7F7F"/>
        <sz val="8.0"/>
      </rPr>
      <t xml:space="preserve">숫자 </t>
    </r>
    <r>
      <rPr>
        <rFont val="맑은 고딕"/>
        <i/>
        <color rgb="FF7F7F7F"/>
        <sz val="8.0"/>
      </rPr>
      <t>1~34</t>
    </r>
  </si>
  <si>
    <r>
      <rPr>
        <rFont val="Noto Sans CJK SC"/>
        <i/>
        <color rgb="FF7F7F7F"/>
        <sz val="8.0"/>
      </rPr>
      <t>서술</t>
    </r>
    <r>
      <rPr>
        <rFont val="맑은 고딕"/>
        <i/>
        <color rgb="FF7F7F7F"/>
        <sz val="8.0"/>
      </rPr>
      <t>(</t>
    </r>
    <r>
      <rPr>
        <rFont val="Noto Sans CJK SC"/>
        <i/>
        <color rgb="FF7F7F7F"/>
        <sz val="8.0"/>
      </rPr>
      <t>수치 포함 권장</t>
    </r>
    <r>
      <rPr>
        <rFont val="맑은 고딕"/>
        <i/>
        <color rgb="FF7F7F7F"/>
        <sz val="8.0"/>
      </rPr>
      <t>)</t>
    </r>
  </si>
  <si>
    <t>베트남 해외봉사</t>
  </si>
  <si>
    <t>현지 초등학교 수업 중 통역 담당자가 빠져 수업 진행이 어려워짐</t>
  </si>
  <si>
    <t>총무 겸 보조 교사로 수업 진행 지원</t>
  </si>
  <si>
    <r>
      <rPr>
        <rFont val="Noto Sans CJK SC"/>
        <color rgb="FF1F3B8A"/>
        <sz val="10.0"/>
      </rPr>
      <t>영어</t>
    </r>
    <r>
      <rPr>
        <rFont val="맑은 고딕"/>
        <color rgb="FF1F3B8A"/>
        <sz val="10.0"/>
      </rPr>
      <t>·</t>
    </r>
    <r>
      <rPr>
        <rFont val="Noto Sans CJK SC"/>
        <color rgb="FF1F3B8A"/>
        <sz val="10.0"/>
      </rPr>
      <t>간단한 현지어 카드 제작</t>
    </r>
    <r>
      <rPr>
        <rFont val="맑은 고딕"/>
        <color rgb="FF1F3B8A"/>
        <sz val="10.0"/>
      </rPr>
      <t xml:space="preserve">, </t>
    </r>
    <r>
      <rPr>
        <rFont val="Noto Sans CJK SC"/>
        <color rgb="FF1F3B8A"/>
        <sz val="10.0"/>
      </rPr>
      <t>그림 위주 교안으로 즉석 수정</t>
    </r>
  </si>
  <si>
    <r>
      <rPr>
        <rFont val="Noto Sans CJK SC"/>
        <color rgb="FF1F3B8A"/>
        <sz val="10.0"/>
      </rPr>
      <t xml:space="preserve">남은 </t>
    </r>
    <r>
      <rPr>
        <rFont val="맑은 고딕"/>
        <color rgb="FF1F3B8A"/>
        <sz val="10.0"/>
      </rPr>
      <t>4</t>
    </r>
    <r>
      <rPr>
        <rFont val="Noto Sans CJK SC"/>
        <color rgb="FF1F3B8A"/>
        <sz val="10.0"/>
      </rPr>
      <t>일 수업 모두 진행</t>
    </r>
    <r>
      <rPr>
        <rFont val="맑은 고딕"/>
        <color rgb="FF1F3B8A"/>
        <sz val="10.0"/>
      </rPr>
      <t xml:space="preserve">, </t>
    </r>
    <r>
      <rPr>
        <rFont val="Noto Sans CJK SC"/>
        <color rgb="FF1F3B8A"/>
        <sz val="10.0"/>
      </rPr>
      <t xml:space="preserve">현지 교사 만족도 설문 </t>
    </r>
    <r>
      <rPr>
        <rFont val="맑은 고딕"/>
        <color rgb="FF1F3B8A"/>
        <sz val="10.0"/>
      </rPr>
      <t>4.7/5</t>
    </r>
  </si>
  <si>
    <r>
      <rPr>
        <rFont val="Noto Sans CJK SC"/>
        <i/>
        <color rgb="FF7F7F7F"/>
        <sz val="8.0"/>
      </rPr>
      <t>출처</t>
    </r>
    <r>
      <rPr>
        <rFont val="맑은 고딕"/>
        <i/>
        <color rgb="FF7F7F7F"/>
        <sz val="8.0"/>
      </rPr>
      <t xml:space="preserve">: </t>
    </r>
    <r>
      <rPr>
        <rFont val="Noto Sans CJK SC"/>
        <i/>
        <color rgb="FF7F7F7F"/>
        <sz val="8.0"/>
      </rPr>
      <t xml:space="preserve">교수 입력   </t>
    </r>
    <r>
      <rPr>
        <rFont val="맑은 고딕"/>
        <i/>
        <color rgb="FF7F7F7F"/>
        <sz val="8.0"/>
      </rPr>
      <t xml:space="preserve">|   </t>
    </r>
    <r>
      <rPr>
        <rFont val="Noto Sans CJK SC"/>
        <i/>
        <color rgb="FF7F7F7F"/>
        <sz val="8.0"/>
      </rPr>
      <t>확보 구분</t>
    </r>
    <r>
      <rPr>
        <rFont val="맑은 고딕"/>
        <i/>
        <color rgb="FF7F7F7F"/>
        <sz val="8.0"/>
      </rPr>
      <t xml:space="preserve">: </t>
    </r>
    <r>
      <rPr>
        <rFont val="Noto Sans CJK SC"/>
        <i/>
        <color rgb="FF7F7F7F"/>
        <sz val="8.0"/>
      </rPr>
      <t xml:space="preserve">추가 제안   </t>
    </r>
    <r>
      <rPr>
        <rFont val="맑은 고딕"/>
        <i/>
        <color rgb="FF7F7F7F"/>
        <sz val="8.0"/>
      </rPr>
      <t xml:space="preserve">|   </t>
    </r>
    <r>
      <rPr>
        <rFont val="Noto Sans CJK SC"/>
        <i/>
        <color rgb="FF7F7F7F"/>
        <sz val="8.0"/>
      </rPr>
      <t>관련 역량</t>
    </r>
    <r>
      <rPr>
        <rFont val="맑은 고딕"/>
        <i/>
        <color rgb="FF7F7F7F"/>
        <sz val="8.0"/>
      </rPr>
      <t xml:space="preserve">: </t>
    </r>
    <r>
      <rPr>
        <rFont val="Noto Sans CJK SC"/>
        <i/>
        <color rgb="FF7F7F7F"/>
        <sz val="8.0"/>
      </rPr>
      <t xml:space="preserve">교수 관심 역량 전반   </t>
    </r>
    <r>
      <rPr>
        <rFont val="맑은 고딕"/>
        <i/>
        <color rgb="FF7F7F7F"/>
        <sz val="8.0"/>
      </rPr>
      <t xml:space="preserve">|   </t>
    </r>
    <r>
      <rPr>
        <rFont val="Noto Sans CJK SC"/>
        <i/>
        <color rgb="FF7F7F7F"/>
        <sz val="8.0"/>
      </rPr>
      <t>비고</t>
    </r>
    <r>
      <rPr>
        <rFont val="맑은 고딕"/>
        <i/>
        <color rgb="FF7F7F7F"/>
        <sz val="8.0"/>
      </rPr>
      <t xml:space="preserve">: </t>
    </r>
    <r>
      <rPr>
        <rFont val="Noto Sans CJK SC"/>
        <i/>
        <color rgb="FF7F7F7F"/>
        <sz val="8.0"/>
      </rPr>
      <t>입력 부담 고려해 선택 항목으로</t>
    </r>
  </si>
  <si>
    <r>
      <rPr>
        <rFont val="Noto Sans CJK SC"/>
        <b/>
        <color rgb="FF000000"/>
        <sz val="9.0"/>
      </rPr>
      <t>작성자</t>
    </r>
    <r>
      <rPr>
        <rFont val="맑은 고딕"/>
        <b/>
        <color rgb="FF000000"/>
        <sz val="9.0"/>
      </rPr>
      <t>(</t>
    </r>
    <r>
      <rPr>
        <rFont val="Noto Sans CJK SC"/>
        <b/>
        <color rgb="FF000000"/>
        <sz val="9.0"/>
      </rPr>
      <t>직위</t>
    </r>
    <r>
      <rPr>
        <rFont val="맑은 고딕"/>
        <b/>
        <color rgb="FF000000"/>
        <sz val="9.0"/>
      </rPr>
      <t>)</t>
    </r>
  </si>
  <si>
    <r>
      <rPr>
        <rFont val="맑은 고딕"/>
        <i/>
        <color rgb="FF7F7F7F"/>
        <sz val="8.0"/>
      </rPr>
      <t>[</t>
    </r>
    <r>
      <rPr>
        <rFont val="Noto Sans CJK SC"/>
        <i/>
        <color rgb="FF7F7F7F"/>
        <sz val="8.0"/>
      </rPr>
      <t xml:space="preserve">지도교수 </t>
    </r>
    <r>
      <rPr>
        <rFont val="맑은 고딕"/>
        <i/>
        <color rgb="FF7F7F7F"/>
        <sz val="8.0"/>
      </rPr>
      <t xml:space="preserve">/ </t>
    </r>
    <r>
      <rPr>
        <rFont val="Noto Sans CJK SC"/>
        <i/>
        <color rgb="FF7F7F7F"/>
        <sz val="8.0"/>
      </rPr>
      <t>수업 담당교수</t>
    </r>
    <r>
      <rPr>
        <rFont val="맑은 고딕"/>
        <i/>
        <color rgb="FF7F7F7F"/>
        <sz val="8.0"/>
      </rPr>
      <t>]</t>
    </r>
  </si>
</sst>
</file>

<file path=xl/styles.xml><?xml version="1.0" encoding="utf-8"?>
<styleSheet xmlns="http://schemas.openxmlformats.org/spreadsheetml/2006/main" xmlns:x14ac="http://schemas.microsoft.com/office/spreadsheetml/2009/9/ac" xmlns:mc="http://schemas.openxmlformats.org/markup-compatibility/2006">
  <fonts count="44">
    <font>
      <sz val="11.0"/>
      <color theme="1"/>
      <name val="Calibri"/>
      <scheme val="minor"/>
    </font>
    <font>
      <b/>
      <sz val="16.0"/>
      <color rgb="FF000000"/>
      <name val="Arial"/>
    </font>
    <font>
      <b/>
      <sz val="14.0"/>
      <color rgb="FF2F4A8A"/>
      <name val="Noto Sans"/>
    </font>
    <font>
      <sz val="9.0"/>
      <color rgb="FF595959"/>
      <name val="Noto Sans"/>
    </font>
    <font>
      <sz val="9.0"/>
      <color rgb="FF595959"/>
      <name val="Malgun Gothic"/>
    </font>
    <font>
      <sz val="11.0"/>
      <color rgb="FFFFFFFF"/>
      <name val="Malgun Gothic"/>
    </font>
    <font>
      <b/>
      <sz val="10.0"/>
      <color rgb="FFFFFFFF"/>
      <name val="Noto Sans"/>
    </font>
    <font/>
    <font>
      <b/>
      <sz val="10.0"/>
      <color rgb="FF000000"/>
      <name val="Malgun Gothic"/>
    </font>
    <font>
      <sz val="10.0"/>
      <color rgb="FF000000"/>
      <name val="Noto Sans"/>
    </font>
    <font>
      <b/>
      <sz val="10.0"/>
      <color rgb="FFFFFFFF"/>
      <name val="Malgun Gothic"/>
    </font>
    <font>
      <b/>
      <sz val="9.0"/>
      <color rgb="FF000000"/>
      <name val="Noto Sans"/>
    </font>
    <font>
      <sz val="10.0"/>
      <color rgb="FF000000"/>
      <name val="Malgun Gothic"/>
    </font>
    <font>
      <sz val="11.0"/>
      <color theme="1"/>
      <name val="Calibri"/>
    </font>
    <font>
      <b/>
      <sz val="10.0"/>
      <color rgb="FF000000"/>
      <name val="Noto Sans"/>
    </font>
    <font>
      <sz val="9.0"/>
      <color rgb="FF000000"/>
      <name val="Noto Sans"/>
    </font>
    <font>
      <sz val="9.0"/>
      <color rgb="FF000000"/>
      <name val="Malgun Gothic"/>
    </font>
    <font>
      <b/>
      <sz val="11.0"/>
      <color rgb="FFFFFFFF"/>
      <name val="Malgun Gothic"/>
    </font>
    <font>
      <b/>
      <sz val="11.0"/>
      <color rgb="FFFFFFFF"/>
      <name val="Noto Sans"/>
    </font>
    <font>
      <sz val="10.0"/>
      <color rgb="FF1F3B8A"/>
      <name val="Malgun Gothic"/>
    </font>
    <font>
      <sz val="9.0"/>
      <color rgb="FF7F7F7F"/>
      <name val="Noto Sans"/>
    </font>
    <font>
      <b/>
      <sz val="9.0"/>
      <color rgb="FF000000"/>
      <name val="Malgun Gothic"/>
    </font>
    <font>
      <sz val="9.0"/>
      <color rgb="FF7F7F7F"/>
      <name val="Malgun Gothic"/>
    </font>
    <font>
      <b/>
      <sz val="11.0"/>
      <color rgb="FF2F4A8A"/>
      <name val="Malgun Gothic"/>
    </font>
    <font>
      <b/>
      <sz val="11.0"/>
      <color rgb="FF000000"/>
      <name val="Noto Sans"/>
    </font>
    <font>
      <b/>
      <sz val="10.0"/>
      <color rgb="FF1F3B8A"/>
      <name val="Malgun Gothic"/>
    </font>
    <font>
      <b/>
      <sz val="9.0"/>
      <color rgb="FFC00000"/>
      <name val="Noto Sans"/>
    </font>
    <font>
      <i/>
      <sz val="8.0"/>
      <color rgb="FF7F7F7F"/>
      <name val="Noto Sans"/>
    </font>
    <font>
      <i/>
      <sz val="8.0"/>
      <color rgb="FF7F7F7F"/>
      <name val="Malgun Gothic"/>
    </font>
    <font>
      <b/>
      <sz val="14.0"/>
      <color rgb="FF2F4A8A"/>
      <name val="Malgun Gothic"/>
    </font>
    <font>
      <sz val="10.0"/>
      <color rgb="FF1F3B8A"/>
      <name val="Noto Sans"/>
    </font>
    <font>
      <b/>
      <sz val="10.0"/>
      <color rgb="FF1F3B8A"/>
      <name val="Noto Sans"/>
    </font>
    <font>
      <b/>
      <sz val="11.0"/>
      <color rgb="FF000000"/>
      <name val="Malgun Gothic"/>
    </font>
    <font>
      <b/>
      <sz val="14.0"/>
      <color theme="1"/>
      <name val="Noto Sans"/>
    </font>
    <font>
      <sz val="10.0"/>
      <color rgb="FF595959"/>
      <name val="Noto Sans"/>
    </font>
    <font>
      <b/>
      <sz val="11.0"/>
      <color rgb="FFFFFFFF"/>
      <name val="Arial"/>
    </font>
    <font>
      <sz val="10.0"/>
      <color theme="1"/>
      <name val="Arial"/>
    </font>
    <font>
      <b/>
      <sz val="11.0"/>
      <color theme="1"/>
      <name val="Noto Sans"/>
    </font>
    <font>
      <b/>
      <sz val="10.0"/>
      <color theme="1"/>
      <name val="Noto Sans"/>
    </font>
    <font>
      <sz val="10.0"/>
      <color theme="1"/>
      <name val="Noto Sans"/>
    </font>
    <font>
      <sz val="9.0"/>
      <color rgb="FFFFFFFF"/>
      <name val="Noto Sans"/>
    </font>
    <font>
      <b/>
      <sz val="10.0"/>
      <color theme="1"/>
      <name val="Arial"/>
    </font>
    <font>
      <b/>
      <sz val="12.0"/>
      <color theme="1"/>
      <name val="Noto Sans"/>
    </font>
    <font>
      <i/>
      <sz val="9.0"/>
      <color rgb="FF7F7F7F"/>
      <name val="Noto Sans"/>
    </font>
  </fonts>
  <fills count="11">
    <fill>
      <patternFill patternType="none"/>
    </fill>
    <fill>
      <patternFill patternType="lightGray"/>
    </fill>
    <fill>
      <patternFill patternType="solid">
        <fgColor rgb="FF999999"/>
        <bgColor rgb="FF999999"/>
      </patternFill>
    </fill>
    <fill>
      <patternFill patternType="solid">
        <fgColor rgb="FF2F4A8A"/>
        <bgColor rgb="FF2F4A8A"/>
      </patternFill>
    </fill>
    <fill>
      <patternFill patternType="solid">
        <fgColor rgb="FFF2F2F2"/>
        <bgColor rgb="FFF2F2F2"/>
      </patternFill>
    </fill>
    <fill>
      <patternFill patternType="solid">
        <fgColor rgb="FFD9E1F2"/>
        <bgColor rgb="FFD9E1F2"/>
      </patternFill>
    </fill>
    <fill>
      <patternFill patternType="solid">
        <fgColor rgb="FFFFFFFF"/>
        <bgColor rgb="FFFFFFFF"/>
      </patternFill>
    </fill>
    <fill>
      <patternFill patternType="solid">
        <fgColor rgb="FFEEF7E8"/>
        <bgColor rgb="FFEEF7E8"/>
      </patternFill>
    </fill>
    <fill>
      <patternFill patternType="solid">
        <fgColor rgb="FFDDEBF7"/>
        <bgColor rgb="FFDDEBF7"/>
      </patternFill>
    </fill>
    <fill>
      <patternFill patternType="solid">
        <fgColor rgb="FFFFF2CC"/>
        <bgColor rgb="FFFFF2CC"/>
      </patternFill>
    </fill>
    <fill>
      <patternFill patternType="solid">
        <fgColor rgb="FFE7EAF3"/>
        <bgColor rgb="FFE7EAF3"/>
      </patternFill>
    </fill>
  </fills>
  <borders count="16">
    <border/>
    <border>
      <left/>
      <top/>
      <bottom/>
    </border>
    <border>
      <right/>
      <top/>
      <bottom/>
    </border>
    <border>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medium">
        <color rgb="FF2F4A8A"/>
      </top>
      <bottom style="thin">
        <color rgb="FFBFBFBF"/>
      </bottom>
    </border>
    <border>
      <left style="thin">
        <color rgb="FFBFBFBF"/>
      </left>
      <top style="medium">
        <color rgb="FF2F4A8A"/>
      </top>
      <bottom style="thin">
        <color rgb="FFBFBFBF"/>
      </bottom>
    </border>
    <border>
      <top style="medium">
        <color rgb="FF2F4A8A"/>
      </top>
      <bottom style="thin">
        <color rgb="FFBFBFBF"/>
      </bottom>
    </border>
    <border>
      <right style="thin">
        <color rgb="FFBFBFBF"/>
      </right>
      <top style="medium">
        <color rgb="FF2F4A8A"/>
      </top>
      <bottom style="thin">
        <color rgb="FFBFBFBF"/>
      </bottom>
    </border>
    <border>
      <right/>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bottom style="thin">
        <color rgb="FFBFBFBF"/>
      </bottom>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horizontal="left" shrinkToFit="0" vertical="center" wrapText="1"/>
    </xf>
    <xf borderId="1" fillId="2" fontId="5" numFmtId="0" xfId="0" applyAlignment="1" applyBorder="1" applyFill="1" applyFont="1">
      <alignment horizontal="left" shrinkToFit="0" vertical="center" wrapText="1"/>
    </xf>
    <xf borderId="1" fillId="3" fontId="6" numFmtId="0" xfId="0" applyAlignment="1" applyBorder="1" applyFill="1" applyFont="1">
      <alignment horizontal="center" shrinkToFit="0" vertical="center" wrapText="1"/>
    </xf>
    <xf borderId="2" fillId="0" fontId="7" numFmtId="0" xfId="0" applyBorder="1" applyFont="1"/>
    <xf borderId="3" fillId="0" fontId="7" numFmtId="0" xfId="0" applyBorder="1" applyFont="1"/>
    <xf borderId="4" fillId="4" fontId="8" numFmtId="0" xfId="0" applyAlignment="1" applyBorder="1" applyFill="1" applyFont="1">
      <alignment horizontal="left" shrinkToFit="0" vertical="center" wrapText="1"/>
    </xf>
    <xf borderId="4" fillId="0" fontId="9" numFmtId="0" xfId="0" applyAlignment="1" applyBorder="1" applyFont="1">
      <alignment horizontal="left" shrinkToFit="0" vertical="center" wrapText="1"/>
    </xf>
    <xf borderId="4" fillId="3" fontId="6" numFmtId="0" xfId="0" applyAlignment="1" applyBorder="1" applyFill="1" applyFont="1">
      <alignment horizontal="center" shrinkToFit="0" vertical="center" wrapText="1"/>
    </xf>
    <xf borderId="4" fillId="3" fontId="10" numFmtId="0" xfId="0" applyAlignment="1" applyBorder="1" applyFill="1" applyFont="1">
      <alignment horizontal="center" shrinkToFit="0" vertical="center" wrapText="1"/>
    </xf>
    <xf borderId="4" fillId="5" fontId="11" numFmtId="0" xfId="0" applyAlignment="1" applyBorder="1" applyFill="1" applyFont="1">
      <alignment horizontal="center" shrinkToFit="0" vertical="center" wrapText="1"/>
    </xf>
    <xf borderId="4" fillId="0" fontId="12" numFmtId="0" xfId="0" applyAlignment="1" applyBorder="1" applyFont="1">
      <alignment horizontal="left" shrinkToFit="0" vertical="center" wrapText="1"/>
    </xf>
    <xf borderId="4" fillId="5" fontId="13" numFmtId="0" xfId="0" applyAlignment="1" applyBorder="1" applyFill="1" applyFont="1">
      <alignment shrinkToFit="0" vertical="bottom" wrapText="0"/>
    </xf>
    <xf borderId="0" fillId="0" fontId="3" numFmtId="0" xfId="0" applyAlignment="1" applyFont="1">
      <alignment horizontal="left" shrinkToFit="0" vertical="center" wrapText="1"/>
    </xf>
    <xf borderId="4" fillId="4" fontId="14" numFmtId="0" xfId="0" applyAlignment="1" applyBorder="1" applyFill="1" applyFont="1">
      <alignment horizontal="left" shrinkToFit="0" vertical="center" wrapText="1"/>
    </xf>
    <xf borderId="4" fillId="6" fontId="15" numFmtId="0" xfId="0" applyAlignment="1" applyBorder="1" applyFill="1" applyFont="1">
      <alignment horizontal="left" shrinkToFit="0" vertical="center" wrapText="1"/>
    </xf>
    <xf borderId="4" fillId="0" fontId="11" numFmtId="0" xfId="0" applyAlignment="1" applyBorder="1" applyFont="1">
      <alignment horizontal="center" shrinkToFit="0" vertical="center" wrapText="1"/>
    </xf>
    <xf borderId="4" fillId="6" fontId="16" numFmtId="0" xfId="0" applyAlignment="1" applyBorder="1" applyFill="1" applyFont="1">
      <alignment horizontal="center" shrinkToFit="0" vertical="center" wrapText="1"/>
    </xf>
    <xf borderId="4" fillId="0" fontId="16" numFmtId="0" xfId="0" applyAlignment="1" applyBorder="1" applyFont="1">
      <alignment horizontal="left" shrinkToFit="0" vertical="center" wrapText="1"/>
    </xf>
    <xf borderId="4" fillId="0" fontId="15" numFmtId="0" xfId="0" applyAlignment="1" applyBorder="1" applyFont="1">
      <alignment horizontal="left" shrinkToFit="0" vertical="center" wrapText="1"/>
    </xf>
    <xf borderId="0" fillId="0" fontId="11" numFmtId="0" xfId="0" applyAlignment="1" applyFont="1">
      <alignment shrinkToFit="0" vertical="bottom" wrapText="0"/>
    </xf>
    <xf borderId="4" fillId="7" fontId="16" numFmtId="49" xfId="0" applyAlignment="1" applyBorder="1" applyFill="1" applyFont="1" applyNumberFormat="1">
      <alignment horizontal="center" shrinkToFit="0" vertical="center" wrapText="1"/>
    </xf>
    <xf borderId="4" fillId="7" fontId="15" numFmtId="0" xfId="0" applyAlignment="1" applyBorder="1" applyFill="1" applyFont="1">
      <alignment horizontal="center" shrinkToFit="0" vertical="center" wrapText="1"/>
    </xf>
    <xf borderId="4" fillId="7" fontId="15" numFmtId="0" xfId="0" applyAlignment="1" applyBorder="1" applyFill="1" applyFont="1">
      <alignment horizontal="left" shrinkToFit="0" vertical="center" wrapText="1"/>
    </xf>
    <xf borderId="4" fillId="6" fontId="15" numFmtId="0" xfId="0" applyAlignment="1" applyBorder="1" applyFill="1" applyFont="1">
      <alignment horizontal="center" shrinkToFit="0" vertical="center" wrapText="1"/>
    </xf>
    <xf borderId="4" fillId="8" fontId="16" numFmtId="0" xfId="0" applyAlignment="1" applyBorder="1" applyFill="1" applyFont="1">
      <alignment horizontal="center" shrinkToFit="0" vertical="center" wrapText="1"/>
    </xf>
    <xf borderId="4" fillId="0" fontId="15" numFmtId="0" xfId="0" applyAlignment="1" applyBorder="1" applyFont="1">
      <alignment horizontal="center" shrinkToFit="0" vertical="center" wrapText="1"/>
    </xf>
    <xf borderId="4" fillId="9" fontId="15" numFmtId="0" xfId="0" applyAlignment="1" applyBorder="1" applyFill="1" applyFont="1">
      <alignment horizontal="center" shrinkToFit="0" vertical="center" wrapText="1"/>
    </xf>
    <xf borderId="1" fillId="2" fontId="17" numFmtId="0" xfId="0" applyAlignment="1" applyBorder="1" applyFill="1" applyFont="1">
      <alignment horizontal="left" shrinkToFit="0" vertical="center" wrapText="1"/>
    </xf>
    <xf borderId="4" fillId="5" fontId="14" numFmtId="0" xfId="0" applyAlignment="1" applyBorder="1" applyFill="1" applyFont="1">
      <alignment shrinkToFit="0" vertical="bottom" wrapText="0"/>
    </xf>
    <xf borderId="1" fillId="3" fontId="18" numFmtId="0" xfId="0" applyAlignment="1" applyBorder="1" applyFill="1" applyFont="1">
      <alignment horizontal="left" shrinkToFit="0" vertical="center" wrapText="1"/>
    </xf>
    <xf borderId="4" fillId="0" fontId="16" numFmtId="49" xfId="0" applyAlignment="1" applyBorder="1" applyFont="1" applyNumberFormat="1">
      <alignment horizontal="center" shrinkToFit="0" vertical="center" wrapText="1"/>
    </xf>
    <xf borderId="4" fillId="0" fontId="16" numFmtId="0" xfId="0" applyAlignment="1" applyBorder="1" applyFont="1">
      <alignment horizontal="center" shrinkToFit="0" vertical="center" wrapText="1"/>
    </xf>
    <xf borderId="5" fillId="5" fontId="11" numFmtId="0" xfId="0" applyAlignment="1" applyBorder="1" applyFill="1" applyFont="1">
      <alignment horizontal="center" shrinkToFit="0" vertical="center" wrapText="1"/>
    </xf>
    <xf borderId="6" fillId="0" fontId="7" numFmtId="0" xfId="0" applyBorder="1" applyFont="1"/>
    <xf borderId="7" fillId="0" fontId="7" numFmtId="0" xfId="0" applyBorder="1" applyFont="1"/>
    <xf borderId="4" fillId="7" fontId="19" numFmtId="49" xfId="0" applyAlignment="1" applyBorder="1" applyFill="1" applyFont="1" applyNumberFormat="1">
      <alignment horizontal="left" shrinkToFit="0" vertical="center" wrapText="1"/>
    </xf>
    <xf borderId="4" fillId="0" fontId="20" numFmtId="0" xfId="0" applyAlignment="1" applyBorder="1" applyFont="1">
      <alignment shrinkToFit="0" vertical="bottom" wrapText="0"/>
    </xf>
    <xf borderId="0" fillId="0" fontId="20" numFmtId="0" xfId="0" applyAlignment="1" applyFont="1">
      <alignment shrinkToFit="0" vertical="bottom" wrapText="0"/>
    </xf>
    <xf borderId="4" fillId="7" fontId="19" numFmtId="0" xfId="0" applyAlignment="1" applyBorder="1" applyFill="1" applyFont="1">
      <alignment horizontal="left" shrinkToFit="0" vertical="center" wrapText="1"/>
    </xf>
    <xf borderId="4" fillId="7" fontId="9" numFmtId="0" xfId="0" applyAlignment="1" applyBorder="1" applyFill="1" applyFont="1">
      <alignment shrinkToFit="0" vertical="bottom" wrapText="0"/>
    </xf>
    <xf borderId="4" fillId="6" fontId="9" numFmtId="0" xfId="0" applyAlignment="1" applyBorder="1" applyFill="1" applyFont="1">
      <alignment shrinkToFit="0" vertical="bottom" wrapText="0"/>
    </xf>
    <xf borderId="4" fillId="8" fontId="12" numFmtId="0" xfId="0" applyAlignment="1" applyBorder="1" applyFill="1" applyFont="1">
      <alignment shrinkToFit="0" vertical="bottom" wrapText="0"/>
    </xf>
    <xf borderId="4" fillId="0" fontId="16" numFmtId="9" xfId="0" applyAlignment="1" applyBorder="1" applyFont="1" applyNumberFormat="1">
      <alignment horizontal="center" shrinkToFit="0" vertical="center" wrapText="1"/>
    </xf>
    <xf borderId="4" fillId="9" fontId="9" numFmtId="0" xfId="0" applyAlignment="1" applyBorder="1" applyFill="1" applyFont="1">
      <alignment shrinkToFit="0" vertical="bottom" wrapText="0"/>
    </xf>
    <xf borderId="4" fillId="0" fontId="21" numFmtId="0" xfId="0" applyAlignment="1" applyBorder="1" applyFont="1">
      <alignment horizontal="center" shrinkToFit="0" vertical="center" wrapText="1"/>
    </xf>
    <xf borderId="4" fillId="0" fontId="22" numFmtId="0" xfId="0" applyAlignment="1" applyBorder="1" applyFont="1">
      <alignment shrinkToFit="0" vertical="bottom" wrapText="0"/>
    </xf>
    <xf borderId="0" fillId="0" fontId="22" numFmtId="0" xfId="0" applyAlignment="1" applyFont="1">
      <alignment shrinkToFit="0" vertical="bottom" wrapText="0"/>
    </xf>
    <xf borderId="8" fillId="6" fontId="23" numFmtId="0" xfId="0" applyAlignment="1" applyBorder="1" applyFill="1" applyFont="1">
      <alignment horizontal="center" shrinkToFit="0" vertical="center" wrapText="1"/>
    </xf>
    <xf borderId="9" fillId="6" fontId="24" numFmtId="0" xfId="0" applyAlignment="1" applyBorder="1" applyFill="1" applyFont="1">
      <alignment horizontal="left" shrinkToFit="0" vertical="center" wrapText="1"/>
    </xf>
    <xf borderId="10" fillId="0" fontId="7" numFmtId="0" xfId="0" applyBorder="1" applyFont="1"/>
    <xf borderId="11" fillId="0" fontId="7" numFmtId="0" xfId="0" applyBorder="1" applyFont="1"/>
    <xf borderId="8" fillId="6" fontId="11" numFmtId="0" xfId="0" applyAlignment="1" applyBorder="1" applyFill="1" applyFont="1">
      <alignment horizontal="right" shrinkToFit="0" vertical="center" wrapText="0"/>
    </xf>
    <xf borderId="4" fillId="8" fontId="15" numFmtId="0" xfId="0" applyAlignment="1" applyBorder="1" applyFill="1" applyFont="1">
      <alignment horizontal="left" shrinkToFit="0" vertical="center" wrapText="1"/>
    </xf>
    <xf borderId="8" fillId="7" fontId="25" numFmtId="0" xfId="0" applyAlignment="1" applyBorder="1" applyFill="1" applyFont="1">
      <alignment horizontal="center" shrinkToFit="0" vertical="center" wrapText="1"/>
    </xf>
    <xf borderId="4" fillId="8" fontId="16" numFmtId="0" xfId="0" applyAlignment="1" applyBorder="1" applyFill="1" applyFont="1">
      <alignment horizontal="left" shrinkToFit="0" vertical="center" wrapText="1"/>
    </xf>
    <xf borderId="9" fillId="6" fontId="26" numFmtId="0" xfId="0" applyAlignment="1" applyBorder="1" applyFill="1" applyFont="1">
      <alignment horizontal="left" shrinkToFit="0" vertical="center" wrapText="1"/>
    </xf>
    <xf borderId="0" fillId="0" fontId="27" numFmtId="0" xfId="0" applyAlignment="1" applyFont="1">
      <alignment horizontal="left" shrinkToFit="0" vertical="center" wrapText="1"/>
    </xf>
    <xf borderId="4" fillId="6" fontId="16" numFmtId="0" xfId="0" applyAlignment="1" applyBorder="1" applyFill="1" applyFont="1">
      <alignment horizontal="left" shrinkToFit="0" vertical="center" wrapText="1"/>
    </xf>
    <xf borderId="4" fillId="5" fontId="21" numFmtId="0" xfId="0" applyAlignment="1" applyBorder="1" applyFill="1" applyFont="1">
      <alignment horizontal="center" shrinkToFit="0" vertical="center" wrapText="1"/>
    </xf>
    <xf borderId="4" fillId="0" fontId="27" numFmtId="0" xfId="0" applyAlignment="1" applyBorder="1" applyFont="1">
      <alignment horizontal="center" shrinkToFit="0" vertical="center" wrapText="1"/>
    </xf>
    <xf borderId="4" fillId="0" fontId="28" numFmtId="0" xfId="0" applyAlignment="1" applyBorder="1" applyFont="1">
      <alignment horizontal="center" shrinkToFit="0" vertical="center" wrapText="1"/>
    </xf>
    <xf borderId="4" fillId="0" fontId="22" numFmtId="0" xfId="0" applyAlignment="1" applyBorder="1" applyFont="1">
      <alignment horizontal="center" shrinkToFit="0" vertical="center" wrapText="1"/>
    </xf>
    <xf borderId="0" fillId="0" fontId="29" numFmtId="0" xfId="0" applyAlignment="1" applyFont="1">
      <alignment shrinkToFit="0" vertical="bottom" wrapText="0"/>
    </xf>
    <xf borderId="4" fillId="9" fontId="15" numFmtId="0" xfId="0" applyAlignment="1" applyBorder="1" applyFill="1" applyFont="1">
      <alignment horizontal="left" shrinkToFit="0" vertical="center" wrapText="1"/>
    </xf>
    <xf borderId="4" fillId="9" fontId="16" numFmtId="0" xfId="0" applyAlignment="1" applyBorder="1" applyFill="1" applyFont="1">
      <alignment horizontal="center" shrinkToFit="0" vertical="center" wrapText="1"/>
    </xf>
    <xf borderId="4" fillId="7" fontId="30" numFmtId="0" xfId="0" applyAlignment="1" applyBorder="1" applyFill="1" applyFont="1">
      <alignment horizontal="left" shrinkToFit="0" vertical="center" wrapText="1"/>
    </xf>
    <xf borderId="8" fillId="8" fontId="23" numFmtId="0" xfId="0" applyAlignment="1" applyBorder="1" applyFill="1" applyFont="1">
      <alignment horizontal="center" shrinkToFit="0" vertical="center" wrapText="1"/>
    </xf>
    <xf borderId="8" fillId="7" fontId="31" numFmtId="0" xfId="0" applyAlignment="1" applyBorder="1" applyFill="1" applyFont="1">
      <alignment horizontal="center" shrinkToFit="0" vertical="center" wrapText="1"/>
    </xf>
    <xf borderId="9" fillId="8" fontId="24" numFmtId="0" xfId="0" applyAlignment="1" applyBorder="1" applyFill="1" applyFont="1">
      <alignment horizontal="left" shrinkToFit="0" vertical="center" wrapText="1"/>
    </xf>
    <xf borderId="8" fillId="8" fontId="11" numFmtId="0" xfId="0" applyAlignment="1" applyBorder="1" applyFill="1" applyFont="1">
      <alignment horizontal="right" shrinkToFit="0" vertical="center" wrapText="0"/>
    </xf>
    <xf borderId="9" fillId="8" fontId="26" numFmtId="0" xfId="0" applyAlignment="1" applyBorder="1" applyFill="1" applyFont="1">
      <alignment horizontal="left" shrinkToFit="0" vertical="center" wrapText="1"/>
    </xf>
    <xf borderId="9" fillId="6" fontId="32" numFmtId="0" xfId="0" applyAlignment="1" applyBorder="1" applyFill="1" applyFont="1">
      <alignment horizontal="left" shrinkToFit="0" vertical="center" wrapText="1"/>
    </xf>
    <xf borderId="8" fillId="9" fontId="23" numFmtId="0" xfId="0" applyAlignment="1" applyBorder="1" applyFill="1" applyFont="1">
      <alignment horizontal="center" shrinkToFit="0" vertical="center" wrapText="1"/>
    </xf>
    <xf borderId="9" fillId="9" fontId="24" numFmtId="0" xfId="0" applyAlignment="1" applyBorder="1" applyFill="1" applyFont="1">
      <alignment horizontal="left" shrinkToFit="0" vertical="center" wrapText="1"/>
    </xf>
    <xf borderId="8" fillId="9" fontId="11" numFmtId="0" xfId="0" applyAlignment="1" applyBorder="1" applyFill="1" applyFont="1">
      <alignment horizontal="right" shrinkToFit="0" vertical="center" wrapText="0"/>
    </xf>
    <xf borderId="9" fillId="9" fontId="26" numFmtId="0" xfId="0" applyAlignment="1" applyBorder="1" applyFill="1" applyFont="1">
      <alignment horizontal="left" shrinkToFit="0" vertical="center" wrapText="1"/>
    </xf>
    <xf borderId="9" fillId="8" fontId="32" numFmtId="0" xfId="0" applyAlignment="1" applyBorder="1" applyFill="1" applyFont="1">
      <alignment horizontal="left" shrinkToFit="0" vertical="center" wrapText="1"/>
    </xf>
    <xf borderId="4" fillId="7" fontId="30" numFmtId="49" xfId="0" applyAlignment="1" applyBorder="1" applyFill="1" applyFont="1" applyNumberFormat="1">
      <alignment horizontal="left" shrinkToFit="0" vertical="center" wrapText="1"/>
    </xf>
    <xf borderId="5" fillId="5" fontId="14" numFmtId="0" xfId="0" applyAlignment="1" applyBorder="1" applyFill="1" applyFont="1">
      <alignment horizontal="left" shrinkToFit="0" vertical="center" wrapText="1"/>
    </xf>
    <xf borderId="12" fillId="0" fontId="7" numFmtId="0" xfId="0" applyBorder="1" applyFont="1"/>
    <xf borderId="4" fillId="0" fontId="8" numFmtId="0" xfId="0" applyAlignment="1" applyBorder="1" applyFont="1">
      <alignment horizontal="center" shrinkToFit="0" vertical="center" wrapText="1"/>
    </xf>
    <xf borderId="4" fillId="0" fontId="8" numFmtId="9" xfId="0" applyAlignment="1" applyBorder="1" applyFont="1" applyNumberFormat="1">
      <alignment horizontal="center" shrinkToFit="0" vertical="center" wrapText="1"/>
    </xf>
    <xf borderId="4" fillId="0" fontId="11" numFmtId="0" xfId="0" applyAlignment="1" applyBorder="1" applyFont="1">
      <alignment horizontal="left" shrinkToFit="0" vertical="center" wrapText="1"/>
    </xf>
    <xf borderId="4" fillId="0" fontId="21" numFmtId="0" xfId="0" applyAlignment="1" applyBorder="1" applyFont="1">
      <alignment horizontal="left" shrinkToFit="0" vertical="center" wrapText="1"/>
    </xf>
    <xf borderId="0" fillId="0" fontId="33" numFmtId="0" xfId="0" applyAlignment="1" applyFont="1">
      <alignment shrinkToFit="0" vertical="bottom" wrapText="0"/>
    </xf>
    <xf borderId="0" fillId="0" fontId="13" numFmtId="0" xfId="0" applyAlignment="1" applyFont="1">
      <alignment shrinkToFit="0" vertical="bottom" wrapText="0"/>
    </xf>
    <xf borderId="0" fillId="0" fontId="34" numFmtId="0" xfId="0" applyAlignment="1" applyFont="1">
      <alignment shrinkToFit="0" vertical="bottom" wrapText="0"/>
    </xf>
    <xf borderId="4" fillId="3" fontId="35" numFmtId="0" xfId="0" applyAlignment="1" applyBorder="1" applyFill="1" applyFont="1">
      <alignment horizontal="center" shrinkToFit="0" vertical="center" wrapText="1"/>
    </xf>
    <xf borderId="4" fillId="3" fontId="18" numFmtId="0" xfId="0" applyAlignment="1" applyBorder="1" applyFill="1" applyFont="1">
      <alignment horizontal="center" shrinkToFit="0" vertical="center" wrapText="1"/>
    </xf>
    <xf borderId="4" fillId="0" fontId="36" numFmtId="0" xfId="0" applyAlignment="1" applyBorder="1" applyFont="1">
      <alignment horizontal="center" shrinkToFit="0" vertical="center" wrapText="1"/>
    </xf>
    <xf borderId="13" fillId="10" fontId="37" numFmtId="0" xfId="0" applyAlignment="1" applyBorder="1" applyFill="1" applyFont="1">
      <alignment horizontal="center" shrinkToFit="0" vertical="center" wrapText="1"/>
    </xf>
    <xf borderId="4" fillId="0" fontId="38" numFmtId="0" xfId="0" applyAlignment="1" applyBorder="1" applyFont="1">
      <alignment horizontal="left" shrinkToFit="0" vertical="center" wrapText="1"/>
    </xf>
    <xf borderId="4" fillId="0" fontId="39" numFmtId="0" xfId="0" applyAlignment="1" applyBorder="1" applyFont="1">
      <alignment horizontal="left" shrinkToFit="0" vertical="center" wrapText="1"/>
    </xf>
    <xf borderId="4" fillId="0" fontId="39" numFmtId="0" xfId="0" applyAlignment="1" applyBorder="1" applyFont="1">
      <alignment horizontal="center" shrinkToFit="0" vertical="center" wrapText="1"/>
    </xf>
    <xf borderId="4" fillId="0" fontId="36" numFmtId="0" xfId="0" applyAlignment="1" applyBorder="1" applyFont="1">
      <alignment horizontal="left" shrinkToFit="0" vertical="center" wrapText="1"/>
    </xf>
    <xf borderId="0" fillId="0" fontId="40" numFmtId="0" xfId="0" applyAlignment="1" applyFont="1">
      <alignment shrinkToFit="0" vertical="bottom" wrapText="0"/>
    </xf>
    <xf borderId="14" fillId="0" fontId="7" numFmtId="0" xfId="0" applyBorder="1" applyFont="1"/>
    <xf borderId="15" fillId="0" fontId="7" numFmtId="0" xfId="0" applyBorder="1" applyFont="1"/>
    <xf borderId="4" fillId="8" fontId="38" numFmtId="0" xfId="0" applyAlignment="1" applyBorder="1" applyFill="1" applyFont="1">
      <alignment horizontal="left" shrinkToFit="0" vertical="center" wrapText="1"/>
    </xf>
    <xf borderId="4" fillId="8" fontId="39" numFmtId="0" xfId="0" applyAlignment="1" applyBorder="1" applyFill="1" applyFont="1">
      <alignment horizontal="left" shrinkToFit="0" vertical="center" wrapText="1"/>
    </xf>
    <xf borderId="4" fillId="8" fontId="39" numFmtId="0" xfId="0" applyAlignment="1" applyBorder="1" applyFill="1" applyFont="1">
      <alignment horizontal="center" shrinkToFit="0" vertical="center" wrapText="1"/>
    </xf>
    <xf borderId="4" fillId="8" fontId="36" numFmtId="0" xfId="0" applyAlignment="1" applyBorder="1" applyFill="1" applyFont="1">
      <alignment horizontal="center" shrinkToFit="0" vertical="center" wrapText="1"/>
    </xf>
    <xf borderId="4" fillId="0" fontId="41" numFmtId="0" xfId="0" applyAlignment="1" applyBorder="1" applyFont="1">
      <alignment horizontal="left" shrinkToFit="0" vertical="center" wrapText="1"/>
    </xf>
    <xf borderId="4" fillId="9" fontId="38" numFmtId="0" xfId="0" applyAlignment="1" applyBorder="1" applyFill="1" applyFont="1">
      <alignment horizontal="left" shrinkToFit="0" vertical="center" wrapText="1"/>
    </xf>
    <xf borderId="4" fillId="9" fontId="36" numFmtId="0" xfId="0" applyAlignment="1" applyBorder="1" applyFill="1" applyFont="1">
      <alignment horizontal="left" shrinkToFit="0" vertical="center" wrapText="1"/>
    </xf>
    <xf borderId="4" fillId="9" fontId="39" numFmtId="0" xfId="0" applyAlignment="1" applyBorder="1" applyFill="1" applyFont="1">
      <alignment horizontal="center" shrinkToFit="0" vertical="center" wrapText="1"/>
    </xf>
    <xf borderId="4" fillId="9" fontId="39" numFmtId="0" xfId="0" applyAlignment="1" applyBorder="1" applyFill="1" applyFont="1">
      <alignment horizontal="left" shrinkToFit="0" vertical="center" wrapText="1"/>
    </xf>
    <xf borderId="4" fillId="8" fontId="41" numFmtId="0" xfId="0" applyAlignment="1" applyBorder="1" applyFill="1" applyFont="1">
      <alignment horizontal="left" shrinkToFit="0" vertical="center" wrapText="1"/>
    </xf>
    <xf borderId="0" fillId="0" fontId="42" numFmtId="0" xfId="0" applyAlignment="1" applyFont="1">
      <alignment shrinkToFit="0" vertical="bottom" wrapText="0"/>
    </xf>
    <xf borderId="4" fillId="3" fontId="18" numFmtId="0" xfId="0" applyAlignment="1" applyBorder="1" applyFill="1" applyFont="1">
      <alignment horizontal="center" shrinkToFit="0" vertical="bottom" wrapText="0"/>
    </xf>
    <xf borderId="4" fillId="3" fontId="35" numFmtId="0" xfId="0" applyAlignment="1" applyBorder="1" applyFill="1" applyFont="1">
      <alignment horizontal="center" shrinkToFit="0" vertical="bottom" wrapText="0"/>
    </xf>
    <xf borderId="4" fillId="0" fontId="39" numFmtId="0" xfId="0" applyAlignment="1" applyBorder="1" applyFont="1">
      <alignment shrinkToFit="0" vertical="bottom" wrapText="0"/>
    </xf>
    <xf borderId="4" fillId="8" fontId="36" numFmtId="0" xfId="0" applyAlignment="1" applyBorder="1" applyFill="1" applyFont="1">
      <alignment horizontal="left" shrinkToFit="0" vertical="center" wrapText="1"/>
    </xf>
    <xf borderId="0" fillId="0" fontId="43" numFmtId="0" xfId="0" applyAlignment="1" applyFont="1">
      <alignment shrinkToFit="0" vertical="bottom" wrapText="0"/>
    </xf>
    <xf borderId="4" fillId="0" fontId="37" numFmtId="0" xfId="0" applyAlignment="1" applyBorder="1" applyFont="1">
      <alignment shrinkToFit="0" vertical="bottom" wrapText="0"/>
    </xf>
  </cellXfs>
  <cellStyles count="1">
    <cellStyle xfId="0" name="Normal" builtinId="0"/>
  </cellStyles>
  <dxfs count="7">
    <dxf>
      <font/>
      <fill>
        <patternFill patternType="solid">
          <fgColor rgb="FFF8CBAD"/>
          <bgColor rgb="FFF8CBAD"/>
        </patternFill>
      </fill>
      <border/>
    </dxf>
    <dxf>
      <font/>
      <fill>
        <patternFill patternType="solid">
          <fgColor rgb="FFC6EFCE"/>
          <bgColor rgb="FFC6EFCE"/>
        </patternFill>
      </fill>
      <border/>
    </dxf>
    <dxf>
      <font/>
      <fill>
        <patternFill patternType="solid">
          <fgColor rgb="FFE7E6E6"/>
          <bgColor rgb="FFE7E6E6"/>
        </patternFill>
      </fill>
      <border/>
    </dxf>
    <dxf>
      <font/>
      <fill>
        <patternFill patternType="solid">
          <fgColor rgb="FFDDEBF7"/>
          <bgColor rgb="FFDDEBF7"/>
        </patternFill>
      </fill>
      <border/>
    </dxf>
    <dxf>
      <font/>
      <fill>
        <patternFill patternType="solid">
          <fgColor rgb="FFFFE699"/>
          <bgColor rgb="FFFFE699"/>
        </patternFill>
      </fill>
      <border/>
    </dxf>
    <dxf>
      <font>
        <b/>
        <color rgb="FF2E7D32"/>
        <name val="Malgun Gothic"/>
      </font>
      <fill>
        <patternFill patternType="none"/>
      </fill>
      <border/>
    </dxf>
    <dxf>
      <font>
        <color rgb="FF7F7F7F"/>
        <name val="Malgun Gothic"/>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showGridLines="0" workbookViewId="0"/>
  </sheetViews>
  <sheetFormatPr customHeight="1" defaultColWidth="14.43" defaultRowHeight="15.0"/>
  <cols>
    <col customWidth="1" min="1" max="1" width="3.0"/>
    <col customWidth="1" min="2" max="2" width="22.0"/>
    <col customWidth="1" min="3" max="3" width="95.0"/>
    <col customWidth="1" min="4" max="26" width="8.71"/>
  </cols>
  <sheetData>
    <row r="1">
      <c r="B1" s="1" t="s">
        <v>0</v>
      </c>
    </row>
    <row r="2">
      <c r="B2" s="3"/>
    </row>
    <row r="4" ht="19.5" customHeight="1">
      <c r="B4" s="5" t="s">
        <v>3</v>
      </c>
      <c r="C4" s="7"/>
    </row>
    <row r="5">
      <c r="B5" s="9" t="s">
        <v>6</v>
      </c>
      <c r="C5" s="10" t="s">
        <v>8</v>
      </c>
    </row>
    <row r="6">
      <c r="B6" s="9" t="s">
        <v>11</v>
      </c>
      <c r="C6" s="10" t="s">
        <v>13</v>
      </c>
    </row>
    <row r="7">
      <c r="B7" s="9" t="s">
        <v>14</v>
      </c>
      <c r="C7" s="10" t="s">
        <v>16</v>
      </c>
    </row>
    <row r="8">
      <c r="B8" s="9" t="s">
        <v>17</v>
      </c>
      <c r="C8" s="10" t="s">
        <v>18</v>
      </c>
    </row>
    <row r="9">
      <c r="B9" s="9" t="s">
        <v>19</v>
      </c>
      <c r="C9" s="14" t="s">
        <v>21</v>
      </c>
    </row>
    <row r="10">
      <c r="B10" s="9" t="s">
        <v>43</v>
      </c>
      <c r="C10" s="10" t="s">
        <v>46</v>
      </c>
    </row>
    <row r="11">
      <c r="B11" s="17" t="s">
        <v>50</v>
      </c>
      <c r="C11" s="10" t="s">
        <v>57</v>
      </c>
    </row>
    <row r="12">
      <c r="B12" s="17" t="s">
        <v>62</v>
      </c>
      <c r="C12" s="10" t="s">
        <v>64</v>
      </c>
    </row>
    <row r="14" ht="19.5" customHeight="1">
      <c r="B14" s="5" t="s">
        <v>66</v>
      </c>
      <c r="C14" s="7"/>
    </row>
    <row r="15">
      <c r="B15" s="17" t="s">
        <v>67</v>
      </c>
      <c r="C15" s="10" t="s">
        <v>69</v>
      </c>
    </row>
    <row r="16" ht="31.5" customHeight="1">
      <c r="B16" s="17" t="s">
        <v>71</v>
      </c>
      <c r="C16" s="10" t="s">
        <v>75</v>
      </c>
    </row>
    <row r="17">
      <c r="B17" s="17" t="s">
        <v>76</v>
      </c>
      <c r="C17" s="14" t="s">
        <v>77</v>
      </c>
    </row>
    <row r="18">
      <c r="B18" s="17" t="s">
        <v>78</v>
      </c>
      <c r="C18" s="10" t="s">
        <v>80</v>
      </c>
    </row>
    <row r="19">
      <c r="B19" s="17" t="s">
        <v>81</v>
      </c>
      <c r="C19" s="10" t="s">
        <v>82</v>
      </c>
    </row>
    <row r="20">
      <c r="B20" s="17" t="s">
        <v>83</v>
      </c>
      <c r="C20" s="10" t="s">
        <v>84</v>
      </c>
    </row>
    <row r="21" ht="15.75" customHeight="1">
      <c r="B21" s="17" t="s">
        <v>85</v>
      </c>
      <c r="C21" s="10" t="s">
        <v>87</v>
      </c>
    </row>
    <row r="22" ht="15.75" customHeight="1">
      <c r="B22" s="17" t="s">
        <v>88</v>
      </c>
      <c r="C22" s="10" t="s">
        <v>91</v>
      </c>
    </row>
    <row r="23" ht="15.75" customHeight="1">
      <c r="B23" s="17" t="s">
        <v>92</v>
      </c>
      <c r="C23" s="10" t="s">
        <v>93</v>
      </c>
    </row>
    <row r="24" ht="15.75" customHeight="1">
      <c r="B24" s="17" t="s">
        <v>94</v>
      </c>
      <c r="C24" s="10" t="s">
        <v>95</v>
      </c>
    </row>
    <row r="25" ht="15.75" customHeight="1">
      <c r="B25" s="9" t="s">
        <v>97</v>
      </c>
      <c r="C25" s="10" t="s">
        <v>99</v>
      </c>
    </row>
    <row r="26" ht="15.75" customHeight="1"/>
    <row r="27" ht="19.5" customHeight="1">
      <c r="B27" s="31" t="s">
        <v>101</v>
      </c>
      <c r="C27" s="7"/>
    </row>
    <row r="28" ht="15.75" customHeight="1">
      <c r="B28" s="32" t="s">
        <v>103</v>
      </c>
      <c r="C28" s="32" t="s">
        <v>104</v>
      </c>
    </row>
    <row r="29" ht="33.75" customHeight="1">
      <c r="B29" s="9" t="s">
        <v>105</v>
      </c>
      <c r="C29" s="14" t="s">
        <v>109</v>
      </c>
    </row>
    <row r="30" ht="33.75" customHeight="1">
      <c r="B30" s="9" t="s">
        <v>110</v>
      </c>
      <c r="C30" s="10" t="s">
        <v>113</v>
      </c>
    </row>
    <row r="31" ht="33.75" customHeight="1">
      <c r="B31" s="9" t="s">
        <v>114</v>
      </c>
      <c r="C31" s="14" t="s">
        <v>115</v>
      </c>
    </row>
    <row r="32" ht="33.75" customHeight="1">
      <c r="B32" s="9" t="s">
        <v>116</v>
      </c>
      <c r="C32" s="14" t="s">
        <v>117</v>
      </c>
    </row>
    <row r="33" ht="33.75" customHeight="1">
      <c r="B33" s="9" t="s">
        <v>118</v>
      </c>
      <c r="C33" s="10" t="s">
        <v>119</v>
      </c>
    </row>
    <row r="34" ht="33.75" customHeight="1">
      <c r="B34" s="9" t="s">
        <v>120</v>
      </c>
      <c r="C34" s="10" t="s">
        <v>122</v>
      </c>
    </row>
    <row r="35" ht="48.0" customHeight="1">
      <c r="B35" s="9" t="s">
        <v>124</v>
      </c>
      <c r="C35" s="10" t="s">
        <v>126</v>
      </c>
    </row>
    <row r="36" ht="15.75" customHeight="1"/>
    <row r="37" ht="19.5" customHeight="1">
      <c r="B37" s="31" t="s">
        <v>129</v>
      </c>
      <c r="C37" s="7"/>
    </row>
    <row r="38" ht="15.75" customHeight="1">
      <c r="B38" s="43" t="s">
        <v>67</v>
      </c>
      <c r="C38" s="3" t="s">
        <v>132</v>
      </c>
    </row>
    <row r="39" ht="15.75" customHeight="1">
      <c r="B39" s="44" t="s">
        <v>135</v>
      </c>
      <c r="C39" s="3" t="s">
        <v>137</v>
      </c>
    </row>
    <row r="40" ht="15.75" customHeight="1">
      <c r="B40" s="45" t="s">
        <v>140</v>
      </c>
      <c r="C40" s="3" t="s">
        <v>142</v>
      </c>
    </row>
    <row r="41" ht="15.75" customHeight="1">
      <c r="B41" s="47" t="s">
        <v>144</v>
      </c>
      <c r="C41" s="3" t="s">
        <v>146</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1:C1"/>
    <mergeCell ref="B2:C2"/>
    <mergeCell ref="B4:C4"/>
    <mergeCell ref="B14:C14"/>
    <mergeCell ref="B27:C27"/>
    <mergeCell ref="B37:C37"/>
  </mergeCells>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4.43" defaultRowHeight="15.0"/>
  <cols>
    <col customWidth="1" min="1" max="1" width="6.0"/>
    <col customWidth="1" min="2" max="2" width="13.0"/>
    <col customWidth="1" min="3" max="3" width="16.0"/>
    <col customWidth="1" min="4" max="4" width="12.0"/>
    <col customWidth="1" min="5" max="5" width="8.0"/>
    <col customWidth="1" min="6" max="6" width="14.0"/>
    <col customWidth="1" min="7" max="7" width="15.0"/>
    <col customWidth="1" min="8" max="9" width="6.0"/>
    <col customWidth="1" min="10" max="10" width="12.0"/>
    <col customWidth="1" min="11" max="11" width="8.0"/>
    <col customWidth="1" min="12" max="12" width="11.0"/>
    <col customWidth="1" min="13" max="13" width="7.0"/>
    <col customWidth="1" min="14" max="15" width="8.0"/>
    <col customWidth="1" min="16" max="16" width="10.0"/>
    <col customWidth="1" min="17" max="17" width="9.0"/>
    <col customWidth="1" min="18" max="18" width="7.0"/>
    <col customWidth="1" min="19" max="19" width="60.0"/>
    <col customWidth="1" min="20" max="26" width="8.71"/>
  </cols>
  <sheetData>
    <row r="1">
      <c r="A1" s="2" t="s">
        <v>1</v>
      </c>
    </row>
    <row r="2" ht="30.0" customHeight="1">
      <c r="A2" s="4" t="s">
        <v>2</v>
      </c>
    </row>
    <row r="4" ht="15.0" customHeight="1">
      <c r="A4" s="6" t="s">
        <v>4</v>
      </c>
      <c r="B4" s="8"/>
      <c r="C4" s="7"/>
      <c r="D4" s="6" t="s">
        <v>7</v>
      </c>
      <c r="E4" s="8"/>
      <c r="F4" s="8"/>
      <c r="G4" s="8"/>
      <c r="H4" s="8"/>
      <c r="I4" s="7"/>
      <c r="J4" s="6" t="s">
        <v>10</v>
      </c>
      <c r="K4" s="8"/>
      <c r="L4" s="7"/>
      <c r="M4" s="6" t="s">
        <v>15</v>
      </c>
      <c r="N4" s="8"/>
      <c r="O4" s="8"/>
      <c r="P4" s="8"/>
      <c r="Q4" s="8"/>
      <c r="R4" s="8"/>
      <c r="S4" s="7"/>
    </row>
    <row r="5">
      <c r="A5" s="13" t="s">
        <v>20</v>
      </c>
      <c r="B5" s="13" t="s">
        <v>33</v>
      </c>
      <c r="C5" s="13" t="s">
        <v>35</v>
      </c>
      <c r="D5" s="13" t="s">
        <v>36</v>
      </c>
      <c r="E5" s="13" t="s">
        <v>37</v>
      </c>
      <c r="F5" s="13" t="s">
        <v>38</v>
      </c>
      <c r="G5" s="13" t="s">
        <v>39</v>
      </c>
      <c r="H5" s="13" t="s">
        <v>40</v>
      </c>
      <c r="I5" s="13" t="s">
        <v>41</v>
      </c>
      <c r="J5" s="13" t="s">
        <v>42</v>
      </c>
      <c r="K5" s="13" t="s">
        <v>44</v>
      </c>
      <c r="L5" s="13" t="s">
        <v>45</v>
      </c>
      <c r="M5" s="13" t="s">
        <v>47</v>
      </c>
      <c r="N5" s="13" t="s">
        <v>49</v>
      </c>
      <c r="O5" s="13" t="s">
        <v>51</v>
      </c>
      <c r="P5" s="13" t="s">
        <v>55</v>
      </c>
      <c r="Q5" s="13" t="s">
        <v>59</v>
      </c>
      <c r="R5" s="13" t="s">
        <v>61</v>
      </c>
      <c r="S5" s="13" t="s">
        <v>63</v>
      </c>
    </row>
    <row r="6" ht="42.0" customHeight="1">
      <c r="A6" s="19" t="s">
        <v>27</v>
      </c>
      <c r="B6" s="21" t="s">
        <v>68</v>
      </c>
      <c r="C6" s="22" t="s">
        <v>74</v>
      </c>
      <c r="D6" s="24" t="s">
        <v>79</v>
      </c>
      <c r="E6" s="25" t="s">
        <v>48</v>
      </c>
      <c r="F6" s="26" t="s">
        <v>86</v>
      </c>
      <c r="G6" s="26" t="s">
        <v>90</v>
      </c>
      <c r="H6" s="25">
        <v>4.0</v>
      </c>
      <c r="I6" s="25" t="s">
        <v>98</v>
      </c>
      <c r="J6" s="34" t="str">
        <f>'11_작성예시'!C7</f>
        <v>2023313001</v>
      </c>
      <c r="K6" s="35">
        <f>'11_작성예시'!C11</f>
        <v>4</v>
      </c>
      <c r="L6" s="19" t="str">
        <f t="shared" ref="L6:L12" si="1">IF(AND(J6&amp;""=D6&amp;"",K6&amp;""=H6&amp;""),"✓ 일치","⚠ 불일치")</f>
        <v>✓ 일치</v>
      </c>
      <c r="M6" s="35">
        <f>'02_수집현황'!E41</f>
        <v>34</v>
      </c>
      <c r="N6" s="35">
        <f>'02_수집현황'!E42</f>
        <v>0</v>
      </c>
      <c r="O6" s="35">
        <f>'02_수집현황'!E43</f>
        <v>0</v>
      </c>
      <c r="P6" s="35">
        <f>'02_수집현황'!E44+'02_수집현황'!E45</f>
        <v>0</v>
      </c>
      <c r="Q6" s="46">
        <f>'02_수집현황'!E46</f>
        <v>1</v>
      </c>
      <c r="R6" s="35">
        <f>'02_수집현황'!E47</f>
        <v>0</v>
      </c>
      <c r="S6" s="21" t="s">
        <v>145</v>
      </c>
    </row>
    <row r="7" ht="42.0" customHeight="1">
      <c r="A7" s="48" t="s">
        <v>28</v>
      </c>
      <c r="B7" s="21" t="s">
        <v>150</v>
      </c>
      <c r="C7" s="22" t="s">
        <v>152</v>
      </c>
      <c r="D7" s="24" t="s">
        <v>153</v>
      </c>
      <c r="E7" s="25" t="s">
        <v>52</v>
      </c>
      <c r="F7" s="26" t="s">
        <v>86</v>
      </c>
      <c r="G7" s="26" t="s">
        <v>156</v>
      </c>
      <c r="H7" s="25">
        <v>4.0</v>
      </c>
      <c r="I7" s="25" t="s">
        <v>98</v>
      </c>
      <c r="J7" s="34" t="str">
        <f>'S01_김민준'!C7</f>
        <v>2023310452</v>
      </c>
      <c r="K7" s="35">
        <f>'S01_김민준'!C11</f>
        <v>4</v>
      </c>
      <c r="L7" s="19" t="str">
        <f t="shared" si="1"/>
        <v>✓ 일치</v>
      </c>
      <c r="M7" s="35">
        <f>'02_수집현황'!F41</f>
        <v>28</v>
      </c>
      <c r="N7" s="35">
        <f>'02_수집현황'!F42</f>
        <v>5</v>
      </c>
      <c r="O7" s="35">
        <f>'02_수집현황'!F43</f>
        <v>0</v>
      </c>
      <c r="P7" s="35">
        <f>'02_수집현황'!F44+'02_수집현황'!F45</f>
        <v>1</v>
      </c>
      <c r="Q7" s="46">
        <f>'02_수집현황'!F46</f>
        <v>0.9705882353</v>
      </c>
      <c r="R7" s="35">
        <f>'02_수집현황'!F47</f>
        <v>0</v>
      </c>
      <c r="S7" s="22" t="s">
        <v>171</v>
      </c>
    </row>
    <row r="8" ht="42.0" customHeight="1">
      <c r="A8" s="48" t="s">
        <v>29</v>
      </c>
      <c r="B8" s="21" t="s">
        <v>172</v>
      </c>
      <c r="C8" s="22" t="s">
        <v>173</v>
      </c>
      <c r="D8" s="24" t="s">
        <v>175</v>
      </c>
      <c r="E8" s="25" t="s">
        <v>53</v>
      </c>
      <c r="F8" s="26" t="s">
        <v>176</v>
      </c>
      <c r="G8" s="26" t="s">
        <v>177</v>
      </c>
      <c r="H8" s="25">
        <v>3.0</v>
      </c>
      <c r="I8" s="25" t="s">
        <v>98</v>
      </c>
      <c r="J8" s="34" t="str">
        <f>'S02_이서연'!C7</f>
        <v>2024311187</v>
      </c>
      <c r="K8" s="35">
        <f>'S02_이서연'!C11</f>
        <v>3</v>
      </c>
      <c r="L8" s="19" t="str">
        <f t="shared" si="1"/>
        <v>✓ 일치</v>
      </c>
      <c r="M8" s="35">
        <f>'02_수집현황'!G41</f>
        <v>17</v>
      </c>
      <c r="N8" s="35">
        <f>'02_수집현황'!G42</f>
        <v>9</v>
      </c>
      <c r="O8" s="35">
        <f>'02_수집현황'!G43</f>
        <v>1</v>
      </c>
      <c r="P8" s="35">
        <f>'02_수집현황'!G44+'02_수집현황'!G45</f>
        <v>7</v>
      </c>
      <c r="Q8" s="46">
        <f>'02_수집현황'!G46</f>
        <v>0.7941176471</v>
      </c>
      <c r="R8" s="35">
        <f>'02_수집현황'!G47</f>
        <v>0</v>
      </c>
      <c r="S8" s="21" t="s">
        <v>207</v>
      </c>
    </row>
    <row r="9" ht="42.0" customHeight="1">
      <c r="A9" s="48" t="s">
        <v>30</v>
      </c>
      <c r="B9" s="21" t="s">
        <v>208</v>
      </c>
      <c r="C9" s="22" t="s">
        <v>209</v>
      </c>
      <c r="D9" s="24" t="s">
        <v>211</v>
      </c>
      <c r="E9" s="25" t="s">
        <v>54</v>
      </c>
      <c r="F9" s="26" t="s">
        <v>212</v>
      </c>
      <c r="G9" s="26" t="s">
        <v>213</v>
      </c>
      <c r="H9" s="25">
        <v>1.0</v>
      </c>
      <c r="I9" s="25" t="s">
        <v>98</v>
      </c>
      <c r="J9" s="34" t="str">
        <f>'S03_박지호'!C7</f>
        <v>2026312045</v>
      </c>
      <c r="K9" s="35">
        <f>'S03_박지호'!C11</f>
        <v>1</v>
      </c>
      <c r="L9" s="19" t="str">
        <f t="shared" si="1"/>
        <v>✓ 일치</v>
      </c>
      <c r="M9" s="35">
        <f>'02_수집현황'!H41</f>
        <v>18</v>
      </c>
      <c r="N9" s="35">
        <f>'02_수집현황'!H42</f>
        <v>14</v>
      </c>
      <c r="O9" s="35">
        <f>'02_수집현황'!H43</f>
        <v>0</v>
      </c>
      <c r="P9" s="35">
        <f>'02_수집현황'!H44+'02_수집현황'!H45</f>
        <v>2</v>
      </c>
      <c r="Q9" s="46">
        <f>'02_수집현황'!H46</f>
        <v>0.9411764706</v>
      </c>
      <c r="R9" s="35">
        <f>'02_수집현황'!H47</f>
        <v>0</v>
      </c>
      <c r="S9" s="21" t="s">
        <v>226</v>
      </c>
    </row>
    <row r="10" ht="42.0" customHeight="1">
      <c r="A10" s="48" t="s">
        <v>31</v>
      </c>
      <c r="B10" s="21" t="s">
        <v>227</v>
      </c>
      <c r="C10" s="22" t="s">
        <v>228</v>
      </c>
      <c r="D10" s="24" t="s">
        <v>229</v>
      </c>
      <c r="E10" s="25" t="s">
        <v>56</v>
      </c>
      <c r="F10" s="26" t="s">
        <v>230</v>
      </c>
      <c r="G10" s="26" t="s">
        <v>231</v>
      </c>
      <c r="H10" s="25">
        <v>4.0</v>
      </c>
      <c r="I10" s="25" t="s">
        <v>98</v>
      </c>
      <c r="J10" s="34" t="str">
        <f>'S04_최유진'!C7</f>
        <v>2022315533</v>
      </c>
      <c r="K10" s="35">
        <f>'S04_최유진'!C11</f>
        <v>4</v>
      </c>
      <c r="L10" s="19" t="str">
        <f t="shared" si="1"/>
        <v>✓ 일치</v>
      </c>
      <c r="M10" s="35">
        <f>'02_수집현황'!I41</f>
        <v>5</v>
      </c>
      <c r="N10" s="35">
        <f>'02_수집현황'!I42</f>
        <v>0</v>
      </c>
      <c r="O10" s="35">
        <f>'02_수집현황'!I43</f>
        <v>1</v>
      </c>
      <c r="P10" s="35">
        <f>'02_수집현황'!I44+'02_수집현황'!I45</f>
        <v>28</v>
      </c>
      <c r="Q10" s="46">
        <f>'02_수집현황'!I46</f>
        <v>0.1764705882</v>
      </c>
      <c r="R10" s="35">
        <f>'02_수집현황'!I47</f>
        <v>0</v>
      </c>
      <c r="S10" s="22" t="s">
        <v>240</v>
      </c>
    </row>
    <row r="11" ht="42.0" customHeight="1">
      <c r="A11" s="48" t="s">
        <v>32</v>
      </c>
      <c r="B11" s="21" t="s">
        <v>242</v>
      </c>
      <c r="C11" s="22" t="s">
        <v>243</v>
      </c>
      <c r="D11" s="24" t="s">
        <v>244</v>
      </c>
      <c r="E11" s="25" t="s">
        <v>58</v>
      </c>
      <c r="F11" s="26" t="s">
        <v>245</v>
      </c>
      <c r="G11" s="26" t="s">
        <v>247</v>
      </c>
      <c r="H11" s="25">
        <v>2.0</v>
      </c>
      <c r="I11" s="25" t="s">
        <v>98</v>
      </c>
      <c r="J11" s="34" t="str">
        <f>'S05_정하늘'!C7</f>
        <v>2025316290</v>
      </c>
      <c r="K11" s="35" t="str">
        <f>'S05_정하늘'!C11</f>
        <v>2학년</v>
      </c>
      <c r="L11" s="19" t="str">
        <f t="shared" si="1"/>
        <v>⚠ 불일치</v>
      </c>
      <c r="M11" s="35">
        <f>'02_수집현황'!J41</f>
        <v>19</v>
      </c>
      <c r="N11" s="35">
        <f>'02_수집현황'!J42</f>
        <v>9</v>
      </c>
      <c r="O11" s="35">
        <f>'02_수집현황'!J43</f>
        <v>0</v>
      </c>
      <c r="P11" s="35">
        <f>'02_수집현황'!J44+'02_수집현황'!J45</f>
        <v>6</v>
      </c>
      <c r="Q11" s="46">
        <f>'02_수집현황'!J46</f>
        <v>0.8235294118</v>
      </c>
      <c r="R11" s="35">
        <f>'02_수집현황'!J47</f>
        <v>3</v>
      </c>
      <c r="S11" s="22" t="s">
        <v>272</v>
      </c>
    </row>
    <row r="12" ht="42.0" customHeight="1">
      <c r="A12" s="48" t="s">
        <v>34</v>
      </c>
      <c r="B12" s="21" t="s">
        <v>273</v>
      </c>
      <c r="C12" s="22" t="s">
        <v>274</v>
      </c>
      <c r="D12" s="24" t="s">
        <v>275</v>
      </c>
      <c r="E12" s="25" t="s">
        <v>60</v>
      </c>
      <c r="F12" s="26" t="s">
        <v>86</v>
      </c>
      <c r="G12" s="26" t="s">
        <v>276</v>
      </c>
      <c r="H12" s="25">
        <v>3.0</v>
      </c>
      <c r="I12" s="25" t="s">
        <v>98</v>
      </c>
      <c r="J12" s="34" t="str">
        <f>'S06_한도윤'!C7</f>
        <v>2026317702</v>
      </c>
      <c r="K12" s="35">
        <f>'S06_한도윤'!C11</f>
        <v>4</v>
      </c>
      <c r="L12" s="19" t="str">
        <f t="shared" si="1"/>
        <v>⚠ 불일치</v>
      </c>
      <c r="M12" s="35">
        <f>'02_수집현황'!K41</f>
        <v>17</v>
      </c>
      <c r="N12" s="35">
        <f>'02_수집현황'!K42</f>
        <v>12</v>
      </c>
      <c r="O12" s="35">
        <f>'02_수집현황'!K43</f>
        <v>1</v>
      </c>
      <c r="P12" s="35">
        <f>'02_수집현황'!K44+'02_수집현황'!K45</f>
        <v>4</v>
      </c>
      <c r="Q12" s="46">
        <f>'02_수집현황'!K46</f>
        <v>0.8823529412</v>
      </c>
      <c r="R12" s="35">
        <f>'02_수집현황'!K47</f>
        <v>0</v>
      </c>
      <c r="S12" s="22" t="s">
        <v>283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S1"/>
    <mergeCell ref="A2:S2"/>
    <mergeCell ref="A4:C4"/>
    <mergeCell ref="D4:I4"/>
    <mergeCell ref="J4:L4"/>
    <mergeCell ref="M4:S4"/>
  </mergeCells>
  <conditionalFormatting sqref="L6:L12">
    <cfRule type="expression" dxfId="0" priority="1">
      <formula>LEFT(L6,1)="⚠"</formula>
    </cfRule>
  </conditionalFormatting>
  <conditionalFormatting sqref="R6:R12">
    <cfRule type="cellIs" dxfId="0" priority="2" operator="greaterThan">
      <formula>0</formula>
    </cfRule>
  </conditionalFormatting>
  <printOptions/>
  <pageMargins bottom="1.0" footer="0.0" header="0.0" left="0.75" right="0.75" top="1.0"/>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4.0" ySplit="5.0" topLeftCell="E6" activePane="bottomRight" state="frozen"/>
      <selection activeCell="E1" sqref="E1" pane="topRight"/>
      <selection activeCell="A6" sqref="A6" pane="bottomLeft"/>
      <selection activeCell="E6" sqref="E6" pane="bottomRight"/>
    </sheetView>
  </sheetViews>
  <sheetFormatPr customHeight="1" defaultColWidth="14.43" defaultRowHeight="15.0"/>
  <cols>
    <col customWidth="1" min="1" max="1" width="14.0"/>
    <col customWidth="1" min="2" max="2" width="5.0"/>
    <col customWidth="1" min="3" max="3" width="26.0"/>
    <col customWidth="1" min="4" max="4" width="18.0"/>
    <col customWidth="1" min="5" max="11" width="10.0"/>
    <col customWidth="1" min="12" max="26" width="8.71"/>
  </cols>
  <sheetData>
    <row r="1">
      <c r="A1" s="2" t="s">
        <v>5</v>
      </c>
    </row>
    <row r="2">
      <c r="A2" s="3" t="s">
        <v>9</v>
      </c>
    </row>
    <row r="4">
      <c r="A4" s="11" t="s">
        <v>12</v>
      </c>
      <c r="B4" s="12" t="s">
        <v>24</v>
      </c>
      <c r="C4" s="11" t="s">
        <v>25</v>
      </c>
      <c r="D4" s="11" t="s">
        <v>26</v>
      </c>
      <c r="E4" s="11" t="s">
        <v>27</v>
      </c>
      <c r="F4" s="12" t="s">
        <v>28</v>
      </c>
      <c r="G4" s="12" t="s">
        <v>29</v>
      </c>
      <c r="H4" s="12" t="s">
        <v>30</v>
      </c>
      <c r="I4" s="12" t="s">
        <v>31</v>
      </c>
      <c r="J4" s="12" t="s">
        <v>32</v>
      </c>
      <c r="K4" s="12" t="s">
        <v>34</v>
      </c>
    </row>
    <row r="5">
      <c r="A5" s="15"/>
      <c r="B5" s="15"/>
      <c r="C5" s="15"/>
      <c r="D5" s="15"/>
      <c r="E5" s="13" t="s">
        <v>48</v>
      </c>
      <c r="F5" s="13" t="s">
        <v>52</v>
      </c>
      <c r="G5" s="13" t="s">
        <v>53</v>
      </c>
      <c r="H5" s="13" t="s">
        <v>54</v>
      </c>
      <c r="I5" s="13" t="s">
        <v>56</v>
      </c>
      <c r="J5" s="13" t="s">
        <v>58</v>
      </c>
      <c r="K5" s="13" t="s">
        <v>60</v>
      </c>
    </row>
    <row r="6">
      <c r="A6" s="18" t="s">
        <v>65</v>
      </c>
      <c r="B6" s="20">
        <v>1.0</v>
      </c>
      <c r="C6" s="18" t="s">
        <v>70</v>
      </c>
      <c r="D6" s="18" t="s">
        <v>72</v>
      </c>
      <c r="E6" s="29" t="str">
        <f>IF('11_작성예시'!G23="","미선택",'11_작성예시'!G23)</f>
        <v>값 있음</v>
      </c>
      <c r="F6" s="29" t="str">
        <f>IF('S01_김민준'!G23="","미선택",'S01_김민준'!G23)</f>
        <v>값 있음</v>
      </c>
      <c r="G6" s="29" t="str">
        <f>IF('S02_이서연'!G23="","미선택",'S02_이서연'!G23)</f>
        <v>값 있음</v>
      </c>
      <c r="H6" s="29" t="str">
        <f>IF('S03_박지호'!G23="","미선택",'S03_박지호'!G23)</f>
        <v>값 있음</v>
      </c>
      <c r="I6" s="29" t="str">
        <f>IF('S04_최유진'!G23="","미선택",'S04_최유진'!G23)</f>
        <v>값 있음</v>
      </c>
      <c r="J6" s="29" t="str">
        <f>IF('S05_정하늘'!G23="","미선택",'S05_정하늘'!G23)</f>
        <v>값 있음</v>
      </c>
      <c r="K6" s="29" t="str">
        <f>IF('S06_한도윤'!G23="","미선택",'S06_한도윤'!G23)</f>
        <v>값 있음</v>
      </c>
    </row>
    <row r="7">
      <c r="A7" s="18" t="s">
        <v>125</v>
      </c>
      <c r="B7" s="20">
        <v>2.0</v>
      </c>
      <c r="C7" s="18" t="s">
        <v>127</v>
      </c>
      <c r="D7" s="18" t="s">
        <v>128</v>
      </c>
      <c r="E7" s="29" t="str">
        <f>IF('11_작성예시'!G39="","미선택",'11_작성예시'!G39)</f>
        <v>값 있음</v>
      </c>
      <c r="F7" s="29" t="str">
        <f>IF('S01_김민준'!G39="","미선택",'S01_김민준'!G39)</f>
        <v>값 있음</v>
      </c>
      <c r="G7" s="29" t="str">
        <f>IF('S02_이서연'!G39="","미선택",'S02_이서연'!G39)</f>
        <v>값 있음</v>
      </c>
      <c r="H7" s="29" t="str">
        <f>IF('S03_박지호'!G39="","미선택",'S03_박지호'!G39)</f>
        <v>값 있음</v>
      </c>
      <c r="I7" s="29" t="str">
        <f>IF('S04_최유진'!G39="","미선택",'S04_최유진'!G39)</f>
        <v>미선택</v>
      </c>
      <c r="J7" s="29" t="str">
        <f>IF('S05_정하늘'!G39="","미선택",'S05_정하늘'!G39)</f>
        <v>값 있음</v>
      </c>
      <c r="K7" s="29" t="str">
        <f>IF('S06_한도윤'!G39="","미선택",'S06_한도윤'!G39)</f>
        <v>값 있음</v>
      </c>
    </row>
    <row r="8">
      <c r="A8" s="18" t="s">
        <v>154</v>
      </c>
      <c r="B8" s="20">
        <v>3.0</v>
      </c>
      <c r="C8" s="18" t="s">
        <v>157</v>
      </c>
      <c r="D8" s="18" t="s">
        <v>159</v>
      </c>
      <c r="E8" s="29" t="str">
        <f>IF('11_작성예시'!G49="","미선택",'11_작성예시'!G49)</f>
        <v>값 있음</v>
      </c>
      <c r="F8" s="29" t="str">
        <f>IF('S01_김민준'!G49="","미선택",'S01_김민준'!G49)</f>
        <v>값 있음</v>
      </c>
      <c r="G8" s="29" t="str">
        <f>IF('S02_이서연'!G49="","미선택",'S02_이서연'!G49)</f>
        <v>값 있음</v>
      </c>
      <c r="H8" s="29" t="str">
        <f>IF('S03_박지호'!G49="","미선택",'S03_박지호'!G49)</f>
        <v>값 있음</v>
      </c>
      <c r="I8" s="29" t="str">
        <f>IF('S04_최유진'!G49="","미선택",'S04_최유진'!G49)</f>
        <v>값 있음</v>
      </c>
      <c r="J8" s="29" t="str">
        <f>IF('S05_정하늘'!G49="","미선택",'S05_정하늘'!G49)</f>
        <v>값 있음</v>
      </c>
      <c r="K8" s="29" t="str">
        <f>IF('S06_한도윤'!G49="","미선택",'S06_한도윤'!G49)</f>
        <v>값 있음</v>
      </c>
    </row>
    <row r="9">
      <c r="A9" s="56" t="s">
        <v>179</v>
      </c>
      <c r="B9" s="28">
        <v>4.0</v>
      </c>
      <c r="C9" s="56" t="s">
        <v>180</v>
      </c>
      <c r="D9" s="58" t="s">
        <v>181</v>
      </c>
      <c r="E9" s="29" t="str">
        <f>IF('11_작성예시'!G60="","미선택",'11_작성예시'!G60)</f>
        <v>값 있음</v>
      </c>
      <c r="F9" s="29" t="str">
        <f>IF('S01_김민준'!G60="","미선택",'S01_김민준'!G60)</f>
        <v>값 있음</v>
      </c>
      <c r="G9" s="29" t="str">
        <f>IF('S02_이서연'!G60="","미선택",'S02_이서연'!G60)</f>
        <v>해당 없음</v>
      </c>
      <c r="H9" s="29" t="str">
        <f>IF('S03_박지호'!G60="","미선택",'S03_박지호'!G60)</f>
        <v>값 있음</v>
      </c>
      <c r="I9" s="29" t="str">
        <f>IF('S04_최유진'!G60="","미선택",'S04_최유진'!G60)</f>
        <v>해당 없음</v>
      </c>
      <c r="J9" s="29" t="str">
        <f>IF('S05_정하늘'!G60="","미선택",'S05_정하늘'!G60)</f>
        <v>미선택</v>
      </c>
      <c r="K9" s="29" t="str">
        <f>IF('S06_한도윤'!G60="","미선택",'S06_한도윤'!G60)</f>
        <v>해당 없음</v>
      </c>
    </row>
    <row r="10">
      <c r="A10" s="18" t="s">
        <v>182</v>
      </c>
      <c r="B10" s="20">
        <v>5.0</v>
      </c>
      <c r="C10" s="61" t="s">
        <v>184</v>
      </c>
      <c r="D10" s="18" t="s">
        <v>128</v>
      </c>
      <c r="E10" s="29" t="str">
        <f>IF('11_작성예시'!G67="","미선택",'11_작성예시'!G67)</f>
        <v>값 있음</v>
      </c>
      <c r="F10" s="29" t="str">
        <f>IF('S01_김민준'!G67="","미선택",'S01_김민준'!G67)</f>
        <v>값 있음</v>
      </c>
      <c r="G10" s="29" t="str">
        <f>IF('S02_이서연'!G67="","미선택",'S02_이서연'!G67)</f>
        <v>미수집</v>
      </c>
      <c r="H10" s="29" t="str">
        <f>IF('S03_박지호'!G67="","미선택",'S03_박지호'!G67)</f>
        <v>값 있음</v>
      </c>
      <c r="I10" s="29" t="str">
        <f>IF('S04_최유진'!G67="","미선택",'S04_최유진'!G67)</f>
        <v>값 있음</v>
      </c>
      <c r="J10" s="29" t="str">
        <f>IF('S05_정하늘'!G67="","미선택",'S05_정하늘'!G67)</f>
        <v>값 있음</v>
      </c>
      <c r="K10" s="29" t="str">
        <f>IF('S06_한도윤'!G67="","미선택",'S06_한도윤'!G67)</f>
        <v>값 있음</v>
      </c>
    </row>
    <row r="11">
      <c r="A11" s="18" t="s">
        <v>203</v>
      </c>
      <c r="B11" s="20">
        <v>6.0</v>
      </c>
      <c r="C11" s="18" t="s">
        <v>204</v>
      </c>
      <c r="D11" s="18" t="s">
        <v>128</v>
      </c>
      <c r="E11" s="29" t="str">
        <f>IF('11_작성예시'!G76="","미선택",'11_작성예시'!G76)</f>
        <v>값 있음</v>
      </c>
      <c r="F11" s="29" t="str">
        <f>IF('S01_김민준'!G76="","미선택",'S01_김민준'!G76)</f>
        <v>값 있음</v>
      </c>
      <c r="G11" s="29" t="str">
        <f>IF('S02_이서연'!G76="","미선택",'S02_이서연'!G76)</f>
        <v>미수집</v>
      </c>
      <c r="H11" s="29" t="str">
        <f>IF('S03_박지호'!G76="","미선택",'S03_박지호'!G76)</f>
        <v>값 있음</v>
      </c>
      <c r="I11" s="29" t="str">
        <f>IF('S04_최유진'!G76="","미선택",'S04_최유진'!G76)</f>
        <v>미수집</v>
      </c>
      <c r="J11" s="29" t="str">
        <f>IF('S05_정하늘'!G76="","미선택",'S05_정하늘'!G76)</f>
        <v>값 있음</v>
      </c>
      <c r="K11" s="29" t="str">
        <f>IF('S06_한도윤'!G76="","미선택",'S06_한도윤'!G76)</f>
        <v>값 있음</v>
      </c>
    </row>
    <row r="12">
      <c r="A12" s="67" t="s">
        <v>221</v>
      </c>
      <c r="B12" s="68">
        <v>7.0</v>
      </c>
      <c r="C12" s="67" t="s">
        <v>225</v>
      </c>
      <c r="D12" s="67" t="s">
        <v>100</v>
      </c>
      <c r="E12" s="29" t="str">
        <f>IF('11_작성예시'!G83="","미선택",'11_작성예시'!G83)</f>
        <v>값 있음</v>
      </c>
      <c r="F12" s="29" t="str">
        <f>IF('S01_김민준'!G83="","미선택",'S01_김민준'!G83)</f>
        <v>값 있음</v>
      </c>
      <c r="G12" s="29" t="str">
        <f>IF('S02_이서연'!G83="","미선택",'S02_이서연'!G83)</f>
        <v>미수집</v>
      </c>
      <c r="H12" s="29" t="str">
        <f>IF('S03_박지호'!G83="","미선택",'S03_박지호'!G83)</f>
        <v>값 있음</v>
      </c>
      <c r="I12" s="29" t="str">
        <f>IF('S04_최유진'!G83="","미선택",'S04_최유진'!G83)</f>
        <v>미수집</v>
      </c>
      <c r="J12" s="29" t="str">
        <f>IF('S05_정하늘'!G83="","미선택",'S05_정하늘'!G83)</f>
        <v>미선택</v>
      </c>
      <c r="K12" s="29" t="str">
        <f>IF('S06_한도윤'!G83="","미선택",'S06_한도윤'!G83)</f>
        <v>값 있음</v>
      </c>
    </row>
    <row r="13">
      <c r="A13" s="18" t="s">
        <v>254</v>
      </c>
      <c r="B13" s="20">
        <v>8.0</v>
      </c>
      <c r="C13" s="18" t="s">
        <v>256</v>
      </c>
      <c r="D13" s="18" t="s">
        <v>258</v>
      </c>
      <c r="E13" s="29" t="str">
        <f>IF('11_작성예시'!G91="","미선택",'11_작성예시'!G91)</f>
        <v>값 있음</v>
      </c>
      <c r="F13" s="29" t="str">
        <f>IF('S01_김민준'!G91="","미선택",'S01_김민준'!G91)</f>
        <v>값 있음</v>
      </c>
      <c r="G13" s="29" t="str">
        <f>IF('S02_이서연'!G91="","미선택",'S02_이서연'!G91)</f>
        <v>활동 없음</v>
      </c>
      <c r="H13" s="29" t="str">
        <f>IF('S03_박지호'!G91="","미선택",'S03_박지호'!G91)</f>
        <v>활동 없음</v>
      </c>
      <c r="I13" s="29" t="str">
        <f>IF('S04_최유진'!G91="","미선택",'S04_최유진'!G91)</f>
        <v>미수집</v>
      </c>
      <c r="J13" s="29" t="str">
        <f>IF('S05_정하늘'!G91="","미선택",'S05_정하늘'!G91)</f>
        <v>활동 없음</v>
      </c>
      <c r="K13" s="29" t="str">
        <f>IF('S06_한도윤'!G91="","미선택",'S06_한도윤'!G91)</f>
        <v>활동 없음</v>
      </c>
    </row>
    <row r="14">
      <c r="A14" s="18" t="s">
        <v>277</v>
      </c>
      <c r="B14" s="20">
        <v>9.0</v>
      </c>
      <c r="C14" s="18" t="s">
        <v>278</v>
      </c>
      <c r="D14" s="18" t="s">
        <v>128</v>
      </c>
      <c r="E14" s="29" t="str">
        <f>IF('11_작성예시'!G100="","미선택",'11_작성예시'!G100)</f>
        <v>값 있음</v>
      </c>
      <c r="F14" s="29" t="str">
        <f>IF('S01_김민준'!G100="","미선택",'S01_김민준'!G100)</f>
        <v>값 있음</v>
      </c>
      <c r="G14" s="29" t="str">
        <f>IF('S02_이서연'!G100="","미선택",'S02_이서연'!G100)</f>
        <v>활동 없음</v>
      </c>
      <c r="H14" s="29" t="str">
        <f>IF('S03_박지호'!G100="","미선택",'S03_박지호'!G100)</f>
        <v>활동 없음</v>
      </c>
      <c r="I14" s="29" t="str">
        <f>IF('S04_최유진'!G100="","미선택",'S04_최유진'!G100)</f>
        <v>미수집</v>
      </c>
      <c r="J14" s="29" t="str">
        <f>IF('S05_정하늘'!G100="","미선택",'S05_정하늘'!G100)</f>
        <v>활동 없음</v>
      </c>
      <c r="K14" s="29" t="str">
        <f>IF('S06_한도윤'!G100="","미선택",'S06_한도윤'!G100)</f>
        <v>활동 없음</v>
      </c>
    </row>
    <row r="15">
      <c r="A15" s="56" t="s">
        <v>295</v>
      </c>
      <c r="B15" s="28">
        <v>10.0</v>
      </c>
      <c r="C15" s="58" t="s">
        <v>296</v>
      </c>
      <c r="D15" s="58" t="s">
        <v>297</v>
      </c>
      <c r="E15" s="29" t="str">
        <f>IF('11_작성예시'!G108="","미선택",'11_작성예시'!G108)</f>
        <v>값 있음</v>
      </c>
      <c r="F15" s="29" t="str">
        <f>IF('S01_김민준'!G108="","미선택",'S01_김민준'!G108)</f>
        <v>활동 없음</v>
      </c>
      <c r="G15" s="29" t="str">
        <f>IF('S02_이서연'!G108="","미선택",'S02_이서연'!G108)</f>
        <v>활동 없음</v>
      </c>
      <c r="H15" s="29" t="str">
        <f>IF('S03_박지호'!G108="","미선택",'S03_박지호'!G108)</f>
        <v>활동 없음</v>
      </c>
      <c r="I15" s="29" t="str">
        <f>IF('S04_최유진'!G108="","미선택",'S04_최유진'!G108)</f>
        <v>미선택</v>
      </c>
      <c r="J15" s="29" t="str">
        <f>IF('S05_정하늘'!G108="","미선택",'S05_정하늘'!G108)</f>
        <v>활동 없음</v>
      </c>
      <c r="K15" s="29" t="str">
        <f>IF('S06_한도윤'!G108="","미선택",'S06_한도윤'!G108)</f>
        <v>활동 없음</v>
      </c>
    </row>
    <row r="16">
      <c r="A16" s="18" t="s">
        <v>309</v>
      </c>
      <c r="B16" s="20">
        <v>11.0</v>
      </c>
      <c r="C16" s="18" t="s">
        <v>311</v>
      </c>
      <c r="D16" s="18" t="s">
        <v>312</v>
      </c>
      <c r="E16" s="29" t="str">
        <f>IF('11_작성예시'!G117="","미선택",'11_작성예시'!G117)</f>
        <v>값 있음</v>
      </c>
      <c r="F16" s="29" t="str">
        <f>IF('S01_김민준'!G117="","미선택",'S01_김민준'!G117)</f>
        <v>값 있음</v>
      </c>
      <c r="G16" s="29" t="str">
        <f>IF('S02_이서연'!G117="","미선택",'S02_이서연'!G117)</f>
        <v>값 있음</v>
      </c>
      <c r="H16" s="29" t="str">
        <f>IF('S03_박지호'!G117="","미선택",'S03_박지호'!G117)</f>
        <v>활동 없음</v>
      </c>
      <c r="I16" s="29" t="str">
        <f>IF('S04_최유진'!G117="","미선택",'S04_최유진'!G117)</f>
        <v>미수집</v>
      </c>
      <c r="J16" s="29" t="str">
        <f>IF('S05_정하늘'!G117="","미선택",'S05_정하늘'!G117)</f>
        <v>값 있음</v>
      </c>
      <c r="K16" s="29" t="str">
        <f>IF('S06_한도윤'!G117="","미선택",'S06_한도윤'!G117)</f>
        <v>활동 없음</v>
      </c>
    </row>
    <row r="17">
      <c r="A17" s="18" t="s">
        <v>328</v>
      </c>
      <c r="B17" s="20">
        <v>12.0</v>
      </c>
      <c r="C17" s="18" t="s">
        <v>330</v>
      </c>
      <c r="D17" s="18" t="s">
        <v>128</v>
      </c>
      <c r="E17" s="29" t="str">
        <f>IF('11_작성예시'!G125="","미선택",'11_작성예시'!G125)</f>
        <v>값 있음</v>
      </c>
      <c r="F17" s="29" t="str">
        <f>IF('S01_김민준'!G125="","미선택",'S01_김민준'!G125)</f>
        <v>값 있음</v>
      </c>
      <c r="G17" s="29" t="str">
        <f>IF('S02_이서연'!G125="","미선택",'S02_이서연'!G125)</f>
        <v>값 있음</v>
      </c>
      <c r="H17" s="29" t="str">
        <f>IF('S03_박지호'!G125="","미선택",'S03_박지호'!G125)</f>
        <v>활동 없음</v>
      </c>
      <c r="I17" s="29" t="str">
        <f>IF('S04_최유진'!G125="","미선택",'S04_최유진'!G125)</f>
        <v>미선택</v>
      </c>
      <c r="J17" s="29" t="str">
        <f>IF('S05_정하늘'!G125="","미선택",'S05_정하늘'!G125)</f>
        <v>활동 없음</v>
      </c>
      <c r="K17" s="29" t="str">
        <f>IF('S06_한도윤'!G125="","미선택",'S06_한도윤'!G125)</f>
        <v>활동 없음</v>
      </c>
    </row>
    <row r="18">
      <c r="A18" s="67" t="s">
        <v>348</v>
      </c>
      <c r="B18" s="68">
        <v>13.0</v>
      </c>
      <c r="C18" s="67" t="s">
        <v>349</v>
      </c>
      <c r="D18" s="67" t="s">
        <v>100</v>
      </c>
      <c r="E18" s="29" t="str">
        <f>IF('11_작성예시'!G133="","미선택",'11_작성예시'!G133)</f>
        <v>값 있음</v>
      </c>
      <c r="F18" s="29" t="str">
        <f>IF('S01_김민준'!G133="","미선택",'S01_김민준'!G133)</f>
        <v>값 있음</v>
      </c>
      <c r="G18" s="29" t="str">
        <f>IF('S02_이서연'!G133="","미선택",'S02_이서연'!G133)</f>
        <v>값 있음</v>
      </c>
      <c r="H18" s="29" t="str">
        <f>IF('S03_박지호'!G133="","미선택",'S03_박지호'!G133)</f>
        <v>값 있음</v>
      </c>
      <c r="I18" s="29" t="str">
        <f>IF('S04_최유진'!G133="","미선택",'S04_최유진'!G133)</f>
        <v>미수집</v>
      </c>
      <c r="J18" s="29" t="str">
        <f>IF('S05_정하늘'!G133="","미선택",'S05_정하늘'!G133)</f>
        <v>값 있음</v>
      </c>
      <c r="K18" s="29" t="str">
        <f>IF('S06_한도윤'!G133="","미선택",'S06_한도윤'!G133)</f>
        <v>값 있음</v>
      </c>
    </row>
    <row r="19">
      <c r="A19" s="18" t="s">
        <v>357</v>
      </c>
      <c r="B19" s="20">
        <v>14.0</v>
      </c>
      <c r="C19" s="18" t="s">
        <v>358</v>
      </c>
      <c r="D19" s="18" t="s">
        <v>359</v>
      </c>
      <c r="E19" s="29" t="str">
        <f>IF('11_작성예시'!G141="","미선택",'11_작성예시'!G141)</f>
        <v>값 있음</v>
      </c>
      <c r="F19" s="29" t="str">
        <f>IF('S01_김민준'!G141="","미선택",'S01_김민준'!G141)</f>
        <v>값 있음</v>
      </c>
      <c r="G19" s="29" t="str">
        <f>IF('S02_이서연'!G141="","미선택",'S02_이서연'!G141)</f>
        <v>값 있음</v>
      </c>
      <c r="H19" s="29" t="str">
        <f>IF('S03_박지호'!G141="","미선택",'S03_박지호'!G141)</f>
        <v>활동 없음</v>
      </c>
      <c r="I19" s="29" t="str">
        <f>IF('S04_최유진'!G141="","미선택",'S04_최유진'!G141)</f>
        <v>미수집</v>
      </c>
      <c r="J19" s="29" t="str">
        <f>IF('S05_정하늘'!G141="","미선택",'S05_정하늘'!G141)</f>
        <v>값 있음</v>
      </c>
      <c r="K19" s="29" t="str">
        <f>IF('S06_한도윤'!G141="","미선택",'S06_한도윤'!G141)</f>
        <v>활동 없음</v>
      </c>
    </row>
    <row r="20">
      <c r="A20" s="18" t="s">
        <v>373</v>
      </c>
      <c r="B20" s="20">
        <v>15.0</v>
      </c>
      <c r="C20" s="18" t="s">
        <v>374</v>
      </c>
      <c r="D20" s="18" t="s">
        <v>375</v>
      </c>
      <c r="E20" s="29" t="str">
        <f>IF('11_작성예시'!G151="","미선택",'11_작성예시'!G151)</f>
        <v>값 있음</v>
      </c>
      <c r="F20" s="29" t="str">
        <f>IF('S01_김민준'!G151="","미선택",'S01_김민준'!G151)</f>
        <v>활동 없음</v>
      </c>
      <c r="G20" s="29" t="str">
        <f>IF('S02_이서연'!G151="","미선택",'S02_이서연'!G151)</f>
        <v>활동 없음</v>
      </c>
      <c r="H20" s="29" t="str">
        <f>IF('S03_박지호'!G151="","미선택",'S03_박지호'!G151)</f>
        <v>활동 없음</v>
      </c>
      <c r="I20" s="29" t="str">
        <f>IF('S04_최유진'!G151="","미선택",'S04_최유진'!G151)</f>
        <v>미선택</v>
      </c>
      <c r="J20" s="29" t="str">
        <f>IF('S05_정하늘'!G151="","미선택",'S05_정하늘'!G151)</f>
        <v>활동 없음</v>
      </c>
      <c r="K20" s="29" t="str">
        <f>IF('S06_한도윤'!G151="","미선택",'S06_한도윤'!G151)</f>
        <v>활동 없음</v>
      </c>
    </row>
    <row r="21" ht="15.75" customHeight="1">
      <c r="A21" s="56" t="s">
        <v>393</v>
      </c>
      <c r="B21" s="28">
        <v>16.0</v>
      </c>
      <c r="C21" s="56" t="s">
        <v>394</v>
      </c>
      <c r="D21" s="58" t="s">
        <v>395</v>
      </c>
      <c r="E21" s="29" t="str">
        <f>IF('11_작성예시'!G158="","미선택",'11_작성예시'!G158)</f>
        <v>값 있음</v>
      </c>
      <c r="F21" s="29" t="str">
        <f>IF('S01_김민준'!G158="","미선택",'S01_김민준'!G158)</f>
        <v>활동 없음</v>
      </c>
      <c r="G21" s="29" t="str">
        <f>IF('S02_이서연'!G158="","미선택",'S02_이서연'!G158)</f>
        <v>활동 없음</v>
      </c>
      <c r="H21" s="29" t="str">
        <f>IF('S03_박지호'!G158="","미선택",'S03_박지호'!G158)</f>
        <v>활동 없음</v>
      </c>
      <c r="I21" s="29" t="str">
        <f>IF('S04_최유진'!G158="","미선택",'S04_최유진'!G158)</f>
        <v>미선택</v>
      </c>
      <c r="J21" s="29" t="str">
        <f>IF('S05_정하늘'!G158="","미선택",'S05_정하늘'!G158)</f>
        <v>활동 없음</v>
      </c>
      <c r="K21" s="29" t="str">
        <f>IF('S06_한도윤'!G158="","미선택",'S06_한도윤'!G158)</f>
        <v>활동 없음</v>
      </c>
    </row>
    <row r="22" ht="15.75" customHeight="1">
      <c r="A22" s="18" t="s">
        <v>418</v>
      </c>
      <c r="B22" s="20">
        <v>17.0</v>
      </c>
      <c r="C22" s="18" t="s">
        <v>421</v>
      </c>
      <c r="D22" s="18" t="s">
        <v>423</v>
      </c>
      <c r="E22" s="29" t="str">
        <f>IF('11_작성예시'!G166="","미선택",'11_작성예시'!G166)</f>
        <v>값 있음</v>
      </c>
      <c r="F22" s="29" t="str">
        <f>IF('S01_김민준'!G166="","미선택",'S01_김민준'!G166)</f>
        <v>활동 없음</v>
      </c>
      <c r="G22" s="29" t="str">
        <f>IF('S02_이서연'!G166="","미선택",'S02_이서연'!G166)</f>
        <v>활동 없음</v>
      </c>
      <c r="H22" s="29" t="str">
        <f>IF('S03_박지호'!G166="","미선택",'S03_박지호'!G166)</f>
        <v>활동 없음</v>
      </c>
      <c r="I22" s="29" t="str">
        <f>IF('S04_최유진'!G166="","미선택",'S04_최유진'!G166)</f>
        <v>미선택</v>
      </c>
      <c r="J22" s="29" t="str">
        <f>IF('S05_정하늘'!G166="","미선택",'S05_정하늘'!G166)</f>
        <v>미선택</v>
      </c>
      <c r="K22" s="29" t="str">
        <f>IF('S06_한도윤'!G166="","미선택",'S06_한도윤'!G166)</f>
        <v>값 있음</v>
      </c>
    </row>
    <row r="23" ht="15.75" customHeight="1">
      <c r="A23" s="56" t="s">
        <v>418</v>
      </c>
      <c r="B23" s="28">
        <v>18.0</v>
      </c>
      <c r="C23" s="56" t="s">
        <v>431</v>
      </c>
      <c r="D23" s="58" t="s">
        <v>432</v>
      </c>
      <c r="E23" s="29" t="str">
        <f>IF('11_작성예시'!G174="","미선택",'11_작성예시'!G174)</f>
        <v>값 있음</v>
      </c>
      <c r="F23" s="29" t="str">
        <f>IF('S01_김민준'!G174="","미선택",'S01_김민준'!G174)</f>
        <v>값 있음</v>
      </c>
      <c r="G23" s="29" t="str">
        <f>IF('S02_이서연'!G174="","미선택",'S02_이서연'!G174)</f>
        <v>값 있음</v>
      </c>
      <c r="H23" s="29" t="str">
        <f>IF('S03_박지호'!G174="","미선택",'S03_박지호'!G174)</f>
        <v>값 있음</v>
      </c>
      <c r="I23" s="29" t="str">
        <f>IF('S04_최유진'!G174="","미선택",'S04_최유진'!G174)</f>
        <v>미선택</v>
      </c>
      <c r="J23" s="29" t="str">
        <f>IF('S05_정하늘'!G174="","미선택",'S05_정하늘'!G174)</f>
        <v>값 있음</v>
      </c>
      <c r="K23" s="29" t="str">
        <f>IF('S06_한도윤'!G174="","미선택",'S06_한도윤'!G174)</f>
        <v>값 있음</v>
      </c>
    </row>
    <row r="24" ht="15.75" customHeight="1">
      <c r="A24" s="18" t="s">
        <v>442</v>
      </c>
      <c r="B24" s="20">
        <v>19.0</v>
      </c>
      <c r="C24" s="61" t="s">
        <v>443</v>
      </c>
      <c r="D24" s="18" t="s">
        <v>444</v>
      </c>
      <c r="E24" s="29" t="str">
        <f>IF('11_작성예시'!G181="","미선택",'11_작성예시'!G181)</f>
        <v>값 있음</v>
      </c>
      <c r="F24" s="29" t="str">
        <f>IF('S01_김민준'!G181="","미선택",'S01_김민준'!G181)</f>
        <v>값 있음</v>
      </c>
      <c r="G24" s="29" t="str">
        <f>IF('S02_이서연'!G181="","미선택",'S02_이서연'!G181)</f>
        <v>값 있음</v>
      </c>
      <c r="H24" s="29" t="str">
        <f>IF('S03_박지호'!G181="","미선택",'S03_박지호'!G181)</f>
        <v>값 있음</v>
      </c>
      <c r="I24" s="29" t="str">
        <f>IF('S04_최유진'!G181="","미선택",'S04_최유진'!G181)</f>
        <v>미수집</v>
      </c>
      <c r="J24" s="29" t="str">
        <f>IF('S05_정하늘'!G181="","미선택",'S05_정하늘'!G181)</f>
        <v>값 있음</v>
      </c>
      <c r="K24" s="29" t="str">
        <f>IF('S06_한도윤'!G181="","미선택",'S06_한도윤'!G181)</f>
        <v>미수집</v>
      </c>
    </row>
    <row r="25" ht="15.75" customHeight="1">
      <c r="A25" s="56" t="s">
        <v>468</v>
      </c>
      <c r="B25" s="28">
        <v>20.0</v>
      </c>
      <c r="C25" s="58" t="s">
        <v>470</v>
      </c>
      <c r="D25" s="58" t="s">
        <v>472</v>
      </c>
      <c r="E25" s="29" t="str">
        <f>IF('11_작성예시'!G190="","미선택",'11_작성예시'!G190)</f>
        <v>값 있음</v>
      </c>
      <c r="F25" s="29" t="str">
        <f>IF('S01_김민준'!G190="","미선택",'S01_김민준'!G190)</f>
        <v>값 있음</v>
      </c>
      <c r="G25" s="29" t="str">
        <f>IF('S02_이서연'!G190="","미선택",'S02_이서연'!G190)</f>
        <v>활동 없음</v>
      </c>
      <c r="H25" s="29" t="str">
        <f>IF('S03_박지호'!G190="","미선택",'S03_박지호'!G190)</f>
        <v>활동 없음</v>
      </c>
      <c r="I25" s="29" t="str">
        <f>IF('S04_최유진'!G190="","미선택",'S04_최유진'!G190)</f>
        <v>미선택</v>
      </c>
      <c r="J25" s="29" t="str">
        <f>IF('S05_정하늘'!G190="","미선택",'S05_정하늘'!G190)</f>
        <v>활동 없음</v>
      </c>
      <c r="K25" s="29" t="str">
        <f>IF('S06_한도윤'!G190="","미선택",'S06_한도윤'!G190)</f>
        <v>활동 없음</v>
      </c>
    </row>
    <row r="26" ht="15.75" customHeight="1">
      <c r="A26" s="18" t="s">
        <v>502</v>
      </c>
      <c r="B26" s="20">
        <v>21.0</v>
      </c>
      <c r="C26" s="18" t="s">
        <v>504</v>
      </c>
      <c r="D26" s="18" t="s">
        <v>128</v>
      </c>
      <c r="E26" s="29" t="str">
        <f>IF('11_작성예시'!G198="","미선택",'11_작성예시'!G198)</f>
        <v>값 있음</v>
      </c>
      <c r="F26" s="29" t="str">
        <f>IF('S01_김민준'!G198="","미선택",'S01_김민준'!G198)</f>
        <v>값 있음</v>
      </c>
      <c r="G26" s="29" t="str">
        <f>IF('S02_이서연'!G198="","미선택",'S02_이서연'!G198)</f>
        <v>값 있음</v>
      </c>
      <c r="H26" s="29" t="str">
        <f>IF('S03_박지호'!G198="","미선택",'S03_박지호'!G198)</f>
        <v>값 있음</v>
      </c>
      <c r="I26" s="29" t="str">
        <f>IF('S04_최유진'!G198="","미선택",'S04_최유진'!G198)</f>
        <v>미선택</v>
      </c>
      <c r="J26" s="29" t="str">
        <f>IF('S05_정하늘'!G198="","미선택",'S05_정하늘'!G198)</f>
        <v>값 있음</v>
      </c>
      <c r="K26" s="29" t="str">
        <f>IF('S06_한도윤'!G198="","미선택",'S06_한도윤'!G198)</f>
        <v>값 있음</v>
      </c>
    </row>
    <row r="27" ht="15.75" customHeight="1">
      <c r="A27" s="18" t="s">
        <v>530</v>
      </c>
      <c r="B27" s="20">
        <v>22.0</v>
      </c>
      <c r="C27" s="18" t="s">
        <v>534</v>
      </c>
      <c r="D27" s="18" t="s">
        <v>535</v>
      </c>
      <c r="E27" s="29" t="str">
        <f>IF('11_작성예시'!G208="","미선택",'11_작성예시'!G208)</f>
        <v>값 있음</v>
      </c>
      <c r="F27" s="29" t="str">
        <f>IF('S01_김민준'!G208="","미선택",'S01_김민준'!G208)</f>
        <v>값 있음</v>
      </c>
      <c r="G27" s="29" t="str">
        <f>IF('S02_이서연'!G208="","미선택",'S02_이서연'!G208)</f>
        <v>값 있음</v>
      </c>
      <c r="H27" s="29" t="str">
        <f>IF('S03_박지호'!G208="","미선택",'S03_박지호'!G208)</f>
        <v>값 있음</v>
      </c>
      <c r="I27" s="29" t="str">
        <f>IF('S04_최유진'!G208="","미선택",'S04_최유진'!G208)</f>
        <v>미수집</v>
      </c>
      <c r="J27" s="29" t="str">
        <f>IF('S05_정하늘'!G208="","미선택",'S05_정하늘'!G208)</f>
        <v>값 있음</v>
      </c>
      <c r="K27" s="29" t="str">
        <f>IF('S06_한도윤'!G208="","미선택",'S06_한도윤'!G208)</f>
        <v>값 있음</v>
      </c>
    </row>
    <row r="28" ht="15.75" customHeight="1">
      <c r="A28" s="18" t="s">
        <v>562</v>
      </c>
      <c r="B28" s="20">
        <v>23.0</v>
      </c>
      <c r="C28" s="18" t="s">
        <v>564</v>
      </c>
      <c r="D28" s="18" t="s">
        <v>565</v>
      </c>
      <c r="E28" s="29" t="str">
        <f>IF('11_작성예시'!G217="","미선택",'11_작성예시'!G217)</f>
        <v>값 있음</v>
      </c>
      <c r="F28" s="29" t="str">
        <f>IF('S01_김민준'!G217="","미선택",'S01_김민준'!G217)</f>
        <v>값 있음</v>
      </c>
      <c r="G28" s="29" t="str">
        <f>IF('S02_이서연'!G217="","미선택",'S02_이서연'!G217)</f>
        <v>값 있음</v>
      </c>
      <c r="H28" s="29" t="str">
        <f>IF('S03_박지호'!G217="","미선택",'S03_박지호'!G217)</f>
        <v>값 있음</v>
      </c>
      <c r="I28" s="29" t="str">
        <f>IF('S04_최유진'!G217="","미선택",'S04_최유진'!G217)</f>
        <v>미수집</v>
      </c>
      <c r="J28" s="29" t="str">
        <f>IF('S05_정하늘'!G217="","미선택",'S05_정하늘'!G217)</f>
        <v>값 있음</v>
      </c>
      <c r="K28" s="29" t="str">
        <f>IF('S06_한도윤'!G217="","미선택",'S06_한도윤'!G217)</f>
        <v>값 있음</v>
      </c>
    </row>
    <row r="29" ht="15.75" customHeight="1">
      <c r="A29" s="67" t="s">
        <v>584</v>
      </c>
      <c r="B29" s="68">
        <v>24.0</v>
      </c>
      <c r="C29" s="67" t="s">
        <v>585</v>
      </c>
      <c r="D29" s="67" t="s">
        <v>100</v>
      </c>
      <c r="E29" s="29" t="str">
        <f>IF('11_작성예시'!G227="","미선택",'11_작성예시'!G227)</f>
        <v>값 있음</v>
      </c>
      <c r="F29" s="29" t="str">
        <f>IF('S01_김민준'!G227="","미선택",'S01_김민준'!G227)</f>
        <v>값 있음</v>
      </c>
      <c r="G29" s="29" t="str">
        <f>IF('S02_이서연'!G227="","미선택",'S02_이서연'!G227)</f>
        <v>활동 없음</v>
      </c>
      <c r="H29" s="29" t="str">
        <f>IF('S03_박지호'!G227="","미선택",'S03_박지호'!G227)</f>
        <v>활동 없음</v>
      </c>
      <c r="I29" s="29" t="str">
        <f>IF('S04_최유진'!G227="","미선택",'S04_최유진'!G227)</f>
        <v>미선택</v>
      </c>
      <c r="J29" s="29" t="str">
        <f>IF('S05_정하늘'!G227="","미선택",'S05_정하늘'!G227)</f>
        <v>활동 없음</v>
      </c>
      <c r="K29" s="29" t="str">
        <f>IF('S06_한도윤'!G227="","미선택",'S06_한도윤'!G227)</f>
        <v>값 있음</v>
      </c>
    </row>
    <row r="30" ht="15.75" customHeight="1">
      <c r="A30" s="67" t="s">
        <v>610</v>
      </c>
      <c r="B30" s="68">
        <v>25.0</v>
      </c>
      <c r="C30" s="67" t="s">
        <v>611</v>
      </c>
      <c r="D30" s="67" t="s">
        <v>100</v>
      </c>
      <c r="E30" s="29" t="str">
        <f>IF('11_작성예시'!G235="","미선택",'11_작성예시'!G235)</f>
        <v>값 있음</v>
      </c>
      <c r="F30" s="29" t="str">
        <f>IF('S01_김민준'!G235="","미선택",'S01_김민준'!G235)</f>
        <v>값 있음</v>
      </c>
      <c r="G30" s="29" t="str">
        <f>IF('S02_이서연'!G235="","미선택",'S02_이서연'!G235)</f>
        <v>미수집</v>
      </c>
      <c r="H30" s="29" t="str">
        <f>IF('S03_박지호'!G235="","미선택",'S03_박지호'!G235)</f>
        <v>활동 없음</v>
      </c>
      <c r="I30" s="29" t="str">
        <f>IF('S04_최유진'!G235="","미선택",'S04_최유진'!G235)</f>
        <v>미선택</v>
      </c>
      <c r="J30" s="29" t="str">
        <f>IF('S05_정하늘'!G235="","미선택",'S05_정하늘'!G235)</f>
        <v>미수집</v>
      </c>
      <c r="K30" s="29" t="str">
        <f>IF('S06_한도윤'!G235="","미선택",'S06_한도윤'!G235)</f>
        <v>활동 없음</v>
      </c>
    </row>
    <row r="31" ht="15.75" customHeight="1">
      <c r="A31" s="18" t="s">
        <v>631</v>
      </c>
      <c r="B31" s="20">
        <v>26.0</v>
      </c>
      <c r="C31" s="18" t="s">
        <v>634</v>
      </c>
      <c r="D31" s="18" t="s">
        <v>637</v>
      </c>
      <c r="E31" s="29" t="str">
        <f>IF('11_작성예시'!G245="","미선택",'11_작성예시'!G245)</f>
        <v>값 있음</v>
      </c>
      <c r="F31" s="29" t="str">
        <f>IF('S01_김민준'!G245="","미선택",'S01_김민준'!G245)</f>
        <v>값 있음</v>
      </c>
      <c r="G31" s="29" t="str">
        <f>IF('S02_이서연'!G245="","미선택",'S02_이서연'!G245)</f>
        <v>값 있음</v>
      </c>
      <c r="H31" s="29" t="str">
        <f>IF('S03_박지호'!G245="","미선택",'S03_박지호'!G245)</f>
        <v>미수집</v>
      </c>
      <c r="I31" s="29" t="str">
        <f>IF('S04_최유진'!G245="","미선택",'S04_최유진'!G245)</f>
        <v>미수집</v>
      </c>
      <c r="J31" s="29" t="str">
        <f>IF('S05_정하늘'!G245="","미선택",'S05_정하늘'!G245)</f>
        <v>값 있음</v>
      </c>
      <c r="K31" s="29" t="str">
        <f>IF('S06_한도윤'!G245="","미선택",'S06_한도윤'!G245)</f>
        <v>값 있음</v>
      </c>
    </row>
    <row r="32" ht="15.75" customHeight="1">
      <c r="A32" s="18" t="s">
        <v>655</v>
      </c>
      <c r="B32" s="20">
        <v>27.0</v>
      </c>
      <c r="C32" s="18" t="s">
        <v>658</v>
      </c>
      <c r="D32" s="18" t="s">
        <v>661</v>
      </c>
      <c r="E32" s="29" t="str">
        <f>IF('11_작성예시'!G254="","미선택",'11_작성예시'!G254)</f>
        <v>값 있음</v>
      </c>
      <c r="F32" s="29" t="str">
        <f>IF('S01_김민준'!G254="","미선택",'S01_김민준'!G254)</f>
        <v>값 있음</v>
      </c>
      <c r="G32" s="29" t="str">
        <f>IF('S02_이서연'!G254="","미선택",'S02_이서연'!G254)</f>
        <v>값 있음</v>
      </c>
      <c r="H32" s="29" t="str">
        <f>IF('S03_박지호'!G254="","미선택",'S03_박지호'!G254)</f>
        <v>활동 없음</v>
      </c>
      <c r="I32" s="29" t="str">
        <f>IF('S04_최유진'!G254="","미선택",'S04_최유진'!G254)</f>
        <v>미수집</v>
      </c>
      <c r="J32" s="29" t="str">
        <f>IF('S05_정하늘'!G254="","미선택",'S05_정하늘'!G254)</f>
        <v>값 있음</v>
      </c>
      <c r="K32" s="29" t="str">
        <f>IF('S06_한도윤'!G254="","미선택",'S06_한도윤'!G254)</f>
        <v>활동 없음</v>
      </c>
    </row>
    <row r="33" ht="15.75" customHeight="1">
      <c r="A33" s="56" t="s">
        <v>705</v>
      </c>
      <c r="B33" s="28">
        <v>28.0</v>
      </c>
      <c r="C33" s="56" t="s">
        <v>706</v>
      </c>
      <c r="D33" s="58" t="s">
        <v>707</v>
      </c>
      <c r="E33" s="29" t="str">
        <f>IF('11_작성예시'!G264="","미선택",'11_작성예시'!G264)</f>
        <v>값 있음</v>
      </c>
      <c r="F33" s="29" t="str">
        <f>IF('S01_김민준'!G264="","미선택",'S01_김민준'!G264)</f>
        <v>활동 없음</v>
      </c>
      <c r="G33" s="29" t="str">
        <f>IF('S02_이서연'!G264="","미선택",'S02_이서연'!G264)</f>
        <v>활동 없음</v>
      </c>
      <c r="H33" s="29" t="str">
        <f>IF('S03_박지호'!G264="","미선택",'S03_박지호'!G264)</f>
        <v>활동 없음</v>
      </c>
      <c r="I33" s="29" t="str">
        <f>IF('S04_최유진'!G264="","미선택",'S04_최유진'!G264)</f>
        <v>미선택</v>
      </c>
      <c r="J33" s="29" t="str">
        <f>IF('S05_정하늘'!G264="","미선택",'S05_정하늘'!G264)</f>
        <v>활동 없음</v>
      </c>
      <c r="K33" s="29" t="str">
        <f>IF('S06_한도윤'!G264="","미선택",'S06_한도윤'!G264)</f>
        <v>활동 없음</v>
      </c>
    </row>
    <row r="34" ht="15.75" customHeight="1">
      <c r="A34" s="56" t="s">
        <v>717</v>
      </c>
      <c r="B34" s="28">
        <v>29.0</v>
      </c>
      <c r="C34" s="58" t="s">
        <v>718</v>
      </c>
      <c r="D34" s="58" t="s">
        <v>719</v>
      </c>
      <c r="E34" s="29" t="str">
        <f>IF('11_작성예시'!G271="","미선택",'11_작성예시'!G271)</f>
        <v>값 있음</v>
      </c>
      <c r="F34" s="29" t="str">
        <f>IF('S01_김민준'!G271="","미선택",'S01_김민준'!G271)</f>
        <v>값 있음</v>
      </c>
      <c r="G34" s="29" t="str">
        <f>IF('S02_이서연'!G271="","미선택",'S02_이서연'!G271)</f>
        <v>값 있음</v>
      </c>
      <c r="H34" s="29" t="str">
        <f>IF('S03_박지호'!G271="","미선택",'S03_박지호'!G271)</f>
        <v>값 있음</v>
      </c>
      <c r="I34" s="29" t="str">
        <f>IF('S04_최유진'!G271="","미선택",'S04_최유진'!G271)</f>
        <v>값 있음</v>
      </c>
      <c r="J34" s="29" t="str">
        <f>IF('S05_정하늘'!G271="","미선택",'S05_정하늘'!G271)</f>
        <v>값 있음</v>
      </c>
      <c r="K34" s="29" t="str">
        <f>IF('S06_한도윤'!G271="","미선택",'S06_한도윤'!G271)</f>
        <v>값 있음</v>
      </c>
    </row>
    <row r="35" ht="15.75" customHeight="1">
      <c r="A35" s="56" t="s">
        <v>742</v>
      </c>
      <c r="B35" s="28">
        <v>30.0</v>
      </c>
      <c r="C35" s="56" t="s">
        <v>743</v>
      </c>
      <c r="D35" s="58" t="s">
        <v>744</v>
      </c>
      <c r="E35" s="29" t="str">
        <f>IF('11_작성예시'!G279="","미선택",'11_작성예시'!G279)</f>
        <v>값 있음</v>
      </c>
      <c r="F35" s="29" t="str">
        <f>IF('S01_김민준'!G279="","미선택",'S01_김민준'!G279)</f>
        <v>값 있음</v>
      </c>
      <c r="G35" s="29" t="str">
        <f>IF('S02_이서연'!G279="","미선택",'S02_이서연'!G279)</f>
        <v>값 있음</v>
      </c>
      <c r="H35" s="29" t="str">
        <f>IF('S03_박지호'!G279="","미선택",'S03_박지호'!G279)</f>
        <v>값 있음</v>
      </c>
      <c r="I35" s="29" t="str">
        <f>IF('S04_최유진'!G279="","미선택",'S04_최유진'!G279)</f>
        <v>값 있음</v>
      </c>
      <c r="J35" s="29" t="str">
        <f>IF('S05_정하늘'!G279="","미선택",'S05_정하늘'!G279)</f>
        <v>값 있음</v>
      </c>
      <c r="K35" s="29" t="str">
        <f>IF('S06_한도윤'!G279="","미선택",'S06_한도윤'!G279)</f>
        <v>값 있음</v>
      </c>
    </row>
    <row r="36" ht="15.75" customHeight="1">
      <c r="A36" s="56" t="s">
        <v>770</v>
      </c>
      <c r="B36" s="28">
        <v>31.0</v>
      </c>
      <c r="C36" s="58" t="s">
        <v>771</v>
      </c>
      <c r="D36" s="58" t="s">
        <v>772</v>
      </c>
      <c r="E36" s="29" t="str">
        <f>IF('11_작성예시'!G286="","미선택",'11_작성예시'!G286)</f>
        <v>값 있음</v>
      </c>
      <c r="F36" s="29" t="str">
        <f>IF('S01_김민준'!G286="","미선택",'S01_김민준'!G286)</f>
        <v>값 있음</v>
      </c>
      <c r="G36" s="29" t="str">
        <f>IF('S02_이서연'!G286="","미선택",'S02_이서연'!G286)</f>
        <v>미수집</v>
      </c>
      <c r="H36" s="29" t="str">
        <f>IF('S03_박지호'!G286="","미선택",'S03_박지호'!G286)</f>
        <v>값 있음</v>
      </c>
      <c r="I36" s="29" t="str">
        <f>IF('S04_최유진'!G286="","미선택",'S04_최유진'!G286)</f>
        <v>미선택</v>
      </c>
      <c r="J36" s="29" t="str">
        <f>IF('S05_정하늘'!G286="","미선택",'S05_정하늘'!G286)</f>
        <v>값 있음</v>
      </c>
      <c r="K36" s="29" t="str">
        <f>IF('S06_한도윤'!G286="","미선택",'S06_한도윤'!G286)</f>
        <v>미수집</v>
      </c>
    </row>
    <row r="37" ht="15.75" customHeight="1">
      <c r="A37" s="56" t="s">
        <v>784</v>
      </c>
      <c r="B37" s="28">
        <v>32.0</v>
      </c>
      <c r="C37" s="56" t="s">
        <v>786</v>
      </c>
      <c r="D37" s="58" t="s">
        <v>788</v>
      </c>
      <c r="E37" s="29" t="str">
        <f>IF('11_작성예시'!G298="","미선택",'11_작성예시'!G298)</f>
        <v>값 있음</v>
      </c>
      <c r="F37" s="29" t="str">
        <f>IF('S01_김민준'!G298="","미선택",'S01_김민준'!G298)</f>
        <v>값 있음</v>
      </c>
      <c r="G37" s="29" t="str">
        <f>IF('S02_이서연'!G298="","미선택",'S02_이서연'!G298)</f>
        <v>미수집</v>
      </c>
      <c r="H37" s="29" t="str">
        <f>IF('S03_박지호'!G298="","미선택",'S03_박지호'!G298)</f>
        <v>값 있음</v>
      </c>
      <c r="I37" s="29" t="str">
        <f>IF('S04_최유진'!G298="","미선택",'S04_최유진'!G298)</f>
        <v>미선택</v>
      </c>
      <c r="J37" s="29" t="str">
        <f>IF('S05_정하늘'!G298="","미선택",'S05_정하늘'!G298)</f>
        <v>미수집</v>
      </c>
      <c r="K37" s="29" t="str">
        <f>IF('S06_한도윤'!G298="","미선택",'S06_한도윤'!G298)</f>
        <v>미수집</v>
      </c>
    </row>
    <row r="38" ht="15.75" customHeight="1">
      <c r="A38" s="67" t="s">
        <v>810</v>
      </c>
      <c r="B38" s="68">
        <v>33.0</v>
      </c>
      <c r="C38" s="67" t="s">
        <v>812</v>
      </c>
      <c r="D38" s="67" t="s">
        <v>100</v>
      </c>
      <c r="E38" s="29" t="str">
        <f>IF('11_작성예시'!G305="","미선택",'11_작성예시'!G305)</f>
        <v>값 있음</v>
      </c>
      <c r="F38" s="29" t="str">
        <f>IF('S01_김민준'!G305="","미선택",'S01_김민준'!G305)</f>
        <v>값 있음</v>
      </c>
      <c r="G38" s="29" t="str">
        <f>IF('S02_이서연'!G305="","미선택",'S02_이서연'!G305)</f>
        <v>값 있음</v>
      </c>
      <c r="H38" s="29" t="str">
        <f>IF('S03_박지호'!G305="","미선택",'S03_박지호'!G305)</f>
        <v>값 있음</v>
      </c>
      <c r="I38" s="29" t="str">
        <f>IF('S04_최유진'!G305="","미선택",'S04_최유진'!G305)</f>
        <v>미선택</v>
      </c>
      <c r="J38" s="29" t="str">
        <f>IF('S05_정하늘'!G305="","미선택",'S05_정하늘'!G305)</f>
        <v>값 있음</v>
      </c>
      <c r="K38" s="29" t="str">
        <f>IF('S06_한도윤'!G305="","미선택",'S06_한도윤'!G305)</f>
        <v>값 있음</v>
      </c>
    </row>
    <row r="39" ht="15.75" customHeight="1">
      <c r="A39" s="67" t="s">
        <v>825</v>
      </c>
      <c r="B39" s="68">
        <v>34.0</v>
      </c>
      <c r="C39" s="67" t="s">
        <v>826</v>
      </c>
      <c r="D39" s="67" t="s">
        <v>100</v>
      </c>
      <c r="E39" s="29" t="str">
        <f>IF('11_작성예시'!G313="","미선택",'11_작성예시'!G313)</f>
        <v>값 있음</v>
      </c>
      <c r="F39" s="29" t="str">
        <f>IF('S01_김민준'!G313="","미선택",'S01_김민준'!G313)</f>
        <v>미수집</v>
      </c>
      <c r="G39" s="29" t="str">
        <f>IF('S02_이서연'!G313="","미선택",'S02_이서연'!G313)</f>
        <v>미수집</v>
      </c>
      <c r="H39" s="29" t="str">
        <f>IF('S03_박지호'!G313="","미선택",'S03_박지호'!G313)</f>
        <v>미수집</v>
      </c>
      <c r="I39" s="29" t="str">
        <f>IF('S04_최유진'!G313="","미선택",'S04_최유진'!G313)</f>
        <v>미선택</v>
      </c>
      <c r="J39" s="29" t="str">
        <f>IF('S05_정하늘'!G313="","미선택",'S05_정하늘'!G313)</f>
        <v>미선택</v>
      </c>
      <c r="K39" s="29" t="str">
        <f>IF('S06_한도윤'!G313="","미선택",'S06_한도윤'!G313)</f>
        <v>미수집</v>
      </c>
    </row>
    <row r="40" ht="15.75" customHeight="1"/>
    <row r="41" ht="15.0" customHeight="1">
      <c r="A41" s="82" t="s">
        <v>47</v>
      </c>
      <c r="B41" s="37"/>
      <c r="C41" s="37"/>
      <c r="D41" s="83"/>
      <c r="E41" s="84">
        <f t="shared" ref="E41:K41" si="1">COUNTIF(E$6:E$39,"값 있음")</f>
        <v>34</v>
      </c>
      <c r="F41" s="84">
        <f t="shared" si="1"/>
        <v>28</v>
      </c>
      <c r="G41" s="84">
        <f t="shared" si="1"/>
        <v>17</v>
      </c>
      <c r="H41" s="84">
        <f t="shared" si="1"/>
        <v>18</v>
      </c>
      <c r="I41" s="84">
        <f t="shared" si="1"/>
        <v>5</v>
      </c>
      <c r="J41" s="84">
        <f t="shared" si="1"/>
        <v>19</v>
      </c>
      <c r="K41" s="84">
        <f t="shared" si="1"/>
        <v>17</v>
      </c>
    </row>
    <row r="42" ht="15.0" customHeight="1">
      <c r="A42" s="82" t="s">
        <v>49</v>
      </c>
      <c r="B42" s="37"/>
      <c r="C42" s="37"/>
      <c r="D42" s="83"/>
      <c r="E42" s="84">
        <f t="shared" ref="E42:K42" si="2">COUNTIF(E$6:E$39,"활동 없음")</f>
        <v>0</v>
      </c>
      <c r="F42" s="84">
        <f t="shared" si="2"/>
        <v>5</v>
      </c>
      <c r="G42" s="84">
        <f t="shared" si="2"/>
        <v>9</v>
      </c>
      <c r="H42" s="84">
        <f t="shared" si="2"/>
        <v>14</v>
      </c>
      <c r="I42" s="84">
        <f t="shared" si="2"/>
        <v>0</v>
      </c>
      <c r="J42" s="84">
        <f t="shared" si="2"/>
        <v>9</v>
      </c>
      <c r="K42" s="84">
        <f t="shared" si="2"/>
        <v>12</v>
      </c>
    </row>
    <row r="43" ht="15.0" customHeight="1">
      <c r="A43" s="82" t="s">
        <v>51</v>
      </c>
      <c r="B43" s="37"/>
      <c r="C43" s="37"/>
      <c r="D43" s="83"/>
      <c r="E43" s="84">
        <f t="shared" ref="E43:K43" si="3">COUNTIF(E$6:E$39,"해당 없음")</f>
        <v>0</v>
      </c>
      <c r="F43" s="84">
        <f t="shared" si="3"/>
        <v>0</v>
      </c>
      <c r="G43" s="84">
        <f t="shared" si="3"/>
        <v>1</v>
      </c>
      <c r="H43" s="84">
        <f t="shared" si="3"/>
        <v>0</v>
      </c>
      <c r="I43" s="84">
        <f t="shared" si="3"/>
        <v>1</v>
      </c>
      <c r="J43" s="84">
        <f t="shared" si="3"/>
        <v>0</v>
      </c>
      <c r="K43" s="84">
        <f t="shared" si="3"/>
        <v>1</v>
      </c>
    </row>
    <row r="44" ht="15.0" customHeight="1">
      <c r="A44" s="82" t="s">
        <v>950</v>
      </c>
      <c r="B44" s="37"/>
      <c r="C44" s="37"/>
      <c r="D44" s="83"/>
      <c r="E44" s="84">
        <f t="shared" ref="E44:K44" si="4">COUNTIF(E$6:E$39,"미수집")</f>
        <v>0</v>
      </c>
      <c r="F44" s="84">
        <f t="shared" si="4"/>
        <v>1</v>
      </c>
      <c r="G44" s="84">
        <f t="shared" si="4"/>
        <v>7</v>
      </c>
      <c r="H44" s="84">
        <f t="shared" si="4"/>
        <v>2</v>
      </c>
      <c r="I44" s="84">
        <f t="shared" si="4"/>
        <v>12</v>
      </c>
      <c r="J44" s="84">
        <f t="shared" si="4"/>
        <v>2</v>
      </c>
      <c r="K44" s="84">
        <f t="shared" si="4"/>
        <v>4</v>
      </c>
    </row>
    <row r="45" ht="15.0" customHeight="1">
      <c r="A45" s="82" t="s">
        <v>962</v>
      </c>
      <c r="B45" s="37"/>
      <c r="C45" s="37"/>
      <c r="D45" s="83"/>
      <c r="E45" s="84">
        <f t="shared" ref="E45:K45" si="5">COUNTIF(E$6:E$39,"미선택")</f>
        <v>0</v>
      </c>
      <c r="F45" s="84">
        <f t="shared" si="5"/>
        <v>0</v>
      </c>
      <c r="G45" s="84">
        <f t="shared" si="5"/>
        <v>0</v>
      </c>
      <c r="H45" s="84">
        <f t="shared" si="5"/>
        <v>0</v>
      </c>
      <c r="I45" s="84">
        <f t="shared" si="5"/>
        <v>16</v>
      </c>
      <c r="J45" s="84">
        <f t="shared" si="5"/>
        <v>4</v>
      </c>
      <c r="K45" s="84">
        <f t="shared" si="5"/>
        <v>0</v>
      </c>
    </row>
    <row r="46" ht="15.0" customHeight="1">
      <c r="A46" s="82" t="s">
        <v>59</v>
      </c>
      <c r="B46" s="37"/>
      <c r="C46" s="37"/>
      <c r="D46" s="83"/>
      <c r="E46" s="85">
        <f t="shared" ref="E46:K46" si="6">(E41+E42+E43)/34</f>
        <v>1</v>
      </c>
      <c r="F46" s="85">
        <f t="shared" si="6"/>
        <v>0.9705882353</v>
      </c>
      <c r="G46" s="85">
        <f t="shared" si="6"/>
        <v>0.7941176471</v>
      </c>
      <c r="H46" s="85">
        <f t="shared" si="6"/>
        <v>0.9411764706</v>
      </c>
      <c r="I46" s="85">
        <f t="shared" si="6"/>
        <v>0.1764705882</v>
      </c>
      <c r="J46" s="85">
        <f t="shared" si="6"/>
        <v>0.8235294118</v>
      </c>
      <c r="K46" s="85">
        <f t="shared" si="6"/>
        <v>0.8823529412</v>
      </c>
    </row>
    <row r="47" ht="15.0" customHeight="1">
      <c r="A47" s="82" t="s">
        <v>978</v>
      </c>
      <c r="B47" s="37"/>
      <c r="C47" s="37"/>
      <c r="D47" s="83"/>
      <c r="E47" s="84">
        <f>SUMPRODUCT(--(LEFT('11_작성예시'!$H$1:$H$400,1)="⚠"))</f>
        <v>0</v>
      </c>
      <c r="F47" s="84">
        <f>SUMPRODUCT(--(LEFT('S01_김민준'!$H$1:$H$400,1)="⚠"))</f>
        <v>0</v>
      </c>
      <c r="G47" s="84">
        <f>SUMPRODUCT(--(LEFT('S02_이서연'!$H$1:$H$400,1)="⚠"))</f>
        <v>0</v>
      </c>
      <c r="H47" s="84">
        <f>SUMPRODUCT(--(LEFT('S03_박지호'!$H$1:$H$400,1)="⚠"))</f>
        <v>0</v>
      </c>
      <c r="I47" s="84">
        <f>SUMPRODUCT(--(LEFT('S04_최유진'!$H$1:$H$400,1)="⚠"))</f>
        <v>0</v>
      </c>
      <c r="J47" s="84">
        <f>SUMPRODUCT(--(LEFT('S05_정하늘'!$H$1:$H$400,1)="⚠"))</f>
        <v>3</v>
      </c>
      <c r="K47" s="84">
        <f>SUMPRODUCT(--(LEFT('S06_한도윤'!$H$1:$H$400,1)="⚠"))</f>
        <v>0</v>
      </c>
    </row>
    <row r="48" ht="15.75" customHeight="1"/>
    <row r="49" ht="15.75" customHeight="1">
      <c r="A49" s="3" t="s">
        <v>1010</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46:D46"/>
    <mergeCell ref="A47:D47"/>
    <mergeCell ref="A1:K1"/>
    <mergeCell ref="A2:K2"/>
    <mergeCell ref="A41:D41"/>
    <mergeCell ref="A42:D42"/>
    <mergeCell ref="A43:D43"/>
    <mergeCell ref="A44:D44"/>
    <mergeCell ref="A45:D45"/>
  </mergeCells>
  <conditionalFormatting sqref="E6:K39">
    <cfRule type="cellIs" dxfId="1" priority="1" operator="equal">
      <formula>"값 있음"</formula>
    </cfRule>
  </conditionalFormatting>
  <conditionalFormatting sqref="E6:K39">
    <cfRule type="cellIs" dxfId="2" priority="2" operator="equal">
      <formula>"활동 없음"</formula>
    </cfRule>
  </conditionalFormatting>
  <conditionalFormatting sqref="E6:K39">
    <cfRule type="cellIs" dxfId="3" priority="3" operator="equal">
      <formula>"해당 없음"</formula>
    </cfRule>
  </conditionalFormatting>
  <conditionalFormatting sqref="E6:K39">
    <cfRule type="cellIs" dxfId="0" priority="4" operator="equal">
      <formula>"미수집"</formula>
    </cfRule>
  </conditionalFormatting>
  <conditionalFormatting sqref="E6:K39">
    <cfRule type="cellIs" dxfId="4" priority="5" operator="equal">
      <formula>"미선택"</formula>
    </cfRule>
  </conditionalFormatting>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4A8A"/>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6.0"/>
    <col customWidth="1" min="2" max="2" width="22.0"/>
    <col customWidth="1" min="3" max="3" width="20.0"/>
    <col customWidth="1" min="4" max="5" width="17.0"/>
    <col customWidth="1" min="6" max="7" width="15.0"/>
    <col customWidth="1" min="8" max="8" width="17.0"/>
    <col customWidth="1" min="9" max="9" width="30.0"/>
    <col customWidth="1" min="10" max="26" width="8.71"/>
  </cols>
  <sheetData>
    <row r="1" ht="25.5" customHeight="1">
      <c r="A1" s="2" t="s">
        <v>22</v>
      </c>
    </row>
    <row r="2" ht="30.0" customHeight="1">
      <c r="A2" s="16" t="s">
        <v>23</v>
      </c>
    </row>
    <row r="3" ht="15.0" customHeight="1">
      <c r="A3" s="23" t="s">
        <v>73</v>
      </c>
      <c r="B3" s="25" t="s">
        <v>67</v>
      </c>
      <c r="C3" s="27" t="s">
        <v>89</v>
      </c>
      <c r="D3" s="28" t="s">
        <v>96</v>
      </c>
      <c r="E3" s="30" t="s">
        <v>100</v>
      </c>
      <c r="F3" s="16" t="s">
        <v>102</v>
      </c>
    </row>
    <row r="5" ht="21.75" customHeight="1">
      <c r="A5" s="33" t="s">
        <v>106</v>
      </c>
      <c r="B5" s="8"/>
      <c r="C5" s="8"/>
      <c r="D5" s="8"/>
      <c r="E5" s="8"/>
      <c r="F5" s="8"/>
      <c r="G5" s="8"/>
      <c r="H5" s="8"/>
      <c r="I5" s="7"/>
    </row>
    <row r="6" ht="15.0" customHeight="1">
      <c r="B6" s="13" t="s">
        <v>107</v>
      </c>
      <c r="C6" s="13" t="s">
        <v>108</v>
      </c>
      <c r="D6" s="13" t="s">
        <v>111</v>
      </c>
      <c r="E6" s="36" t="s">
        <v>112</v>
      </c>
      <c r="F6" s="37"/>
      <c r="G6" s="37"/>
      <c r="H6" s="37"/>
      <c r="I6" s="38"/>
    </row>
    <row r="7">
      <c r="B7" s="17" t="s">
        <v>36</v>
      </c>
      <c r="C7" s="39"/>
      <c r="D7" s="40" t="s">
        <v>121</v>
      </c>
      <c r="E7" s="41" t="s">
        <v>123</v>
      </c>
    </row>
    <row r="8">
      <c r="B8" s="17" t="s">
        <v>37</v>
      </c>
      <c r="C8" s="42"/>
      <c r="D8" s="40" t="s">
        <v>130</v>
      </c>
      <c r="E8" s="41"/>
    </row>
    <row r="9">
      <c r="B9" s="17" t="s">
        <v>38</v>
      </c>
      <c r="C9" s="42"/>
      <c r="D9" s="40" t="s">
        <v>130</v>
      </c>
      <c r="E9" s="41" t="s">
        <v>131</v>
      </c>
    </row>
    <row r="10">
      <c r="B10" s="17" t="s">
        <v>133</v>
      </c>
      <c r="C10" s="42"/>
      <c r="D10" s="40" t="s">
        <v>130</v>
      </c>
      <c r="E10" s="41" t="s">
        <v>134</v>
      </c>
    </row>
    <row r="11">
      <c r="B11" s="17" t="s">
        <v>40</v>
      </c>
      <c r="C11" s="42"/>
      <c r="D11" s="40" t="s">
        <v>136</v>
      </c>
      <c r="E11" s="41" t="s">
        <v>138</v>
      </c>
    </row>
    <row r="12">
      <c r="B12" s="17" t="s">
        <v>139</v>
      </c>
      <c r="C12" s="42"/>
      <c r="D12" s="40" t="s">
        <v>78</v>
      </c>
      <c r="E12" s="41" t="s">
        <v>141</v>
      </c>
    </row>
    <row r="13">
      <c r="B13" s="17" t="s">
        <v>143</v>
      </c>
      <c r="C13" s="42"/>
      <c r="D13" s="40" t="s">
        <v>147</v>
      </c>
      <c r="E13" s="41" t="s">
        <v>148</v>
      </c>
    </row>
    <row r="14">
      <c r="B14" s="17" t="s">
        <v>149</v>
      </c>
      <c r="C14" s="42"/>
      <c r="D14" s="40" t="s">
        <v>147</v>
      </c>
      <c r="E14" s="41" t="s">
        <v>151</v>
      </c>
    </row>
    <row r="15">
      <c r="B15" s="17" t="s">
        <v>155</v>
      </c>
      <c r="C15" s="39"/>
      <c r="D15" s="49" t="s">
        <v>158</v>
      </c>
      <c r="E15" s="41" t="s">
        <v>160</v>
      </c>
    </row>
    <row r="16">
      <c r="B16" s="17" t="s">
        <v>161</v>
      </c>
      <c r="C16" s="42"/>
      <c r="D16" s="40" t="s">
        <v>147</v>
      </c>
      <c r="E16" s="41"/>
    </row>
    <row r="17">
      <c r="B17" s="17" t="s">
        <v>162</v>
      </c>
      <c r="C17" s="42"/>
      <c r="D17" s="40" t="s">
        <v>147</v>
      </c>
      <c r="E17" s="50" t="s">
        <v>163</v>
      </c>
    </row>
    <row r="18">
      <c r="B18" s="17" t="s">
        <v>164</v>
      </c>
      <c r="C18" s="39"/>
      <c r="D18" s="49" t="s">
        <v>165</v>
      </c>
      <c r="E18" s="41" t="s">
        <v>166</v>
      </c>
    </row>
    <row r="19">
      <c r="B19" s="17" t="s">
        <v>167</v>
      </c>
      <c r="C19" s="42"/>
      <c r="D19" s="40" t="s">
        <v>147</v>
      </c>
      <c r="E19" s="41"/>
    </row>
    <row r="20">
      <c r="B20" s="17" t="s">
        <v>168</v>
      </c>
      <c r="C20" s="42"/>
      <c r="D20" s="40" t="s">
        <v>147</v>
      </c>
      <c r="E20" s="50" t="s">
        <v>169</v>
      </c>
    </row>
    <row r="21" ht="15.75" customHeight="1"/>
    <row r="22" ht="21.75" customHeight="1">
      <c r="A22" s="33" t="s">
        <v>170</v>
      </c>
      <c r="B22" s="8"/>
      <c r="C22" s="8"/>
      <c r="D22" s="8"/>
      <c r="E22" s="8"/>
      <c r="F22" s="8"/>
      <c r="G22" s="8"/>
      <c r="H22" s="8"/>
      <c r="I22" s="7"/>
    </row>
    <row r="23" ht="21.75" customHeight="1">
      <c r="A23" s="51">
        <v>1.0</v>
      </c>
      <c r="B23" s="52" t="s">
        <v>174</v>
      </c>
      <c r="C23" s="53"/>
      <c r="D23" s="53"/>
      <c r="E23" s="54"/>
      <c r="F23" s="55" t="s">
        <v>178</v>
      </c>
      <c r="G23" s="57"/>
      <c r="H23" s="59" t="str">
        <f>IF(G23="",IF(COUNTA(C25:C27,B30:G37)&gt;0,"⚠ 상태 미선택(입력값 있음)","상태 미선택 → 미수집 간주"),IF(G23="값 있음",IF(COUNTA(C25:C27,B30:G37)=0,"⚠ 값 있음인데 입력값 없음","✓ 정상"),IF(COUNTA(C25:C27,B30:G37)&gt;0,"⚠ 상태와 입력값 불일치","✓ 정상")))</f>
        <v>상태 미선택 → 미수집 간주</v>
      </c>
      <c r="I23" s="54"/>
    </row>
    <row r="24" ht="24.0" customHeight="1">
      <c r="B24" s="60" t="s">
        <v>183</v>
      </c>
    </row>
    <row r="25" ht="15.75" customHeight="1">
      <c r="B25" s="17" t="s">
        <v>185</v>
      </c>
      <c r="C25" s="42"/>
      <c r="D25" s="40" t="s">
        <v>186</v>
      </c>
      <c r="E25" s="41" t="s">
        <v>187</v>
      </c>
    </row>
    <row r="26" ht="15.75" customHeight="1">
      <c r="B26" s="17" t="s">
        <v>188</v>
      </c>
      <c r="C26" s="42"/>
      <c r="D26" s="40" t="s">
        <v>189</v>
      </c>
      <c r="E26" s="41" t="s">
        <v>190</v>
      </c>
    </row>
    <row r="27" ht="15.75" customHeight="1">
      <c r="B27" s="17" t="s">
        <v>191</v>
      </c>
      <c r="C27" s="42"/>
      <c r="D27" s="40" t="s">
        <v>78</v>
      </c>
      <c r="E27" s="41" t="s">
        <v>192</v>
      </c>
    </row>
    <row r="28" ht="15.75" customHeight="1">
      <c r="A28" s="62" t="s">
        <v>24</v>
      </c>
      <c r="B28" s="13" t="s">
        <v>193</v>
      </c>
      <c r="C28" s="13" t="s">
        <v>194</v>
      </c>
      <c r="D28" s="13" t="s">
        <v>195</v>
      </c>
      <c r="E28" s="13" t="s">
        <v>196</v>
      </c>
      <c r="F28" s="13" t="s">
        <v>197</v>
      </c>
      <c r="G28" s="13" t="s">
        <v>198</v>
      </c>
    </row>
    <row r="29" ht="25.5" customHeight="1">
      <c r="A29" s="63" t="s">
        <v>111</v>
      </c>
      <c r="B29" s="64" t="s">
        <v>199</v>
      </c>
      <c r="C29" s="63" t="s">
        <v>78</v>
      </c>
      <c r="D29" s="63" t="s">
        <v>78</v>
      </c>
      <c r="E29" s="63" t="s">
        <v>78</v>
      </c>
      <c r="F29" s="63" t="s">
        <v>78</v>
      </c>
      <c r="G29" s="63" t="s">
        <v>200</v>
      </c>
    </row>
    <row r="30" ht="15.75" customHeight="1">
      <c r="A30" s="65">
        <v>1.0</v>
      </c>
      <c r="B30" s="39"/>
      <c r="C30" s="42"/>
      <c r="D30" s="42"/>
      <c r="E30" s="42"/>
      <c r="F30" s="42"/>
      <c r="G30" s="42"/>
    </row>
    <row r="31" ht="15.75" customHeight="1">
      <c r="A31" s="65">
        <v>2.0</v>
      </c>
      <c r="B31" s="39"/>
      <c r="C31" s="42"/>
      <c r="D31" s="42"/>
      <c r="E31" s="42"/>
      <c r="F31" s="42"/>
      <c r="G31" s="42"/>
    </row>
    <row r="32" ht="15.75" customHeight="1">
      <c r="A32" s="65">
        <v>3.0</v>
      </c>
      <c r="B32" s="39"/>
      <c r="C32" s="42"/>
      <c r="D32" s="42"/>
      <c r="E32" s="42"/>
      <c r="F32" s="42"/>
      <c r="G32" s="42"/>
    </row>
    <row r="33" ht="15.75" customHeight="1">
      <c r="A33" s="65">
        <v>4.0</v>
      </c>
      <c r="B33" s="39"/>
      <c r="C33" s="42"/>
      <c r="D33" s="42"/>
      <c r="E33" s="42"/>
      <c r="F33" s="42"/>
      <c r="G33" s="42"/>
    </row>
    <row r="34" ht="15.75" customHeight="1">
      <c r="A34" s="65">
        <v>5.0</v>
      </c>
      <c r="B34" s="39"/>
      <c r="C34" s="42"/>
      <c r="D34" s="42"/>
      <c r="E34" s="42"/>
      <c r="F34" s="42"/>
      <c r="G34" s="42"/>
    </row>
    <row r="35" ht="15.75" customHeight="1">
      <c r="A35" s="65">
        <v>6.0</v>
      </c>
      <c r="B35" s="39"/>
      <c r="C35" s="42"/>
      <c r="D35" s="42"/>
      <c r="E35" s="42"/>
      <c r="F35" s="42"/>
      <c r="G35" s="42"/>
    </row>
    <row r="36" ht="15.75" customHeight="1">
      <c r="A36" s="65">
        <v>7.0</v>
      </c>
      <c r="B36" s="39"/>
      <c r="C36" s="42"/>
      <c r="D36" s="42"/>
      <c r="E36" s="42"/>
      <c r="F36" s="42"/>
      <c r="G36" s="42"/>
    </row>
    <row r="37" ht="15.75" customHeight="1">
      <c r="A37" s="65">
        <v>8.0</v>
      </c>
      <c r="B37" s="39"/>
      <c r="C37" s="42"/>
      <c r="D37" s="42"/>
      <c r="E37" s="42"/>
      <c r="F37" s="42"/>
      <c r="G37" s="42"/>
    </row>
    <row r="38" ht="15.75" customHeight="1"/>
    <row r="39" ht="21.75" customHeight="1">
      <c r="A39" s="51">
        <v>2.0</v>
      </c>
      <c r="B39" s="52" t="s">
        <v>127</v>
      </c>
      <c r="C39" s="53"/>
      <c r="D39" s="53"/>
      <c r="E39" s="54"/>
      <c r="F39" s="55" t="s">
        <v>178</v>
      </c>
      <c r="G39" s="57"/>
      <c r="H39" s="59" t="str">
        <f>IF(G39="",IF(COUNTA(B43:G47)&gt;0,"⚠ 상태 미선택(입력값 있음)","상태 미선택 → 미수집 간주"),IF(G39="값 있음",IF(COUNTA(B43:G47)=0,"⚠ 값 있음인데 입력값 없음","✓ 정상"),IF(COUNTA(B43:G47)&gt;0,"⚠ 상태와 입력값 불일치","✓ 정상")))</f>
        <v>상태 미선택 → 미수집 간주</v>
      </c>
      <c r="I39" s="54"/>
    </row>
    <row r="40" ht="24.0" customHeight="1">
      <c r="B40" s="60" t="s">
        <v>214</v>
      </c>
    </row>
    <row r="41" ht="15.75" customHeight="1">
      <c r="A41" s="62" t="s">
        <v>24</v>
      </c>
      <c r="B41" s="13" t="s">
        <v>215</v>
      </c>
      <c r="C41" s="13" t="s">
        <v>193</v>
      </c>
      <c r="D41" s="13" t="s">
        <v>216</v>
      </c>
      <c r="E41" s="13" t="s">
        <v>217</v>
      </c>
      <c r="F41" s="13" t="s">
        <v>218</v>
      </c>
      <c r="G41" s="13" t="s">
        <v>198</v>
      </c>
    </row>
    <row r="42" ht="37.5" customHeight="1">
      <c r="A42" s="63" t="s">
        <v>111</v>
      </c>
      <c r="B42" s="63" t="s">
        <v>130</v>
      </c>
      <c r="C42" s="64" t="s">
        <v>219</v>
      </c>
      <c r="D42" s="64" t="s">
        <v>220</v>
      </c>
      <c r="E42" s="64" t="s">
        <v>222</v>
      </c>
      <c r="F42" s="63" t="s">
        <v>223</v>
      </c>
      <c r="G42" s="63" t="s">
        <v>130</v>
      </c>
    </row>
    <row r="43" ht="15.75" customHeight="1">
      <c r="A43" s="65">
        <v>1.0</v>
      </c>
      <c r="B43" s="42"/>
      <c r="C43" s="39"/>
      <c r="D43" s="42"/>
      <c r="E43" s="42"/>
      <c r="F43" s="42"/>
      <c r="G43" s="42"/>
    </row>
    <row r="44" ht="15.75" customHeight="1">
      <c r="A44" s="65">
        <v>2.0</v>
      </c>
      <c r="B44" s="42"/>
      <c r="C44" s="39"/>
      <c r="D44" s="42"/>
      <c r="E44" s="42"/>
      <c r="F44" s="42"/>
      <c r="G44" s="42"/>
    </row>
    <row r="45" ht="15.75" customHeight="1">
      <c r="A45" s="65">
        <v>3.0</v>
      </c>
      <c r="B45" s="42"/>
      <c r="C45" s="39"/>
      <c r="D45" s="42"/>
      <c r="E45" s="42"/>
      <c r="F45" s="42"/>
      <c r="G45" s="42"/>
    </row>
    <row r="46" ht="15.75" customHeight="1">
      <c r="A46" s="65">
        <v>4.0</v>
      </c>
      <c r="B46" s="42"/>
      <c r="C46" s="39"/>
      <c r="D46" s="42"/>
      <c r="E46" s="42"/>
      <c r="F46" s="42"/>
      <c r="G46" s="42"/>
    </row>
    <row r="47" ht="15.75" customHeight="1">
      <c r="A47" s="65">
        <v>5.0</v>
      </c>
      <c r="B47" s="42"/>
      <c r="C47" s="39"/>
      <c r="D47" s="42"/>
      <c r="E47" s="42"/>
      <c r="F47" s="42"/>
      <c r="G47" s="42"/>
    </row>
    <row r="48" ht="15.75" customHeight="1"/>
    <row r="49" ht="21.75" customHeight="1">
      <c r="A49" s="51">
        <v>3.0</v>
      </c>
      <c r="B49" s="52" t="s">
        <v>234</v>
      </c>
      <c r="C49" s="53"/>
      <c r="D49" s="53"/>
      <c r="E49" s="54"/>
      <c r="F49" s="55" t="s">
        <v>178</v>
      </c>
      <c r="G49" s="57"/>
      <c r="H49" s="59" t="str">
        <f>IF(G49="",IF(COUNTA(C51:C52,B55:E58)&gt;0,"⚠ 상태 미선택(입력값 있음)","상태 미선택 → 미수집 간주"),IF(G49="값 있음",IF(COUNTA(C51:C52,B55:E58)=0,"⚠ 값 있음인데 입력값 없음","✓ 정상"),IF(COUNTA(C51:C52,B55:E58)&gt;0,"⚠ 상태와 입력값 불일치","✓ 정상")))</f>
        <v>상태 미선택 → 미수집 간주</v>
      </c>
      <c r="I49" s="54"/>
    </row>
    <row r="50" ht="24.0" customHeight="1">
      <c r="B50" s="60" t="s">
        <v>251</v>
      </c>
    </row>
    <row r="51" ht="15.75" customHeight="1">
      <c r="B51" s="17" t="s">
        <v>253</v>
      </c>
      <c r="C51" s="42"/>
      <c r="D51" s="40" t="s">
        <v>78</v>
      </c>
      <c r="E51" s="41" t="s">
        <v>257</v>
      </c>
    </row>
    <row r="52" ht="15.75" customHeight="1">
      <c r="B52" s="17" t="s">
        <v>259</v>
      </c>
      <c r="C52" s="42"/>
      <c r="D52" s="40" t="s">
        <v>78</v>
      </c>
      <c r="E52" s="41" t="s">
        <v>261</v>
      </c>
    </row>
    <row r="53" ht="15.75" customHeight="1">
      <c r="A53" s="62" t="s">
        <v>24</v>
      </c>
      <c r="B53" s="13" t="s">
        <v>263</v>
      </c>
      <c r="C53" s="13" t="s">
        <v>264</v>
      </c>
      <c r="D53" s="13" t="s">
        <v>265</v>
      </c>
      <c r="E53" s="13" t="s">
        <v>266</v>
      </c>
    </row>
    <row r="54" ht="25.5" customHeight="1">
      <c r="A54" s="63" t="s">
        <v>111</v>
      </c>
      <c r="B54" s="64" t="s">
        <v>268</v>
      </c>
      <c r="C54" s="63" t="s">
        <v>130</v>
      </c>
      <c r="D54" s="64" t="s">
        <v>270</v>
      </c>
      <c r="E54" s="63" t="s">
        <v>78</v>
      </c>
    </row>
    <row r="55" ht="15.75" customHeight="1">
      <c r="A55" s="65">
        <v>1.0</v>
      </c>
      <c r="B55" s="42"/>
      <c r="C55" s="42"/>
      <c r="D55" s="42"/>
      <c r="E55" s="42"/>
    </row>
    <row r="56" ht="15.75" customHeight="1">
      <c r="A56" s="65">
        <v>2.0</v>
      </c>
      <c r="B56" s="42"/>
      <c r="C56" s="42"/>
      <c r="D56" s="42"/>
      <c r="E56" s="42"/>
    </row>
    <row r="57" ht="15.75" customHeight="1">
      <c r="A57" s="65">
        <v>3.0</v>
      </c>
      <c r="B57" s="42"/>
      <c r="C57" s="42"/>
      <c r="D57" s="42"/>
      <c r="E57" s="42"/>
    </row>
    <row r="58" ht="15.75" customHeight="1">
      <c r="A58" s="65">
        <v>4.0</v>
      </c>
      <c r="B58" s="42"/>
      <c r="C58" s="42"/>
      <c r="D58" s="42"/>
      <c r="E58" s="42"/>
    </row>
    <row r="59" ht="15.75" customHeight="1"/>
    <row r="60" ht="21.75" customHeight="1">
      <c r="A60" s="70">
        <v>4.0</v>
      </c>
      <c r="B60" s="72" t="s">
        <v>180</v>
      </c>
      <c r="C60" s="53"/>
      <c r="D60" s="53"/>
      <c r="E60" s="54"/>
      <c r="F60" s="73" t="s">
        <v>178</v>
      </c>
      <c r="G60" s="57"/>
      <c r="H60" s="74" t="str">
        <f>IF(G60="",IF(COUNTA(C62:C64)&gt;0,"⚠ 상태 미선택(입력값 있음)","상태 미선택 → 미수집 간주"),IF(G60="값 있음",IF(COUNTA(C62:C64)=0,"⚠ 값 있음인데 입력값 없음","✓ 정상"),IF(COUNTA(C62:C64)&gt;0,"⚠ 상태와 입력값 불일치","✓ 정상")))</f>
        <v>상태 미선택 → 미수집 간주</v>
      </c>
      <c r="I60" s="54"/>
    </row>
    <row r="61" ht="24.0" customHeight="1">
      <c r="B61" s="60" t="s">
        <v>279</v>
      </c>
    </row>
    <row r="62" ht="15.75" customHeight="1">
      <c r="B62" s="17" t="s">
        <v>280</v>
      </c>
      <c r="C62" s="42"/>
      <c r="D62" s="40" t="s">
        <v>147</v>
      </c>
      <c r="E62" s="41" t="s">
        <v>282</v>
      </c>
    </row>
    <row r="63" ht="15.75" customHeight="1">
      <c r="B63" s="17" t="s">
        <v>285</v>
      </c>
      <c r="C63" s="42"/>
      <c r="D63" s="40" t="s">
        <v>130</v>
      </c>
      <c r="E63" s="41" t="s">
        <v>286</v>
      </c>
    </row>
    <row r="64" ht="15.75" customHeight="1">
      <c r="B64" s="17" t="s">
        <v>265</v>
      </c>
      <c r="C64" s="42"/>
      <c r="D64" s="40" t="s">
        <v>147</v>
      </c>
      <c r="E64" s="50" t="s">
        <v>290</v>
      </c>
    </row>
    <row r="65" ht="15.75" customHeight="1"/>
    <row r="66" ht="21.75" customHeight="1">
      <c r="A66" s="33" t="s">
        <v>293</v>
      </c>
      <c r="B66" s="8"/>
      <c r="C66" s="8"/>
      <c r="D66" s="8"/>
      <c r="E66" s="8"/>
      <c r="F66" s="8"/>
      <c r="G66" s="8"/>
      <c r="H66" s="8"/>
      <c r="I66" s="7"/>
    </row>
    <row r="67" ht="21.75" customHeight="1">
      <c r="A67" s="51">
        <v>5.0</v>
      </c>
      <c r="B67" s="75" t="s">
        <v>298</v>
      </c>
      <c r="C67" s="53"/>
      <c r="D67" s="53"/>
      <c r="E67" s="54"/>
      <c r="F67" s="55" t="s">
        <v>178</v>
      </c>
      <c r="G67" s="57"/>
      <c r="H67" s="59" t="str">
        <f>IF(G67="",IF(COUNTA(C69:C74)&gt;0,"⚠ 상태 미선택(입력값 있음)","상태 미선택 → 미수집 간주"),IF(G67="값 있음",IF(COUNTA(C69:C74)=0,"⚠ 값 있음인데 입력값 없음","✓ 정상"),IF(COUNTA(C69:C74)&gt;0,"⚠ 상태와 입력값 불일치","✓ 정상")))</f>
        <v>상태 미선택 → 미수집 간주</v>
      </c>
      <c r="I67" s="54"/>
    </row>
    <row r="68" ht="24.0" customHeight="1">
      <c r="B68" s="60" t="s">
        <v>308</v>
      </c>
    </row>
    <row r="69" ht="15.75" customHeight="1">
      <c r="B69" s="17" t="s">
        <v>310</v>
      </c>
      <c r="C69" s="42"/>
      <c r="D69" s="40" t="s">
        <v>130</v>
      </c>
      <c r="E69" s="41" t="s">
        <v>313</v>
      </c>
    </row>
    <row r="70" ht="15.75" customHeight="1">
      <c r="B70" s="17" t="s">
        <v>314</v>
      </c>
      <c r="C70" s="42"/>
      <c r="D70" s="40" t="s">
        <v>315</v>
      </c>
      <c r="E70" s="50" t="s">
        <v>316</v>
      </c>
    </row>
    <row r="71" ht="15.75" customHeight="1">
      <c r="B71" s="17" t="s">
        <v>317</v>
      </c>
      <c r="C71" s="42"/>
      <c r="D71" s="40" t="s">
        <v>318</v>
      </c>
      <c r="E71" s="50" t="s">
        <v>319</v>
      </c>
    </row>
    <row r="72" ht="15.75" customHeight="1">
      <c r="B72" s="17" t="s">
        <v>320</v>
      </c>
      <c r="C72" s="42"/>
      <c r="D72" s="40" t="s">
        <v>78</v>
      </c>
      <c r="E72" s="41" t="s">
        <v>321</v>
      </c>
    </row>
    <row r="73" ht="15.75" customHeight="1">
      <c r="B73" s="17" t="s">
        <v>322</v>
      </c>
      <c r="C73" s="42"/>
      <c r="D73" s="40" t="s">
        <v>78</v>
      </c>
      <c r="E73" s="41" t="s">
        <v>323</v>
      </c>
    </row>
    <row r="74" ht="15.75" customHeight="1">
      <c r="B74" s="17" t="s">
        <v>324</v>
      </c>
      <c r="C74" s="42"/>
      <c r="D74" s="40" t="s">
        <v>325</v>
      </c>
      <c r="E74" s="41"/>
    </row>
    <row r="75" ht="15.75" customHeight="1"/>
    <row r="76" ht="21.75" customHeight="1">
      <c r="A76" s="51">
        <v>6.0</v>
      </c>
      <c r="B76" s="52" t="s">
        <v>326</v>
      </c>
      <c r="C76" s="53"/>
      <c r="D76" s="53"/>
      <c r="E76" s="54"/>
      <c r="F76" s="55" t="s">
        <v>178</v>
      </c>
      <c r="G76" s="57"/>
      <c r="H76" s="59" t="str">
        <f>IF(G76="",IF(COUNTA(C78:C81)&gt;0,"⚠ 상태 미선택(입력값 있음)","상태 미선택 → 미수집 간주"),IF(G76="값 있음",IF(COUNTA(C78:C81)=0,"⚠ 값 있음인데 입력값 없음","✓ 정상"),IF(COUNTA(C78:C81)&gt;0,"⚠ 상태와 입력값 불일치","✓ 정상")))</f>
        <v>상태 미선택 → 미수집 간주</v>
      </c>
      <c r="I76" s="54"/>
    </row>
    <row r="77" ht="24.0" customHeight="1">
      <c r="B77" s="60" t="s">
        <v>333</v>
      </c>
    </row>
    <row r="78" ht="15.75" customHeight="1">
      <c r="B78" s="17" t="s">
        <v>310</v>
      </c>
      <c r="C78" s="42"/>
      <c r="D78" s="40" t="s">
        <v>130</v>
      </c>
      <c r="E78" s="41" t="s">
        <v>335</v>
      </c>
    </row>
    <row r="79" ht="15.75" customHeight="1">
      <c r="B79" s="17" t="s">
        <v>337</v>
      </c>
      <c r="C79" s="42"/>
      <c r="D79" s="40" t="s">
        <v>78</v>
      </c>
      <c r="E79" s="41"/>
    </row>
    <row r="80" ht="15.75" customHeight="1">
      <c r="B80" s="17" t="s">
        <v>339</v>
      </c>
      <c r="C80" s="42"/>
      <c r="D80" s="40" t="s">
        <v>78</v>
      </c>
      <c r="E80" s="41"/>
    </row>
    <row r="81" ht="15.75" customHeight="1">
      <c r="B81" s="17" t="s">
        <v>341</v>
      </c>
      <c r="C81" s="42"/>
      <c r="D81" s="40" t="s">
        <v>130</v>
      </c>
      <c r="E81" s="41" t="s">
        <v>343</v>
      </c>
    </row>
    <row r="82" ht="15.75" customHeight="1"/>
    <row r="83" ht="21.75" customHeight="1">
      <c r="A83" s="76">
        <v>7.0</v>
      </c>
      <c r="B83" s="77" t="s">
        <v>351</v>
      </c>
      <c r="C83" s="53"/>
      <c r="D83" s="53"/>
      <c r="E83" s="54"/>
      <c r="F83" s="78" t="s">
        <v>178</v>
      </c>
      <c r="G83" s="57"/>
      <c r="H83" s="79" t="str">
        <f>IF(G83="",IF(COUNTA(C85:C88)&gt;0,"⚠ 상태 미선택(입력값 있음)","상태 미선택 → 미수집 간주"),IF(G83="값 있음",IF(COUNTA(C85:C88)=0,"⚠ 값 있음인데 입력값 없음","✓ 정상"),IF(COUNTA(C85:C88)&gt;0,"⚠ 상태와 입력값 불일치","✓ 정상")))</f>
        <v>상태 미선택 → 미수집 간주</v>
      </c>
      <c r="I83" s="54"/>
    </row>
    <row r="84" ht="15.0" customHeight="1">
      <c r="B84" s="60" t="s">
        <v>354</v>
      </c>
    </row>
    <row r="85" ht="15.75" customHeight="1">
      <c r="B85" s="17" t="s">
        <v>310</v>
      </c>
      <c r="C85" s="42"/>
      <c r="D85" s="40" t="s">
        <v>130</v>
      </c>
      <c r="E85" s="41" t="s">
        <v>355</v>
      </c>
    </row>
    <row r="86" ht="15.75" customHeight="1">
      <c r="B86" s="17" t="s">
        <v>356</v>
      </c>
      <c r="C86" s="42"/>
      <c r="D86" s="40" t="s">
        <v>78</v>
      </c>
      <c r="E86" s="41"/>
    </row>
    <row r="87" ht="15.75" customHeight="1">
      <c r="B87" s="17" t="s">
        <v>360</v>
      </c>
      <c r="C87" s="42"/>
      <c r="D87" s="40" t="s">
        <v>78</v>
      </c>
      <c r="E87" s="41"/>
    </row>
    <row r="88" ht="15.75" customHeight="1">
      <c r="B88" s="17" t="s">
        <v>361</v>
      </c>
      <c r="C88" s="42"/>
      <c r="D88" s="40" t="s">
        <v>78</v>
      </c>
      <c r="E88" s="41"/>
    </row>
    <row r="89" ht="15.75" customHeight="1"/>
    <row r="90" ht="21.75" customHeight="1">
      <c r="A90" s="33" t="s">
        <v>363</v>
      </c>
      <c r="B90" s="8"/>
      <c r="C90" s="8"/>
      <c r="D90" s="8"/>
      <c r="E90" s="8"/>
      <c r="F90" s="8"/>
      <c r="G90" s="8"/>
      <c r="H90" s="8"/>
      <c r="I90" s="7"/>
    </row>
    <row r="91" ht="21.75" customHeight="1">
      <c r="A91" s="51">
        <v>8.0</v>
      </c>
      <c r="B91" s="52" t="s">
        <v>365</v>
      </c>
      <c r="C91" s="53"/>
      <c r="D91" s="53"/>
      <c r="E91" s="54"/>
      <c r="F91" s="55" t="s">
        <v>178</v>
      </c>
      <c r="G91" s="57"/>
      <c r="H91" s="59" t="str">
        <f>IF(G91="",IF(COUNTA(B95:H98)&gt;0,"⚠ 상태 미선택(입력값 있음)","상태 미선택 → 미수집 간주"),IF(G91="값 있음",IF(COUNTA(B95:H98)=0,"⚠ 값 있음인데 입력값 없음","✓ 정상"),IF(COUNTA(B95:H98)&gt;0,"⚠ 상태와 입력값 불일치","✓ 정상")))</f>
        <v>상태 미선택 → 미수집 간주</v>
      </c>
      <c r="I91" s="54"/>
    </row>
    <row r="92" ht="24.0" customHeight="1">
      <c r="B92" s="60" t="s">
        <v>376</v>
      </c>
    </row>
    <row r="93" ht="15.75" customHeight="1">
      <c r="A93" s="62" t="s">
        <v>24</v>
      </c>
      <c r="B93" s="13" t="s">
        <v>377</v>
      </c>
      <c r="C93" s="13" t="s">
        <v>378</v>
      </c>
      <c r="D93" s="13" t="s">
        <v>379</v>
      </c>
      <c r="E93" s="13" t="s">
        <v>380</v>
      </c>
      <c r="F93" s="13" t="s">
        <v>381</v>
      </c>
      <c r="G93" s="13" t="s">
        <v>382</v>
      </c>
      <c r="H93" s="13" t="s">
        <v>383</v>
      </c>
    </row>
    <row r="94" ht="25.5" customHeight="1">
      <c r="A94" s="63" t="s">
        <v>111</v>
      </c>
      <c r="B94" s="64" t="s">
        <v>384</v>
      </c>
      <c r="C94" s="63" t="s">
        <v>385</v>
      </c>
      <c r="D94" s="63" t="s">
        <v>130</v>
      </c>
      <c r="E94" s="64" t="s">
        <v>158</v>
      </c>
      <c r="F94" s="64" t="s">
        <v>386</v>
      </c>
      <c r="G94" s="63" t="s">
        <v>78</v>
      </c>
      <c r="H94" s="63" t="s">
        <v>130</v>
      </c>
    </row>
    <row r="95" ht="15.75" customHeight="1">
      <c r="A95" s="65">
        <v>1.0</v>
      </c>
      <c r="B95" s="42"/>
      <c r="C95" s="42"/>
      <c r="D95" s="42"/>
      <c r="E95" s="39"/>
      <c r="F95" s="39"/>
      <c r="G95" s="42"/>
      <c r="H95" s="42"/>
    </row>
    <row r="96" ht="15.75" customHeight="1">
      <c r="A96" s="65">
        <v>2.0</v>
      </c>
      <c r="B96" s="42"/>
      <c r="C96" s="42"/>
      <c r="D96" s="42"/>
      <c r="E96" s="39"/>
      <c r="F96" s="39"/>
      <c r="G96" s="42"/>
      <c r="H96" s="42"/>
    </row>
    <row r="97" ht="15.75" customHeight="1">
      <c r="A97" s="65">
        <v>3.0</v>
      </c>
      <c r="B97" s="42"/>
      <c r="C97" s="42"/>
      <c r="D97" s="42"/>
      <c r="E97" s="39"/>
      <c r="F97" s="39"/>
      <c r="G97" s="42"/>
      <c r="H97" s="42"/>
    </row>
    <row r="98" ht="15.75" customHeight="1">
      <c r="A98" s="65">
        <v>4.0</v>
      </c>
      <c r="B98" s="42"/>
      <c r="C98" s="42"/>
      <c r="D98" s="42"/>
      <c r="E98" s="39"/>
      <c r="F98" s="39"/>
      <c r="G98" s="42"/>
      <c r="H98" s="42"/>
    </row>
    <row r="99" ht="15.75" customHeight="1"/>
    <row r="100" ht="21.75" customHeight="1">
      <c r="A100" s="51">
        <v>9.0</v>
      </c>
      <c r="B100" s="52" t="s">
        <v>388</v>
      </c>
      <c r="C100" s="53"/>
      <c r="D100" s="53"/>
      <c r="E100" s="54"/>
      <c r="F100" s="55" t="s">
        <v>178</v>
      </c>
      <c r="G100" s="57"/>
      <c r="H100" s="59" t="str">
        <f>IF(G100="",IF(COUNTA(B104:G106)&gt;0,"⚠ 상태 미선택(입력값 있음)","상태 미선택 → 미수집 간주"),IF(G100="값 있음",IF(COUNTA(B104:G106)=0,"⚠ 값 있음인데 입력값 없음","✓ 정상"),IF(COUNTA(B104:G106)&gt;0,"⚠ 상태와 입력값 불일치","✓ 정상")))</f>
        <v>상태 미선택 → 미수집 간주</v>
      </c>
      <c r="I100" s="54"/>
    </row>
    <row r="101" ht="24.0" customHeight="1">
      <c r="B101" s="60" t="s">
        <v>399</v>
      </c>
    </row>
    <row r="102" ht="15.75" customHeight="1">
      <c r="A102" s="62" t="s">
        <v>24</v>
      </c>
      <c r="B102" s="13" t="s">
        <v>400</v>
      </c>
      <c r="C102" s="13" t="s">
        <v>401</v>
      </c>
      <c r="D102" s="13" t="s">
        <v>402</v>
      </c>
      <c r="E102" s="13" t="s">
        <v>403</v>
      </c>
      <c r="F102" s="13" t="s">
        <v>404</v>
      </c>
      <c r="G102" s="13" t="s">
        <v>405</v>
      </c>
    </row>
    <row r="103" ht="37.5" customHeight="1">
      <c r="A103" s="63" t="s">
        <v>111</v>
      </c>
      <c r="B103" s="64" t="s">
        <v>406</v>
      </c>
      <c r="C103" s="63" t="s">
        <v>130</v>
      </c>
      <c r="D103" s="64" t="s">
        <v>407</v>
      </c>
      <c r="E103" s="64" t="s">
        <v>408</v>
      </c>
      <c r="F103" s="64" t="s">
        <v>409</v>
      </c>
      <c r="G103" s="64" t="s">
        <v>158</v>
      </c>
    </row>
    <row r="104" ht="15.75" customHeight="1">
      <c r="A104" s="65">
        <v>1.0</v>
      </c>
      <c r="B104" s="42"/>
      <c r="C104" s="42"/>
      <c r="D104" s="42"/>
      <c r="E104" s="42"/>
      <c r="F104" s="42"/>
      <c r="G104" s="39"/>
    </row>
    <row r="105" ht="15.75" customHeight="1">
      <c r="A105" s="65">
        <v>2.0</v>
      </c>
      <c r="B105" s="42"/>
      <c r="C105" s="42"/>
      <c r="D105" s="42"/>
      <c r="E105" s="42"/>
      <c r="F105" s="42"/>
      <c r="G105" s="39"/>
    </row>
    <row r="106" ht="15.75" customHeight="1">
      <c r="A106" s="65">
        <v>3.0</v>
      </c>
      <c r="B106" s="42"/>
      <c r="C106" s="42"/>
      <c r="D106" s="42"/>
      <c r="E106" s="42"/>
      <c r="F106" s="42"/>
      <c r="G106" s="39"/>
    </row>
    <row r="107" ht="15.75" customHeight="1"/>
    <row r="108" ht="21.75" customHeight="1">
      <c r="A108" s="70">
        <v>10.0</v>
      </c>
      <c r="B108" s="80" t="s">
        <v>413</v>
      </c>
      <c r="C108" s="53"/>
      <c r="D108" s="53"/>
      <c r="E108" s="54"/>
      <c r="F108" s="73" t="s">
        <v>178</v>
      </c>
      <c r="G108" s="57"/>
      <c r="H108" s="74" t="str">
        <f>IF(G108="",IF(COUNTA(B112:E114)&gt;0,"⚠ 상태 미선택(입력값 있음)","상태 미선택 → 미수집 간주"),IF(G108="값 있음",IF(COUNTA(B112:E114)=0,"⚠ 값 있음인데 입력값 없음","✓ 정상"),IF(COUNTA(B112:E114)&gt;0,"⚠ 상태와 입력값 불일치","✓ 정상")))</f>
        <v>상태 미선택 → 미수집 간주</v>
      </c>
      <c r="I108" s="54"/>
    </row>
    <row r="109" ht="24.0" customHeight="1">
      <c r="B109" s="60" t="s">
        <v>428</v>
      </c>
    </row>
    <row r="110" ht="15.75" customHeight="1">
      <c r="A110" s="62" t="s">
        <v>24</v>
      </c>
      <c r="B110" s="13" t="s">
        <v>215</v>
      </c>
      <c r="C110" s="13" t="s">
        <v>193</v>
      </c>
      <c r="D110" s="13" t="s">
        <v>429</v>
      </c>
      <c r="E110" s="13" t="s">
        <v>430</v>
      </c>
    </row>
    <row r="111" ht="25.5" customHeight="1">
      <c r="A111" s="63" t="s">
        <v>111</v>
      </c>
      <c r="B111" s="63" t="s">
        <v>130</v>
      </c>
      <c r="C111" s="64" t="s">
        <v>433</v>
      </c>
      <c r="D111" s="63" t="s">
        <v>78</v>
      </c>
      <c r="E111" s="63" t="s">
        <v>130</v>
      </c>
    </row>
    <row r="112" ht="15.75" customHeight="1">
      <c r="A112" s="65">
        <v>1.0</v>
      </c>
      <c r="B112" s="42"/>
      <c r="C112" s="39"/>
      <c r="D112" s="42"/>
      <c r="E112" s="42"/>
    </row>
    <row r="113" ht="15.75" customHeight="1">
      <c r="A113" s="65">
        <v>2.0</v>
      </c>
      <c r="B113" s="42"/>
      <c r="C113" s="39"/>
      <c r="D113" s="42"/>
      <c r="E113" s="42"/>
    </row>
    <row r="114" ht="15.75" customHeight="1">
      <c r="A114" s="65">
        <v>3.0</v>
      </c>
      <c r="B114" s="42"/>
      <c r="C114" s="39"/>
      <c r="D114" s="42"/>
      <c r="E114" s="42"/>
    </row>
    <row r="115" ht="15.75" customHeight="1"/>
    <row r="116" ht="21.75" customHeight="1">
      <c r="A116" s="33" t="s">
        <v>434</v>
      </c>
      <c r="B116" s="8"/>
      <c r="C116" s="8"/>
      <c r="D116" s="8"/>
      <c r="E116" s="8"/>
      <c r="F116" s="8"/>
      <c r="G116" s="8"/>
      <c r="H116" s="8"/>
      <c r="I116" s="7"/>
    </row>
    <row r="117" ht="21.75" customHeight="1">
      <c r="A117" s="51">
        <v>11.0</v>
      </c>
      <c r="B117" s="52" t="s">
        <v>438</v>
      </c>
      <c r="C117" s="53"/>
      <c r="D117" s="53"/>
      <c r="E117" s="54"/>
      <c r="F117" s="55" t="s">
        <v>178</v>
      </c>
      <c r="G117" s="57"/>
      <c r="H117" s="59" t="str">
        <f>IF(G117="",IF(COUNTA(B121:I123)&gt;0,"⚠ 상태 미선택(입력값 있음)","상태 미선택 → 미수집 간주"),IF(G117="값 있음",IF(COUNTA(B121:I123)=0,"⚠ 값 있음인데 입력값 없음","✓ 정상"),IF(COUNTA(B121:I123)&gt;0,"⚠ 상태와 입력값 불일치","✓ 정상")))</f>
        <v>상태 미선택 → 미수집 간주</v>
      </c>
      <c r="I117" s="54"/>
    </row>
    <row r="118" ht="24.0" customHeight="1">
      <c r="B118" s="60" t="s">
        <v>449</v>
      </c>
    </row>
    <row r="119" ht="15.75" customHeight="1">
      <c r="A119" s="62" t="s">
        <v>24</v>
      </c>
      <c r="B119" s="13" t="s">
        <v>400</v>
      </c>
      <c r="C119" s="13" t="s">
        <v>450</v>
      </c>
      <c r="D119" s="13" t="s">
        <v>452</v>
      </c>
      <c r="E119" s="13" t="s">
        <v>380</v>
      </c>
      <c r="F119" s="13" t="s">
        <v>381</v>
      </c>
      <c r="G119" s="13" t="s">
        <v>453</v>
      </c>
      <c r="H119" s="13" t="s">
        <v>454</v>
      </c>
      <c r="I119" s="62" t="s">
        <v>456</v>
      </c>
    </row>
    <row r="120" ht="25.5" customHeight="1">
      <c r="A120" s="63" t="s">
        <v>111</v>
      </c>
      <c r="B120" s="64" t="s">
        <v>458</v>
      </c>
      <c r="C120" s="63" t="s">
        <v>130</v>
      </c>
      <c r="D120" s="63" t="s">
        <v>130</v>
      </c>
      <c r="E120" s="64" t="s">
        <v>158</v>
      </c>
      <c r="F120" s="64" t="s">
        <v>158</v>
      </c>
      <c r="G120" s="63" t="s">
        <v>78</v>
      </c>
      <c r="H120" s="64" t="s">
        <v>461</v>
      </c>
      <c r="I120" s="64" t="s">
        <v>462</v>
      </c>
    </row>
    <row r="121" ht="15.75" customHeight="1">
      <c r="A121" s="65">
        <v>1.0</v>
      </c>
      <c r="B121" s="42"/>
      <c r="C121" s="42"/>
      <c r="D121" s="42"/>
      <c r="E121" s="39"/>
      <c r="F121" s="39"/>
      <c r="G121" s="42"/>
      <c r="H121" s="42"/>
      <c r="I121" s="42"/>
    </row>
    <row r="122" ht="15.75" customHeight="1">
      <c r="A122" s="65">
        <v>2.0</v>
      </c>
      <c r="B122" s="42"/>
      <c r="C122" s="42"/>
      <c r="D122" s="42"/>
      <c r="E122" s="39"/>
      <c r="F122" s="39"/>
      <c r="G122" s="42"/>
      <c r="H122" s="42"/>
      <c r="I122" s="42"/>
    </row>
    <row r="123" ht="15.75" customHeight="1">
      <c r="A123" s="65">
        <v>3.0</v>
      </c>
      <c r="B123" s="42"/>
      <c r="C123" s="42"/>
      <c r="D123" s="42"/>
      <c r="E123" s="39"/>
      <c r="F123" s="39"/>
      <c r="G123" s="42"/>
      <c r="H123" s="42"/>
      <c r="I123" s="42"/>
    </row>
    <row r="124" ht="15.75" customHeight="1"/>
    <row r="125" ht="21.75" customHeight="1">
      <c r="A125" s="51">
        <v>12.0</v>
      </c>
      <c r="B125" s="52" t="s">
        <v>330</v>
      </c>
      <c r="C125" s="53"/>
      <c r="D125" s="53"/>
      <c r="E125" s="54"/>
      <c r="F125" s="55" t="s">
        <v>178</v>
      </c>
      <c r="G125" s="57"/>
      <c r="H125" s="59" t="str">
        <f>IF(G125="",IF(COUNTA(B129:F131)&gt;0,"⚠ 상태 미선택(입력값 있음)","상태 미선택 → 미수집 간주"),IF(G125="값 있음",IF(COUNTA(B129:F131)=0,"⚠ 값 있음인데 입력값 없음","✓ 정상"),IF(COUNTA(B129:F131)&gt;0,"⚠ 상태와 입력값 불일치","✓ 정상")))</f>
        <v>상태 미선택 → 미수집 간주</v>
      </c>
      <c r="I125" s="54"/>
    </row>
    <row r="126" ht="24.0" customHeight="1">
      <c r="B126" s="60" t="s">
        <v>477</v>
      </c>
    </row>
    <row r="127" ht="15.75" customHeight="1">
      <c r="A127" s="62" t="s">
        <v>24</v>
      </c>
      <c r="B127" s="13" t="s">
        <v>480</v>
      </c>
      <c r="C127" s="13" t="s">
        <v>482</v>
      </c>
      <c r="D127" s="13" t="s">
        <v>483</v>
      </c>
      <c r="E127" s="13" t="s">
        <v>486</v>
      </c>
      <c r="F127" s="13" t="s">
        <v>487</v>
      </c>
    </row>
    <row r="128" ht="25.5" customHeight="1">
      <c r="A128" s="63" t="s">
        <v>111</v>
      </c>
      <c r="B128" s="63" t="s">
        <v>130</v>
      </c>
      <c r="C128" s="63" t="s">
        <v>130</v>
      </c>
      <c r="D128" s="63" t="s">
        <v>78</v>
      </c>
      <c r="E128" s="63" t="s">
        <v>78</v>
      </c>
      <c r="F128" s="64" t="s">
        <v>491</v>
      </c>
    </row>
    <row r="129" ht="15.75" customHeight="1">
      <c r="A129" s="65">
        <v>1.0</v>
      </c>
      <c r="B129" s="42"/>
      <c r="C129" s="42"/>
      <c r="D129" s="42"/>
      <c r="E129" s="42"/>
      <c r="F129" s="42"/>
    </row>
    <row r="130" ht="15.75" customHeight="1">
      <c r="A130" s="65">
        <v>2.0</v>
      </c>
      <c r="B130" s="42"/>
      <c r="C130" s="42"/>
      <c r="D130" s="42"/>
      <c r="E130" s="42"/>
      <c r="F130" s="42"/>
    </row>
    <row r="131" ht="15.75" customHeight="1">
      <c r="A131" s="65">
        <v>3.0</v>
      </c>
      <c r="B131" s="42"/>
      <c r="C131" s="42"/>
      <c r="D131" s="42"/>
      <c r="E131" s="42"/>
      <c r="F131" s="42"/>
    </row>
    <row r="132" ht="15.75" customHeight="1"/>
    <row r="133" ht="21.75" customHeight="1">
      <c r="A133" s="76">
        <v>13.0</v>
      </c>
      <c r="B133" s="77" t="s">
        <v>496</v>
      </c>
      <c r="C133" s="53"/>
      <c r="D133" s="53"/>
      <c r="E133" s="54"/>
      <c r="F133" s="78" t="s">
        <v>178</v>
      </c>
      <c r="G133" s="57"/>
      <c r="H133" s="79" t="str">
        <f>IF(G133="",IF(COUNTA(C135:C138)&gt;0,"⚠ 상태 미선택(입력값 있음)","상태 미선택 → 미수집 간주"),IF(G133="값 있음",IF(COUNTA(C135:C138)=0,"⚠ 값 있음인데 입력값 없음","✓ 정상"),IF(COUNTA(C135:C138)&gt;0,"⚠ 상태와 입력값 불일치","✓ 정상")))</f>
        <v>상태 미선택 → 미수집 간주</v>
      </c>
      <c r="I133" s="54"/>
    </row>
    <row r="134" ht="24.0" customHeight="1">
      <c r="B134" s="60" t="s">
        <v>513</v>
      </c>
    </row>
    <row r="135" ht="15.75" customHeight="1">
      <c r="B135" s="17" t="s">
        <v>515</v>
      </c>
      <c r="C135" s="42"/>
      <c r="D135" s="40" t="s">
        <v>78</v>
      </c>
      <c r="E135" s="41"/>
    </row>
    <row r="136" ht="15.75" customHeight="1">
      <c r="B136" s="17" t="s">
        <v>521</v>
      </c>
      <c r="C136" s="42"/>
      <c r="D136" s="40" t="s">
        <v>147</v>
      </c>
      <c r="E136" s="50" t="s">
        <v>462</v>
      </c>
    </row>
    <row r="137" ht="15.75" customHeight="1">
      <c r="B137" s="17" t="s">
        <v>523</v>
      </c>
      <c r="C137" s="42"/>
      <c r="D137" s="40" t="s">
        <v>130</v>
      </c>
      <c r="E137" s="41"/>
    </row>
    <row r="138" ht="30.0" customHeight="1">
      <c r="B138" s="17" t="s">
        <v>524</v>
      </c>
      <c r="C138" s="42"/>
      <c r="D138" s="40" t="s">
        <v>525</v>
      </c>
      <c r="E138" s="50" t="s">
        <v>526</v>
      </c>
    </row>
    <row r="139" ht="15.75" customHeight="1"/>
    <row r="140" ht="21.75" customHeight="1">
      <c r="A140" s="33" t="s">
        <v>527</v>
      </c>
      <c r="B140" s="8"/>
      <c r="C140" s="8"/>
      <c r="D140" s="8"/>
      <c r="E140" s="8"/>
      <c r="F140" s="8"/>
      <c r="G140" s="8"/>
      <c r="H140" s="8"/>
      <c r="I140" s="7"/>
    </row>
    <row r="141" ht="21.75" customHeight="1">
      <c r="A141" s="51">
        <v>14.0</v>
      </c>
      <c r="B141" s="52" t="s">
        <v>531</v>
      </c>
      <c r="C141" s="53"/>
      <c r="D141" s="53"/>
      <c r="E141" s="54"/>
      <c r="F141" s="55" t="s">
        <v>178</v>
      </c>
      <c r="G141" s="57"/>
      <c r="H141" s="59" t="str">
        <f>IF(G141="",IF(COUNTA(B145:H149)&gt;0,"⚠ 상태 미선택(입력값 있음)","상태 미선택 → 미수집 간주"),IF(G141="값 있음",IF(COUNTA(B145:H149)=0,"⚠ 값 있음인데 입력값 없음","✓ 정상"),IF(COUNTA(B145:H149)&gt;0,"⚠ 상태와 입력값 불일치","✓ 정상")))</f>
        <v>상태 미선택 → 미수집 간주</v>
      </c>
      <c r="I141" s="54"/>
    </row>
    <row r="142" ht="24.0" customHeight="1">
      <c r="B142" s="60" t="s">
        <v>551</v>
      </c>
    </row>
    <row r="143" ht="15.75" customHeight="1">
      <c r="A143" s="62" t="s">
        <v>24</v>
      </c>
      <c r="B143" s="13" t="s">
        <v>552</v>
      </c>
      <c r="C143" s="13" t="s">
        <v>553</v>
      </c>
      <c r="D143" s="13" t="s">
        <v>554</v>
      </c>
      <c r="E143" s="13" t="s">
        <v>555</v>
      </c>
      <c r="F143" s="13" t="s">
        <v>556</v>
      </c>
      <c r="G143" s="13" t="s">
        <v>557</v>
      </c>
      <c r="H143" s="13" t="s">
        <v>558</v>
      </c>
    </row>
    <row r="144" ht="25.5" customHeight="1">
      <c r="A144" s="63" t="s">
        <v>111</v>
      </c>
      <c r="B144" s="63" t="s">
        <v>130</v>
      </c>
      <c r="C144" s="63" t="s">
        <v>130</v>
      </c>
      <c r="D144" s="64" t="s">
        <v>559</v>
      </c>
      <c r="E144" s="64" t="s">
        <v>560</v>
      </c>
      <c r="F144" s="64" t="s">
        <v>561</v>
      </c>
      <c r="G144" s="63" t="s">
        <v>130</v>
      </c>
      <c r="H144" s="64" t="s">
        <v>158</v>
      </c>
    </row>
    <row r="145" ht="15.75" customHeight="1">
      <c r="A145" s="65">
        <v>1.0</v>
      </c>
      <c r="B145" s="42"/>
      <c r="C145" s="42"/>
      <c r="D145" s="42"/>
      <c r="E145" s="42"/>
      <c r="F145" s="42"/>
      <c r="G145" s="42"/>
      <c r="H145" s="39"/>
    </row>
    <row r="146" ht="15.75" customHeight="1">
      <c r="A146" s="65">
        <v>2.0</v>
      </c>
      <c r="B146" s="42"/>
      <c r="C146" s="42"/>
      <c r="D146" s="42"/>
      <c r="E146" s="42"/>
      <c r="F146" s="42"/>
      <c r="G146" s="42"/>
      <c r="H146" s="39"/>
    </row>
    <row r="147" ht="15.75" customHeight="1">
      <c r="A147" s="65">
        <v>3.0</v>
      </c>
      <c r="B147" s="42"/>
      <c r="C147" s="42"/>
      <c r="D147" s="42"/>
      <c r="E147" s="42"/>
      <c r="F147" s="42"/>
      <c r="G147" s="42"/>
      <c r="H147" s="39"/>
    </row>
    <row r="148" ht="15.75" customHeight="1">
      <c r="A148" s="65">
        <v>4.0</v>
      </c>
      <c r="B148" s="42"/>
      <c r="C148" s="42"/>
      <c r="D148" s="42"/>
      <c r="E148" s="42"/>
      <c r="F148" s="42"/>
      <c r="G148" s="42"/>
      <c r="H148" s="39"/>
    </row>
    <row r="149" ht="15.75" customHeight="1">
      <c r="A149" s="65">
        <v>5.0</v>
      </c>
      <c r="B149" s="42"/>
      <c r="C149" s="42"/>
      <c r="D149" s="42"/>
      <c r="E149" s="42"/>
      <c r="F149" s="42"/>
      <c r="G149" s="42"/>
      <c r="H149" s="39"/>
    </row>
    <row r="150" ht="15.75" customHeight="1"/>
    <row r="151" ht="21.75" customHeight="1">
      <c r="A151" s="51">
        <v>15.0</v>
      </c>
      <c r="B151" s="52" t="s">
        <v>374</v>
      </c>
      <c r="C151" s="53"/>
      <c r="D151" s="53"/>
      <c r="E151" s="54"/>
      <c r="F151" s="55" t="s">
        <v>178</v>
      </c>
      <c r="G151" s="57"/>
      <c r="H151" s="59" t="str">
        <f>IF(G151="",IF(COUNTA(B155:E156)&gt;0,"⚠ 상태 미선택(입력값 있음)","상태 미선택 → 미수집 간주"),IF(G151="값 있음",IF(COUNTA(B155:E156)=0,"⚠ 값 있음인데 입력값 없음","✓ 정상"),IF(COUNTA(B155:E156)&gt;0,"⚠ 상태와 입력값 불일치","✓ 정상")))</f>
        <v>상태 미선택 → 미수집 간주</v>
      </c>
      <c r="I151" s="54"/>
    </row>
    <row r="152" ht="15.0" customHeight="1">
      <c r="B152" s="60" t="s">
        <v>583</v>
      </c>
    </row>
    <row r="153" ht="15.75" customHeight="1">
      <c r="A153" s="62" t="s">
        <v>24</v>
      </c>
      <c r="B153" s="13" t="s">
        <v>400</v>
      </c>
      <c r="C153" s="13" t="s">
        <v>587</v>
      </c>
      <c r="D153" s="13" t="s">
        <v>555</v>
      </c>
      <c r="E153" s="13" t="s">
        <v>558</v>
      </c>
    </row>
    <row r="154" ht="25.5" customHeight="1">
      <c r="A154" s="63" t="s">
        <v>111</v>
      </c>
      <c r="B154" s="64" t="s">
        <v>588</v>
      </c>
      <c r="C154" s="63" t="s">
        <v>130</v>
      </c>
      <c r="D154" s="63" t="s">
        <v>130</v>
      </c>
      <c r="E154" s="64" t="s">
        <v>158</v>
      </c>
    </row>
    <row r="155" ht="15.75" customHeight="1">
      <c r="A155" s="65">
        <v>1.0</v>
      </c>
      <c r="B155" s="42"/>
      <c r="C155" s="42"/>
      <c r="D155" s="42"/>
      <c r="E155" s="39"/>
    </row>
    <row r="156" ht="15.75" customHeight="1">
      <c r="A156" s="65">
        <v>2.0</v>
      </c>
      <c r="B156" s="42"/>
      <c r="C156" s="42"/>
      <c r="D156" s="42"/>
      <c r="E156" s="39"/>
    </row>
    <row r="157" ht="15.75" customHeight="1"/>
    <row r="158" ht="21.75" customHeight="1">
      <c r="A158" s="70">
        <v>16.0</v>
      </c>
      <c r="B158" s="72" t="s">
        <v>592</v>
      </c>
      <c r="C158" s="53"/>
      <c r="D158" s="53"/>
      <c r="E158" s="54"/>
      <c r="F158" s="73" t="s">
        <v>178</v>
      </c>
      <c r="G158" s="57"/>
      <c r="H158" s="74" t="str">
        <f>IF(G158="",IF(COUNTA(B162:G163)&gt;0,"⚠ 상태 미선택(입력값 있음)","상태 미선택 → 미수집 간주"),IF(G158="값 있음",IF(COUNTA(B162:G163)=0,"⚠ 값 있음인데 입력값 없음","✓ 정상"),IF(COUNTA(B162:G163)&gt;0,"⚠ 상태와 입력값 불일치","✓ 정상")))</f>
        <v>상태 미선택 → 미수집 간주</v>
      </c>
      <c r="I158" s="54"/>
    </row>
    <row r="159" ht="24.0" customHeight="1">
      <c r="B159" s="60" t="s">
        <v>606</v>
      </c>
    </row>
    <row r="160" ht="15.75" customHeight="1">
      <c r="A160" s="62" t="s">
        <v>24</v>
      </c>
      <c r="B160" s="13" t="s">
        <v>400</v>
      </c>
      <c r="C160" s="13" t="s">
        <v>608</v>
      </c>
      <c r="D160" s="13" t="s">
        <v>403</v>
      </c>
      <c r="E160" s="13" t="s">
        <v>612</v>
      </c>
      <c r="F160" s="13" t="s">
        <v>558</v>
      </c>
      <c r="G160" s="13" t="s">
        <v>613</v>
      </c>
    </row>
    <row r="161" ht="25.5" customHeight="1">
      <c r="A161" s="63" t="s">
        <v>111</v>
      </c>
      <c r="B161" s="64" t="s">
        <v>614</v>
      </c>
      <c r="C161" s="63" t="s">
        <v>130</v>
      </c>
      <c r="D161" s="64" t="s">
        <v>616</v>
      </c>
      <c r="E161" s="63" t="s">
        <v>130</v>
      </c>
      <c r="F161" s="64" t="s">
        <v>158</v>
      </c>
      <c r="G161" s="64" t="s">
        <v>617</v>
      </c>
    </row>
    <row r="162" ht="15.75" customHeight="1">
      <c r="A162" s="65">
        <v>1.0</v>
      </c>
      <c r="B162" s="42"/>
      <c r="C162" s="42"/>
      <c r="D162" s="42"/>
      <c r="E162" s="42"/>
      <c r="F162" s="39"/>
      <c r="G162" s="42"/>
    </row>
    <row r="163" ht="15.75" customHeight="1">
      <c r="A163" s="65">
        <v>2.0</v>
      </c>
      <c r="B163" s="42"/>
      <c r="C163" s="42"/>
      <c r="D163" s="42"/>
      <c r="E163" s="42"/>
      <c r="F163" s="39"/>
      <c r="G163" s="42"/>
    </row>
    <row r="164" ht="15.75" customHeight="1"/>
    <row r="165" ht="21.75" customHeight="1">
      <c r="A165" s="33" t="s">
        <v>620</v>
      </c>
      <c r="B165" s="8"/>
      <c r="C165" s="8"/>
      <c r="D165" s="8"/>
      <c r="E165" s="8"/>
      <c r="F165" s="8"/>
      <c r="G165" s="8"/>
      <c r="H165" s="8"/>
      <c r="I165" s="7"/>
    </row>
    <row r="166" ht="21.75" customHeight="1">
      <c r="A166" s="51">
        <v>17.0</v>
      </c>
      <c r="B166" s="52" t="s">
        <v>624</v>
      </c>
      <c r="C166" s="53"/>
      <c r="D166" s="53"/>
      <c r="E166" s="54"/>
      <c r="F166" s="55" t="s">
        <v>178</v>
      </c>
      <c r="G166" s="57"/>
      <c r="H166" s="59" t="str">
        <f>IF(G166="",IF(COUNTA(B170:G172)&gt;0,"⚠ 상태 미선택(입력값 있음)","상태 미선택 → 미수집 간주"),IF(G166="값 있음",IF(COUNTA(B170:G172)=0,"⚠ 값 있음인데 입력값 없음","✓ 정상"),IF(COUNTA(B170:G172)&gt;0,"⚠ 상태와 입력값 불일치","✓ 정상")))</f>
        <v>상태 미선택 → 미수집 간주</v>
      </c>
      <c r="I166" s="54"/>
    </row>
    <row r="167" ht="24.0" customHeight="1">
      <c r="B167" s="60" t="s">
        <v>630</v>
      </c>
    </row>
    <row r="168" ht="15.75" customHeight="1">
      <c r="A168" s="62" t="s">
        <v>24</v>
      </c>
      <c r="B168" s="13" t="s">
        <v>400</v>
      </c>
      <c r="C168" s="13" t="s">
        <v>633</v>
      </c>
      <c r="D168" s="13" t="s">
        <v>636</v>
      </c>
      <c r="E168" s="13" t="s">
        <v>638</v>
      </c>
      <c r="F168" s="13" t="s">
        <v>639</v>
      </c>
      <c r="G168" s="62" t="s">
        <v>640</v>
      </c>
    </row>
    <row r="169" ht="37.5" customHeight="1">
      <c r="A169" s="63" t="s">
        <v>111</v>
      </c>
      <c r="B169" s="64" t="s">
        <v>642</v>
      </c>
      <c r="C169" s="63" t="s">
        <v>130</v>
      </c>
      <c r="D169" s="63" t="s">
        <v>130</v>
      </c>
      <c r="E169" s="63" t="s">
        <v>78</v>
      </c>
      <c r="F169" s="64" t="s">
        <v>158</v>
      </c>
      <c r="G169" s="64" t="s">
        <v>462</v>
      </c>
    </row>
    <row r="170" ht="15.75" customHeight="1">
      <c r="A170" s="65">
        <v>1.0</v>
      </c>
      <c r="B170" s="42"/>
      <c r="C170" s="42"/>
      <c r="D170" s="42"/>
      <c r="E170" s="42"/>
      <c r="F170" s="39"/>
      <c r="G170" s="42"/>
    </row>
    <row r="171" ht="15.75" customHeight="1">
      <c r="A171" s="65">
        <v>2.0</v>
      </c>
      <c r="B171" s="42"/>
      <c r="C171" s="42"/>
      <c r="D171" s="42"/>
      <c r="E171" s="42"/>
      <c r="F171" s="39"/>
      <c r="G171" s="42"/>
    </row>
    <row r="172" ht="15.75" customHeight="1">
      <c r="A172" s="65">
        <v>3.0</v>
      </c>
      <c r="B172" s="42"/>
      <c r="C172" s="42"/>
      <c r="D172" s="42"/>
      <c r="E172" s="42"/>
      <c r="F172" s="39"/>
      <c r="G172" s="42"/>
    </row>
    <row r="173" ht="15.75" customHeight="1"/>
    <row r="174" ht="21.75" customHeight="1">
      <c r="A174" s="70">
        <v>18.0</v>
      </c>
      <c r="B174" s="72" t="s">
        <v>431</v>
      </c>
      <c r="C174" s="53"/>
      <c r="D174" s="53"/>
      <c r="E174" s="54"/>
      <c r="F174" s="73" t="s">
        <v>178</v>
      </c>
      <c r="G174" s="57"/>
      <c r="H174" s="74" t="str">
        <f>IF(G174="",IF(COUNTA(C176:C178)&gt;0,"⚠ 상태 미선택(입력값 있음)","상태 미선택 → 미수집 간주"),IF(G174="값 있음",IF(COUNTA(C176:C178)=0,"⚠ 값 있음인데 입력값 없음","✓ 정상"),IF(COUNTA(C176:C178)&gt;0,"⚠ 상태와 입력값 불일치","✓ 정상")))</f>
        <v>상태 미선택 → 미수집 간주</v>
      </c>
      <c r="I174" s="54"/>
    </row>
    <row r="175" ht="24.0" customHeight="1">
      <c r="B175" s="60" t="s">
        <v>656</v>
      </c>
    </row>
    <row r="176" ht="15.75" customHeight="1">
      <c r="B176" s="17" t="s">
        <v>660</v>
      </c>
      <c r="C176" s="42"/>
      <c r="D176" s="40" t="s">
        <v>78</v>
      </c>
      <c r="E176" s="41" t="s">
        <v>663</v>
      </c>
    </row>
    <row r="177" ht="15.75" customHeight="1">
      <c r="B177" s="17" t="s">
        <v>667</v>
      </c>
      <c r="C177" s="42"/>
      <c r="D177" s="40" t="s">
        <v>78</v>
      </c>
      <c r="E177" s="41"/>
    </row>
    <row r="178" ht="15.75" customHeight="1">
      <c r="B178" s="17" t="s">
        <v>668</v>
      </c>
      <c r="C178" s="42"/>
      <c r="D178" s="40" t="s">
        <v>130</v>
      </c>
      <c r="E178" s="41" t="s">
        <v>670</v>
      </c>
    </row>
    <row r="179" ht="15.75" customHeight="1"/>
    <row r="180" ht="21.75" customHeight="1">
      <c r="A180" s="33" t="s">
        <v>672</v>
      </c>
      <c r="B180" s="8"/>
      <c r="C180" s="8"/>
      <c r="D180" s="8"/>
      <c r="E180" s="8"/>
      <c r="F180" s="8"/>
      <c r="G180" s="8"/>
      <c r="H180" s="8"/>
      <c r="I180" s="7"/>
    </row>
    <row r="181" ht="21.75" customHeight="1">
      <c r="A181" s="51">
        <v>19.0</v>
      </c>
      <c r="B181" s="75" t="s">
        <v>680</v>
      </c>
      <c r="C181" s="53"/>
      <c r="D181" s="53"/>
      <c r="E181" s="54"/>
      <c r="F181" s="55" t="s">
        <v>178</v>
      </c>
      <c r="G181" s="57"/>
      <c r="H181" s="59" t="str">
        <f>IF(G181="",IF(COUNTA(B185:F188)&gt;0,"⚠ 상태 미선택(입력값 있음)","상태 미선택 → 미수집 간주"),IF(G181="값 있음",IF(COUNTA(B185:F188)=0,"⚠ 값 있음인데 입력값 없음","✓ 정상"),IF(COUNTA(B185:F188)&gt;0,"⚠ 상태와 입력값 불일치","✓ 정상")))</f>
        <v>상태 미선택 → 미수집 간주</v>
      </c>
      <c r="I181" s="54"/>
    </row>
    <row r="182" ht="24.0" customHeight="1">
      <c r="B182" s="60" t="s">
        <v>692</v>
      </c>
    </row>
    <row r="183" ht="15.75" customHeight="1">
      <c r="A183" s="62" t="s">
        <v>24</v>
      </c>
      <c r="B183" s="13" t="s">
        <v>20</v>
      </c>
      <c r="C183" s="13" t="s">
        <v>695</v>
      </c>
      <c r="D183" s="13" t="s">
        <v>697</v>
      </c>
      <c r="E183" s="13" t="s">
        <v>698</v>
      </c>
      <c r="F183" s="13" t="s">
        <v>699</v>
      </c>
    </row>
    <row r="184" ht="25.5" customHeight="1">
      <c r="A184" s="63" t="s">
        <v>111</v>
      </c>
      <c r="B184" s="64" t="s">
        <v>700</v>
      </c>
      <c r="C184" s="63" t="s">
        <v>130</v>
      </c>
      <c r="D184" s="63" t="s">
        <v>78</v>
      </c>
      <c r="E184" s="64" t="s">
        <v>158</v>
      </c>
      <c r="F184" s="64" t="s">
        <v>702</v>
      </c>
    </row>
    <row r="185" ht="15.75" customHeight="1">
      <c r="A185" s="65">
        <v>1.0</v>
      </c>
      <c r="B185" s="42"/>
      <c r="C185" s="42"/>
      <c r="D185" s="42"/>
      <c r="E185" s="39"/>
      <c r="F185" s="42"/>
    </row>
    <row r="186" ht="15.75" customHeight="1">
      <c r="A186" s="65">
        <v>2.0</v>
      </c>
      <c r="B186" s="42"/>
      <c r="C186" s="42"/>
      <c r="D186" s="42"/>
      <c r="E186" s="39"/>
      <c r="F186" s="42"/>
    </row>
    <row r="187" ht="15.75" customHeight="1">
      <c r="A187" s="65">
        <v>3.0</v>
      </c>
      <c r="B187" s="42"/>
      <c r="C187" s="42"/>
      <c r="D187" s="42"/>
      <c r="E187" s="39"/>
      <c r="F187" s="42"/>
    </row>
    <row r="188" ht="15.75" customHeight="1">
      <c r="A188" s="65">
        <v>4.0</v>
      </c>
      <c r="B188" s="42"/>
      <c r="C188" s="42"/>
      <c r="D188" s="42"/>
      <c r="E188" s="39"/>
      <c r="F188" s="42"/>
    </row>
    <row r="189" ht="15.75" customHeight="1"/>
    <row r="190" ht="21.75" customHeight="1">
      <c r="A190" s="70">
        <v>20.0</v>
      </c>
      <c r="B190" s="80" t="s">
        <v>713</v>
      </c>
      <c r="C190" s="53"/>
      <c r="D190" s="53"/>
      <c r="E190" s="54"/>
      <c r="F190" s="73" t="s">
        <v>178</v>
      </c>
      <c r="G190" s="57"/>
      <c r="H190" s="74" t="str">
        <f>IF(G190="",IF(COUNTA(B194:G196)&gt;0,"⚠ 상태 미선택(입력값 있음)","상태 미선택 → 미수집 간주"),IF(G190="값 있음",IF(COUNTA(B194:G196)=0,"⚠ 값 있음인데 입력값 없음","✓ 정상"),IF(COUNTA(B194:G196)&gt;0,"⚠ 상태와 입력값 불일치","✓ 정상")))</f>
        <v>상태 미선택 → 미수집 간주</v>
      </c>
      <c r="I190" s="54"/>
    </row>
    <row r="191" ht="24.0" customHeight="1">
      <c r="B191" s="60" t="s">
        <v>725</v>
      </c>
    </row>
    <row r="192" ht="15.75" customHeight="1">
      <c r="A192" s="62" t="s">
        <v>24</v>
      </c>
      <c r="B192" s="13" t="s">
        <v>400</v>
      </c>
      <c r="C192" s="13" t="s">
        <v>608</v>
      </c>
      <c r="D192" s="13" t="s">
        <v>557</v>
      </c>
      <c r="E192" s="13" t="s">
        <v>729</v>
      </c>
      <c r="F192" s="13" t="s">
        <v>554</v>
      </c>
      <c r="G192" s="13" t="s">
        <v>558</v>
      </c>
    </row>
    <row r="193" ht="25.5" customHeight="1">
      <c r="A193" s="63" t="s">
        <v>111</v>
      </c>
      <c r="B193" s="64" t="s">
        <v>733</v>
      </c>
      <c r="C193" s="63" t="s">
        <v>130</v>
      </c>
      <c r="D193" s="63" t="s">
        <v>130</v>
      </c>
      <c r="E193" s="63" t="s">
        <v>130</v>
      </c>
      <c r="F193" s="64" t="s">
        <v>735</v>
      </c>
      <c r="G193" s="64" t="s">
        <v>158</v>
      </c>
    </row>
    <row r="194" ht="15.75" customHeight="1">
      <c r="A194" s="65">
        <v>1.0</v>
      </c>
      <c r="B194" s="42"/>
      <c r="C194" s="42"/>
      <c r="D194" s="42"/>
      <c r="E194" s="42"/>
      <c r="F194" s="42"/>
      <c r="G194" s="39"/>
    </row>
    <row r="195" ht="15.75" customHeight="1">
      <c r="A195" s="65">
        <v>2.0</v>
      </c>
      <c r="B195" s="42"/>
      <c r="C195" s="42"/>
      <c r="D195" s="42"/>
      <c r="E195" s="42"/>
      <c r="F195" s="42"/>
      <c r="G195" s="39"/>
    </row>
    <row r="196" ht="15.75" customHeight="1">
      <c r="A196" s="65">
        <v>3.0</v>
      </c>
      <c r="B196" s="42"/>
      <c r="C196" s="42"/>
      <c r="D196" s="42"/>
      <c r="E196" s="42"/>
      <c r="F196" s="42"/>
      <c r="G196" s="39"/>
    </row>
    <row r="197" ht="15.75" customHeight="1"/>
    <row r="198" ht="21.75" customHeight="1">
      <c r="A198" s="51">
        <v>21.0</v>
      </c>
      <c r="B198" s="52" t="s">
        <v>504</v>
      </c>
      <c r="C198" s="53"/>
      <c r="D198" s="53"/>
      <c r="E198" s="54"/>
      <c r="F198" s="55" t="s">
        <v>178</v>
      </c>
      <c r="G198" s="57"/>
      <c r="H198" s="59" t="str">
        <f>IF(G198="",IF(COUNTA(B202:D205)&gt;0,"⚠ 상태 미선택(입력값 있음)","상태 미선택 → 미수집 간주"),IF(G198="값 있음",IF(COUNTA(B202:D205)=0,"⚠ 값 있음인데 입력값 없음","✓ 정상"),IF(COUNTA(B202:D205)&gt;0,"⚠ 상태와 입력값 불일치","✓ 정상")))</f>
        <v>상태 미선택 → 미수집 간주</v>
      </c>
      <c r="I198" s="54"/>
    </row>
    <row r="199" ht="24.0" customHeight="1">
      <c r="B199" s="60" t="s">
        <v>751</v>
      </c>
    </row>
    <row r="200" ht="15.75" customHeight="1">
      <c r="A200" s="62" t="s">
        <v>24</v>
      </c>
      <c r="B200" s="13" t="s">
        <v>753</v>
      </c>
      <c r="C200" s="13" t="s">
        <v>755</v>
      </c>
      <c r="D200" s="13" t="s">
        <v>756</v>
      </c>
    </row>
    <row r="201" ht="15.0" customHeight="1">
      <c r="A201" s="63" t="s">
        <v>111</v>
      </c>
      <c r="B201" s="63" t="s">
        <v>759</v>
      </c>
      <c r="C201" s="64" t="s">
        <v>762</v>
      </c>
      <c r="D201" s="63" t="s">
        <v>525</v>
      </c>
    </row>
    <row r="202" ht="36.0" customHeight="1">
      <c r="A202" s="65">
        <v>1.0</v>
      </c>
      <c r="B202" s="42"/>
      <c r="C202" s="42"/>
      <c r="D202" s="42"/>
    </row>
    <row r="203" ht="36.0" customHeight="1">
      <c r="A203" s="65">
        <v>2.0</v>
      </c>
      <c r="B203" s="42"/>
      <c r="C203" s="42"/>
      <c r="D203" s="42"/>
    </row>
    <row r="204" ht="36.0" customHeight="1">
      <c r="A204" s="65">
        <v>3.0</v>
      </c>
      <c r="B204" s="42"/>
      <c r="C204" s="42"/>
      <c r="D204" s="42"/>
    </row>
    <row r="205" ht="36.0" customHeight="1">
      <c r="A205" s="65">
        <v>4.0</v>
      </c>
      <c r="B205" s="42"/>
      <c r="C205" s="42"/>
      <c r="D205" s="42"/>
    </row>
    <row r="206" ht="15.75" customHeight="1"/>
    <row r="207" ht="21.75" customHeight="1">
      <c r="A207" s="33" t="s">
        <v>773</v>
      </c>
      <c r="B207" s="8"/>
      <c r="C207" s="8"/>
      <c r="D207" s="8"/>
      <c r="E207" s="8"/>
      <c r="F207" s="8"/>
      <c r="G207" s="8"/>
      <c r="H207" s="8"/>
      <c r="I207" s="7"/>
    </row>
    <row r="208" ht="21.75" customHeight="1">
      <c r="A208" s="51">
        <v>22.0</v>
      </c>
      <c r="B208" s="52" t="s">
        <v>781</v>
      </c>
      <c r="C208" s="53"/>
      <c r="D208" s="53"/>
      <c r="E208" s="54"/>
      <c r="F208" s="55" t="s">
        <v>178</v>
      </c>
      <c r="G208" s="57"/>
      <c r="H208" s="59" t="str">
        <f>IF(G208="",IF(COUNTA(B212:I215)&gt;0,"⚠ 상태 미선택(입력값 있음)","상태 미선택 → 미수집 간주"),IF(G208="값 있음",IF(COUNTA(B212:I215)=0,"⚠ 값 있음인데 입력값 없음","✓ 정상"),IF(COUNTA(B212:I215)&gt;0,"⚠ 상태와 입력값 불일치","✓ 정상")))</f>
        <v>상태 미선택 → 미수집 간주</v>
      </c>
      <c r="I208" s="54"/>
    </row>
    <row r="209" ht="24.0" customHeight="1">
      <c r="B209" s="60" t="s">
        <v>808</v>
      </c>
    </row>
    <row r="210" ht="15.75" customHeight="1">
      <c r="A210" s="62" t="s">
        <v>24</v>
      </c>
      <c r="B210" s="13" t="s">
        <v>400</v>
      </c>
      <c r="C210" s="13" t="s">
        <v>809</v>
      </c>
      <c r="D210" s="13" t="s">
        <v>811</v>
      </c>
      <c r="E210" s="13" t="s">
        <v>380</v>
      </c>
      <c r="F210" s="13" t="s">
        <v>381</v>
      </c>
      <c r="G210" s="13" t="s">
        <v>813</v>
      </c>
      <c r="H210" s="13" t="s">
        <v>814</v>
      </c>
      <c r="I210" s="13" t="s">
        <v>815</v>
      </c>
    </row>
    <row r="211" ht="25.5" customHeight="1">
      <c r="A211" s="63" t="s">
        <v>111</v>
      </c>
      <c r="B211" s="64" t="s">
        <v>817</v>
      </c>
      <c r="C211" s="63" t="s">
        <v>130</v>
      </c>
      <c r="D211" s="64" t="s">
        <v>819</v>
      </c>
      <c r="E211" s="64" t="s">
        <v>158</v>
      </c>
      <c r="F211" s="64" t="s">
        <v>821</v>
      </c>
      <c r="G211" s="63" t="s">
        <v>78</v>
      </c>
      <c r="H211" s="63" t="s">
        <v>78</v>
      </c>
      <c r="I211" s="63" t="s">
        <v>130</v>
      </c>
    </row>
    <row r="212" ht="15.75" customHeight="1">
      <c r="A212" s="65">
        <v>1.0</v>
      </c>
      <c r="B212" s="42"/>
      <c r="C212" s="42"/>
      <c r="D212" s="42"/>
      <c r="E212" s="39"/>
      <c r="F212" s="39"/>
      <c r="G212" s="42"/>
      <c r="H212" s="42"/>
      <c r="I212" s="42"/>
    </row>
    <row r="213" ht="15.75" customHeight="1">
      <c r="A213" s="65">
        <v>2.0</v>
      </c>
      <c r="B213" s="42"/>
      <c r="C213" s="42"/>
      <c r="D213" s="42"/>
      <c r="E213" s="39"/>
      <c r="F213" s="39"/>
      <c r="G213" s="42"/>
      <c r="H213" s="42"/>
      <c r="I213" s="42"/>
    </row>
    <row r="214" ht="15.75" customHeight="1">
      <c r="A214" s="65">
        <v>3.0</v>
      </c>
      <c r="B214" s="42"/>
      <c r="C214" s="42"/>
      <c r="D214" s="42"/>
      <c r="E214" s="39"/>
      <c r="F214" s="39"/>
      <c r="G214" s="42"/>
      <c r="H214" s="42"/>
      <c r="I214" s="42"/>
    </row>
    <row r="215" ht="15.75" customHeight="1">
      <c r="A215" s="65">
        <v>4.0</v>
      </c>
      <c r="B215" s="42"/>
      <c r="C215" s="42"/>
      <c r="D215" s="42"/>
      <c r="E215" s="39"/>
      <c r="F215" s="39"/>
      <c r="G215" s="42"/>
      <c r="H215" s="42"/>
      <c r="I215" s="42"/>
    </row>
    <row r="216" ht="15.75" customHeight="1"/>
    <row r="217" ht="21.75" customHeight="1">
      <c r="A217" s="51">
        <v>23.0</v>
      </c>
      <c r="B217" s="52" t="s">
        <v>564</v>
      </c>
      <c r="C217" s="53"/>
      <c r="D217" s="53"/>
      <c r="E217" s="54"/>
      <c r="F217" s="55" t="s">
        <v>178</v>
      </c>
      <c r="G217" s="57"/>
      <c r="H217" s="59" t="str">
        <f>IF(G217="",IF(COUNTA(C219,B222:E225)&gt;0,"⚠ 상태 미선택(입력값 있음)","상태 미선택 → 미수집 간주"),IF(G217="값 있음",IF(COUNTA(C219,B222:E225)=0,"⚠ 값 있음인데 입력값 없음","✓ 정상"),IF(COUNTA(C219,B222:E225)&gt;0,"⚠ 상태와 입력값 불일치","✓ 정상")))</f>
        <v>상태 미선택 → 미수집 간주</v>
      </c>
      <c r="I217" s="54"/>
    </row>
    <row r="218" ht="24.0" customHeight="1">
      <c r="B218" s="60" t="s">
        <v>839</v>
      </c>
    </row>
    <row r="219" ht="15.75" customHeight="1">
      <c r="B219" s="17" t="s">
        <v>841</v>
      </c>
      <c r="C219" s="42"/>
      <c r="D219" s="40" t="s">
        <v>78</v>
      </c>
      <c r="E219" s="50" t="s">
        <v>843</v>
      </c>
    </row>
    <row r="220" ht="15.75" customHeight="1">
      <c r="A220" s="62" t="s">
        <v>24</v>
      </c>
      <c r="B220" s="13" t="s">
        <v>20</v>
      </c>
      <c r="C220" s="13" t="s">
        <v>848</v>
      </c>
      <c r="D220" s="13" t="s">
        <v>849</v>
      </c>
      <c r="E220" s="13" t="s">
        <v>558</v>
      </c>
    </row>
    <row r="221" ht="25.5" customHeight="1">
      <c r="A221" s="63" t="s">
        <v>111</v>
      </c>
      <c r="B221" s="64" t="s">
        <v>851</v>
      </c>
      <c r="C221" s="63" t="s">
        <v>130</v>
      </c>
      <c r="D221" s="63" t="s">
        <v>78</v>
      </c>
      <c r="E221" s="64" t="s">
        <v>158</v>
      </c>
    </row>
    <row r="222" ht="15.75" customHeight="1">
      <c r="A222" s="65">
        <v>1.0</v>
      </c>
      <c r="B222" s="42"/>
      <c r="C222" s="42"/>
      <c r="D222" s="42"/>
      <c r="E222" s="39"/>
    </row>
    <row r="223" ht="15.75" customHeight="1">
      <c r="A223" s="65">
        <v>2.0</v>
      </c>
      <c r="B223" s="42"/>
      <c r="C223" s="42"/>
      <c r="D223" s="42"/>
      <c r="E223" s="39"/>
    </row>
    <row r="224" ht="15.75" customHeight="1">
      <c r="A224" s="65">
        <v>3.0</v>
      </c>
      <c r="B224" s="42"/>
      <c r="C224" s="42"/>
      <c r="D224" s="42"/>
      <c r="E224" s="39"/>
    </row>
    <row r="225" ht="15.75" customHeight="1">
      <c r="A225" s="65">
        <v>4.0</v>
      </c>
      <c r="B225" s="42"/>
      <c r="C225" s="42"/>
      <c r="D225" s="42"/>
      <c r="E225" s="39"/>
    </row>
    <row r="226" ht="15.75" customHeight="1"/>
    <row r="227" ht="21.75" customHeight="1">
      <c r="A227" s="76">
        <v>24.0</v>
      </c>
      <c r="B227" s="77" t="s">
        <v>857</v>
      </c>
      <c r="C227" s="53"/>
      <c r="D227" s="53"/>
      <c r="E227" s="54"/>
      <c r="F227" s="78" t="s">
        <v>178</v>
      </c>
      <c r="G227" s="57"/>
      <c r="H227" s="79" t="str">
        <f>IF(G227="",IF(COUNTA(B231:E233)&gt;0,"⚠ 상태 미선택(입력값 있음)","상태 미선택 → 미수집 간주"),IF(G227="값 있음",IF(COUNTA(B231:E233)=0,"⚠ 값 있음인데 입력값 없음","✓ 정상"),IF(COUNTA(B231:E233)&gt;0,"⚠ 상태와 입력값 불일치","✓ 정상")))</f>
        <v>상태 미선택 → 미수집 간주</v>
      </c>
      <c r="I227" s="54"/>
    </row>
    <row r="228" ht="15.0" customHeight="1">
      <c r="B228" s="60" t="s">
        <v>870</v>
      </c>
    </row>
    <row r="229" ht="15.75" customHeight="1">
      <c r="A229" s="62" t="s">
        <v>24</v>
      </c>
      <c r="B229" s="13" t="s">
        <v>400</v>
      </c>
      <c r="C229" s="13" t="s">
        <v>871</v>
      </c>
      <c r="D229" s="13" t="s">
        <v>872</v>
      </c>
      <c r="E229" s="13" t="s">
        <v>873</v>
      </c>
    </row>
    <row r="230" ht="25.5" customHeight="1">
      <c r="A230" s="63" t="s">
        <v>111</v>
      </c>
      <c r="B230" s="64" t="s">
        <v>875</v>
      </c>
      <c r="C230" s="63" t="s">
        <v>130</v>
      </c>
      <c r="D230" s="63" t="s">
        <v>130</v>
      </c>
      <c r="E230" s="63" t="s">
        <v>78</v>
      </c>
    </row>
    <row r="231" ht="15.75" customHeight="1">
      <c r="A231" s="65">
        <v>1.0</v>
      </c>
      <c r="B231" s="42"/>
      <c r="C231" s="42"/>
      <c r="D231" s="42"/>
      <c r="E231" s="42"/>
    </row>
    <row r="232" ht="15.75" customHeight="1">
      <c r="A232" s="65">
        <v>2.0</v>
      </c>
      <c r="B232" s="42"/>
      <c r="C232" s="42"/>
      <c r="D232" s="42"/>
      <c r="E232" s="42"/>
    </row>
    <row r="233" ht="15.75" customHeight="1">
      <c r="A233" s="65">
        <v>3.0</v>
      </c>
      <c r="B233" s="42"/>
      <c r="C233" s="42"/>
      <c r="D233" s="42"/>
      <c r="E233" s="42"/>
    </row>
    <row r="234" ht="15.75" customHeight="1"/>
    <row r="235" ht="21.75" customHeight="1">
      <c r="A235" s="76">
        <v>25.0</v>
      </c>
      <c r="B235" s="77" t="s">
        <v>611</v>
      </c>
      <c r="C235" s="53"/>
      <c r="D235" s="53"/>
      <c r="E235" s="54"/>
      <c r="F235" s="78" t="s">
        <v>178</v>
      </c>
      <c r="G235" s="57"/>
      <c r="H235" s="79" t="str">
        <f>IF(G235="",IF(COUNTA(B239:G242)&gt;0,"⚠ 상태 미선택(입력값 있음)","상태 미선택 → 미수집 간주"),IF(G235="값 있음",IF(COUNTA(B239:G242)=0,"⚠ 값 있음인데 입력값 없음","✓ 정상"),IF(COUNTA(B239:G242)&gt;0,"⚠ 상태와 입력값 불일치","✓ 정상")))</f>
        <v>상태 미선택 → 미수집 간주</v>
      </c>
      <c r="I235" s="54"/>
    </row>
    <row r="236" ht="24.0" customHeight="1">
      <c r="B236" s="60" t="s">
        <v>900</v>
      </c>
    </row>
    <row r="237" ht="15.75" customHeight="1">
      <c r="A237" s="62" t="s">
        <v>24</v>
      </c>
      <c r="B237" s="13" t="s">
        <v>215</v>
      </c>
      <c r="C237" s="13" t="s">
        <v>193</v>
      </c>
      <c r="D237" s="13" t="s">
        <v>901</v>
      </c>
      <c r="E237" s="13" t="s">
        <v>902</v>
      </c>
      <c r="F237" s="13" t="s">
        <v>903</v>
      </c>
      <c r="G237" s="13" t="s">
        <v>904</v>
      </c>
    </row>
    <row r="238" ht="25.5" customHeight="1">
      <c r="A238" s="63" t="s">
        <v>111</v>
      </c>
      <c r="B238" s="63" t="s">
        <v>130</v>
      </c>
      <c r="C238" s="64" t="s">
        <v>905</v>
      </c>
      <c r="D238" s="63" t="s">
        <v>78</v>
      </c>
      <c r="E238" s="63" t="s">
        <v>78</v>
      </c>
      <c r="F238" s="63" t="s">
        <v>78</v>
      </c>
      <c r="G238" s="63" t="s">
        <v>130</v>
      </c>
    </row>
    <row r="239" ht="15.75" customHeight="1">
      <c r="A239" s="65">
        <v>1.0</v>
      </c>
      <c r="B239" s="42"/>
      <c r="C239" s="39"/>
      <c r="D239" s="42"/>
      <c r="E239" s="42"/>
      <c r="F239" s="42"/>
      <c r="G239" s="42"/>
    </row>
    <row r="240" ht="15.75" customHeight="1">
      <c r="A240" s="65">
        <v>2.0</v>
      </c>
      <c r="B240" s="42"/>
      <c r="C240" s="39"/>
      <c r="D240" s="42"/>
      <c r="E240" s="42"/>
      <c r="F240" s="42"/>
      <c r="G240" s="42"/>
    </row>
    <row r="241" ht="15.75" customHeight="1">
      <c r="A241" s="65">
        <v>3.0</v>
      </c>
      <c r="B241" s="42"/>
      <c r="C241" s="39"/>
      <c r="D241" s="42"/>
      <c r="E241" s="42"/>
      <c r="F241" s="42"/>
      <c r="G241" s="42"/>
    </row>
    <row r="242" ht="15.75" customHeight="1">
      <c r="A242" s="65">
        <v>4.0</v>
      </c>
      <c r="B242" s="42"/>
      <c r="C242" s="39"/>
      <c r="D242" s="42"/>
      <c r="E242" s="42"/>
      <c r="F242" s="42"/>
      <c r="G242" s="42"/>
    </row>
    <row r="243" ht="15.75" customHeight="1"/>
    <row r="244" ht="21.75" customHeight="1">
      <c r="A244" s="33" t="s">
        <v>906</v>
      </c>
      <c r="B244" s="8"/>
      <c r="C244" s="8"/>
      <c r="D244" s="8"/>
      <c r="E244" s="8"/>
      <c r="F244" s="8"/>
      <c r="G244" s="8"/>
      <c r="H244" s="8"/>
      <c r="I244" s="7"/>
    </row>
    <row r="245" ht="21.75" customHeight="1">
      <c r="A245" s="51">
        <v>26.0</v>
      </c>
      <c r="B245" s="52" t="s">
        <v>908</v>
      </c>
      <c r="C245" s="53"/>
      <c r="D245" s="53"/>
      <c r="E245" s="54"/>
      <c r="F245" s="55" t="s">
        <v>178</v>
      </c>
      <c r="G245" s="57"/>
      <c r="H245" s="59" t="str">
        <f>IF(G245="",IF(COUNTA(B249:F252)&gt;0,"⚠ 상태 미선택(입력값 있음)","상태 미선택 → 미수집 간주"),IF(G245="값 있음",IF(COUNTA(B249:F252)=0,"⚠ 값 있음인데 입력값 없음","✓ 정상"),IF(COUNTA(B249:F252)&gt;0,"⚠ 상태와 입력값 불일치","✓ 정상")))</f>
        <v>상태 미선택 → 미수집 간주</v>
      </c>
      <c r="I245" s="54"/>
    </row>
    <row r="246" ht="24.0" customHeight="1">
      <c r="B246" s="60" t="s">
        <v>930</v>
      </c>
    </row>
    <row r="247" ht="15.75" customHeight="1">
      <c r="A247" s="62" t="s">
        <v>24</v>
      </c>
      <c r="B247" s="13" t="s">
        <v>931</v>
      </c>
      <c r="C247" s="13" t="s">
        <v>932</v>
      </c>
      <c r="D247" s="13" t="s">
        <v>933</v>
      </c>
      <c r="E247" s="13" t="s">
        <v>934</v>
      </c>
      <c r="F247" s="13" t="s">
        <v>935</v>
      </c>
    </row>
    <row r="248" ht="37.5" customHeight="1">
      <c r="A248" s="63" t="s">
        <v>111</v>
      </c>
      <c r="B248" s="64" t="s">
        <v>936</v>
      </c>
      <c r="C248" s="63" t="s">
        <v>78</v>
      </c>
      <c r="D248" s="63" t="s">
        <v>937</v>
      </c>
      <c r="E248" s="64" t="s">
        <v>165</v>
      </c>
      <c r="F248" s="64" t="s">
        <v>165</v>
      </c>
    </row>
    <row r="249" ht="15.75" customHeight="1">
      <c r="A249" s="65">
        <v>1.0</v>
      </c>
      <c r="B249" s="42"/>
      <c r="C249" s="42"/>
      <c r="D249" s="42"/>
      <c r="E249" s="39"/>
      <c r="F249" s="39"/>
    </row>
    <row r="250" ht="15.75" customHeight="1">
      <c r="A250" s="65">
        <v>2.0</v>
      </c>
      <c r="B250" s="42"/>
      <c r="C250" s="42"/>
      <c r="D250" s="42"/>
      <c r="E250" s="39"/>
      <c r="F250" s="39"/>
    </row>
    <row r="251" ht="15.75" customHeight="1">
      <c r="A251" s="65">
        <v>3.0</v>
      </c>
      <c r="B251" s="42"/>
      <c r="C251" s="42"/>
      <c r="D251" s="42"/>
      <c r="E251" s="39"/>
      <c r="F251" s="39"/>
    </row>
    <row r="252" ht="15.75" customHeight="1">
      <c r="A252" s="65">
        <v>4.0</v>
      </c>
      <c r="B252" s="42"/>
      <c r="C252" s="42"/>
      <c r="D252" s="42"/>
      <c r="E252" s="39"/>
      <c r="F252" s="39"/>
    </row>
    <row r="253" ht="15.75" customHeight="1"/>
    <row r="254" ht="21.75" customHeight="1">
      <c r="A254" s="51">
        <v>27.0</v>
      </c>
      <c r="B254" s="52" t="s">
        <v>941</v>
      </c>
      <c r="C254" s="53"/>
      <c r="D254" s="53"/>
      <c r="E254" s="54"/>
      <c r="F254" s="55" t="s">
        <v>178</v>
      </c>
      <c r="G254" s="57"/>
      <c r="H254" s="59" t="str">
        <f>IF(G254="",IF(COUNTA(B258:E262)&gt;0,"⚠ 상태 미선택(입력값 있음)","상태 미선택 → 미수집 간주"),IF(G254="값 있음",IF(COUNTA(B258:E262)=0,"⚠ 값 있음인데 입력값 없음","✓ 정상"),IF(COUNTA(B258:E262)&gt;0,"⚠ 상태와 입력값 불일치","✓ 정상")))</f>
        <v>상태 미선택 → 미수집 간주</v>
      </c>
      <c r="I254" s="54"/>
    </row>
    <row r="255" ht="24.0" customHeight="1">
      <c r="B255" s="60" t="s">
        <v>952</v>
      </c>
    </row>
    <row r="256" ht="15.75" customHeight="1">
      <c r="A256" s="62" t="s">
        <v>24</v>
      </c>
      <c r="B256" s="13" t="s">
        <v>954</v>
      </c>
      <c r="C256" s="13" t="s">
        <v>955</v>
      </c>
      <c r="D256" s="13" t="s">
        <v>956</v>
      </c>
      <c r="E256" s="13" t="s">
        <v>957</v>
      </c>
    </row>
    <row r="257" ht="15.0" customHeight="1">
      <c r="A257" s="63" t="s">
        <v>111</v>
      </c>
      <c r="B257" s="63" t="s">
        <v>130</v>
      </c>
      <c r="C257" s="63" t="s">
        <v>130</v>
      </c>
      <c r="D257" s="63" t="s">
        <v>130</v>
      </c>
      <c r="E257" s="64" t="s">
        <v>165</v>
      </c>
    </row>
    <row r="258" ht="15.75" customHeight="1">
      <c r="A258" s="65">
        <v>1.0</v>
      </c>
      <c r="B258" s="42"/>
      <c r="C258" s="42"/>
      <c r="D258" s="42"/>
      <c r="E258" s="39"/>
    </row>
    <row r="259" ht="15.75" customHeight="1">
      <c r="A259" s="65">
        <v>2.0</v>
      </c>
      <c r="B259" s="42"/>
      <c r="C259" s="42"/>
      <c r="D259" s="42"/>
      <c r="E259" s="39"/>
    </row>
    <row r="260" ht="15.75" customHeight="1">
      <c r="A260" s="65">
        <v>3.0</v>
      </c>
      <c r="B260" s="42"/>
      <c r="C260" s="42"/>
      <c r="D260" s="42"/>
      <c r="E260" s="39"/>
    </row>
    <row r="261" ht="15.75" customHeight="1">
      <c r="A261" s="65">
        <v>4.0</v>
      </c>
      <c r="B261" s="42"/>
      <c r="C261" s="42"/>
      <c r="D261" s="42"/>
      <c r="E261" s="39"/>
    </row>
    <row r="262" ht="15.75" customHeight="1">
      <c r="A262" s="65">
        <v>5.0</v>
      </c>
      <c r="B262" s="42"/>
      <c r="C262" s="42"/>
      <c r="D262" s="42"/>
      <c r="E262" s="39"/>
    </row>
    <row r="263" ht="15.75" customHeight="1"/>
    <row r="264" ht="21.75" customHeight="1">
      <c r="A264" s="70">
        <v>28.0</v>
      </c>
      <c r="B264" s="72" t="s">
        <v>961</v>
      </c>
      <c r="C264" s="53"/>
      <c r="D264" s="53"/>
      <c r="E264" s="54"/>
      <c r="F264" s="73" t="s">
        <v>178</v>
      </c>
      <c r="G264" s="57"/>
      <c r="H264" s="74" t="str">
        <f>IF(G264="",IF(COUNTA(B268:D269)&gt;0,"⚠ 상태 미선택(입력값 있음)","상태 미선택 → 미수집 간주"),IF(G264="값 있음",IF(COUNTA(B268:D269)=0,"⚠ 값 있음인데 입력값 없음","✓ 정상"),IF(COUNTA(B268:D269)&gt;0,"⚠ 상태와 입력값 불일치","✓ 정상")))</f>
        <v>상태 미선택 → 미수집 간주</v>
      </c>
      <c r="I264" s="54"/>
    </row>
    <row r="265" ht="15.0" customHeight="1">
      <c r="B265" s="60" t="s">
        <v>970</v>
      </c>
    </row>
    <row r="266" ht="15.75" customHeight="1">
      <c r="A266" s="62" t="s">
        <v>24</v>
      </c>
      <c r="B266" s="13" t="s">
        <v>931</v>
      </c>
      <c r="C266" s="13" t="s">
        <v>972</v>
      </c>
      <c r="D266" s="13" t="s">
        <v>974</v>
      </c>
    </row>
    <row r="267" ht="25.5" customHeight="1">
      <c r="A267" s="63" t="s">
        <v>111</v>
      </c>
      <c r="B267" s="63" t="s">
        <v>130</v>
      </c>
      <c r="C267" s="64" t="s">
        <v>976</v>
      </c>
      <c r="D267" s="64" t="s">
        <v>977</v>
      </c>
    </row>
    <row r="268" ht="15.75" customHeight="1">
      <c r="A268" s="65">
        <v>1.0</v>
      </c>
      <c r="B268" s="42"/>
      <c r="C268" s="42"/>
      <c r="D268" s="39"/>
    </row>
    <row r="269" ht="15.75" customHeight="1">
      <c r="A269" s="65">
        <v>2.0</v>
      </c>
      <c r="B269" s="42"/>
      <c r="C269" s="42"/>
      <c r="D269" s="39"/>
    </row>
    <row r="270" ht="15.75" customHeight="1"/>
    <row r="271" ht="21.75" customHeight="1">
      <c r="A271" s="70">
        <v>29.0</v>
      </c>
      <c r="B271" s="80" t="s">
        <v>979</v>
      </c>
      <c r="C271" s="53"/>
      <c r="D271" s="53"/>
      <c r="E271" s="54"/>
      <c r="F271" s="73" t="s">
        <v>178</v>
      </c>
      <c r="G271" s="57"/>
      <c r="H271" s="74" t="str">
        <f>IF(G271="",IF(COUNTA(C273:C277)&gt;0,"⚠ 상태 미선택(입력값 있음)","상태 미선택 → 미수집 간주"),IF(G271="값 있음",IF(COUNTA(C273:C277)=0,"⚠ 값 있음인데 입력값 없음","✓ 정상"),IF(COUNTA(C273:C277)&gt;0,"⚠ 상태와 입력값 불일치","✓ 정상")))</f>
        <v>상태 미선택 → 미수집 간주</v>
      </c>
      <c r="I271" s="54"/>
    </row>
    <row r="272" ht="24.0" customHeight="1">
      <c r="B272" s="60" t="s">
        <v>992</v>
      </c>
    </row>
    <row r="273" ht="15.75" customHeight="1">
      <c r="B273" s="17" t="s">
        <v>993</v>
      </c>
      <c r="C273" s="42"/>
      <c r="D273" s="40" t="s">
        <v>147</v>
      </c>
      <c r="E273" s="50" t="s">
        <v>996</v>
      </c>
    </row>
    <row r="274" ht="15.75" customHeight="1">
      <c r="B274" s="17" t="s">
        <v>998</v>
      </c>
      <c r="C274" s="42"/>
      <c r="D274" s="40" t="s">
        <v>147</v>
      </c>
      <c r="E274" s="50" t="s">
        <v>1000</v>
      </c>
    </row>
    <row r="275" ht="15.75" customHeight="1">
      <c r="B275" s="17" t="s">
        <v>1002</v>
      </c>
      <c r="C275" s="42"/>
      <c r="D275" s="40" t="s">
        <v>147</v>
      </c>
      <c r="E275" s="50" t="s">
        <v>1004</v>
      </c>
    </row>
    <row r="276" ht="15.75" customHeight="1">
      <c r="B276" s="9" t="s">
        <v>1005</v>
      </c>
      <c r="C276" s="42"/>
      <c r="D276" s="40" t="s">
        <v>147</v>
      </c>
      <c r="E276" s="50" t="s">
        <v>1006</v>
      </c>
    </row>
    <row r="277" ht="15.75" customHeight="1">
      <c r="B277" s="17" t="s">
        <v>1007</v>
      </c>
      <c r="C277" s="42"/>
      <c r="D277" s="40" t="s">
        <v>147</v>
      </c>
      <c r="E277" s="50" t="s">
        <v>1008</v>
      </c>
    </row>
    <row r="278" ht="15.75" customHeight="1"/>
    <row r="279" ht="21.75" customHeight="1">
      <c r="A279" s="70">
        <v>30.0</v>
      </c>
      <c r="B279" s="72" t="s">
        <v>743</v>
      </c>
      <c r="C279" s="53"/>
      <c r="D279" s="53"/>
      <c r="E279" s="54"/>
      <c r="F279" s="73" t="s">
        <v>178</v>
      </c>
      <c r="G279" s="57"/>
      <c r="H279" s="74" t="str">
        <f>IF(G279="",IF(COUNTA(C281:C283)&gt;0,"⚠ 상태 미선택(입력값 있음)","상태 미선택 → 미수집 간주"),IF(G279="값 있음",IF(COUNTA(C281:C283)=0,"⚠ 값 있음인데 입력값 없음","✓ 정상"),IF(COUNTA(C281:C283)&gt;0,"⚠ 상태와 입력값 불일치","✓ 정상")))</f>
        <v>상태 미선택 → 미수집 간주</v>
      </c>
      <c r="I279" s="54"/>
    </row>
    <row r="280" ht="15.0" customHeight="1">
      <c r="B280" s="60" t="s">
        <v>1032</v>
      </c>
    </row>
    <row r="281" ht="15.75" customHeight="1">
      <c r="B281" s="17" t="s">
        <v>1034</v>
      </c>
      <c r="C281" s="42"/>
      <c r="D281" s="40" t="s">
        <v>78</v>
      </c>
      <c r="E281" s="41"/>
    </row>
    <row r="282" ht="15.75" customHeight="1">
      <c r="B282" s="17" t="s">
        <v>1035</v>
      </c>
      <c r="C282" s="42"/>
      <c r="D282" s="40" t="s">
        <v>78</v>
      </c>
      <c r="E282" s="41" t="s">
        <v>1036</v>
      </c>
    </row>
    <row r="283" ht="15.75" customHeight="1">
      <c r="B283" s="17" t="s">
        <v>1037</v>
      </c>
      <c r="C283" s="39"/>
      <c r="D283" s="49" t="s">
        <v>165</v>
      </c>
      <c r="E283" s="41"/>
    </row>
    <row r="284" ht="15.75" customHeight="1"/>
    <row r="285" ht="21.75" customHeight="1">
      <c r="A285" s="33" t="s">
        <v>1039</v>
      </c>
      <c r="B285" s="8"/>
      <c r="C285" s="8"/>
      <c r="D285" s="8"/>
      <c r="E285" s="8"/>
      <c r="F285" s="8"/>
      <c r="G285" s="8"/>
      <c r="H285" s="8"/>
      <c r="I285" s="7"/>
    </row>
    <row r="286" ht="21.75" customHeight="1">
      <c r="A286" s="70">
        <v>31.0</v>
      </c>
      <c r="B286" s="80" t="s">
        <v>1050</v>
      </c>
      <c r="C286" s="53"/>
      <c r="D286" s="53"/>
      <c r="E286" s="54"/>
      <c r="F286" s="73" t="s">
        <v>178</v>
      </c>
      <c r="G286" s="57"/>
      <c r="H286" s="74" t="str">
        <f>IF(G286="",IF(COUNTA(C288,B291:D296)&gt;0,"⚠ 상태 미선택(입력값 있음)","상태 미선택 → 미수집 간주"),IF(G286="값 있음",IF(COUNTA(C288,B291:D296)=0,"⚠ 값 있음인데 입력값 없음","✓ 정상"),IF(COUNTA(C288,B291:D296)&gt;0,"⚠ 상태와 입력값 불일치","✓ 정상")))</f>
        <v>상태 미선택 → 미수집 간주</v>
      </c>
      <c r="I286" s="54"/>
    </row>
    <row r="287" ht="24.0" customHeight="1">
      <c r="B287" s="60" t="s">
        <v>1057</v>
      </c>
    </row>
    <row r="288" ht="15.75" customHeight="1">
      <c r="B288" s="17" t="s">
        <v>1058</v>
      </c>
      <c r="C288" s="39"/>
      <c r="D288" s="49" t="s">
        <v>165</v>
      </c>
      <c r="E288" s="41"/>
    </row>
    <row r="289" ht="15.75" customHeight="1">
      <c r="A289" s="62" t="s">
        <v>24</v>
      </c>
      <c r="B289" s="13" t="s">
        <v>1059</v>
      </c>
      <c r="C289" s="13" t="s">
        <v>1060</v>
      </c>
      <c r="D289" s="13" t="s">
        <v>902</v>
      </c>
    </row>
    <row r="290" ht="15.0" customHeight="1">
      <c r="A290" s="63" t="s">
        <v>111</v>
      </c>
      <c r="B290" s="63" t="s">
        <v>1061</v>
      </c>
      <c r="C290" s="63" t="s">
        <v>78</v>
      </c>
      <c r="D290" s="63" t="s">
        <v>78</v>
      </c>
    </row>
    <row r="291" ht="15.75" customHeight="1">
      <c r="A291" s="65">
        <v>1.0</v>
      </c>
      <c r="B291" s="42"/>
      <c r="C291" s="42"/>
      <c r="D291" s="42"/>
    </row>
    <row r="292" ht="15.75" customHeight="1">
      <c r="A292" s="65">
        <v>2.0</v>
      </c>
      <c r="B292" s="42"/>
      <c r="C292" s="42"/>
      <c r="D292" s="42"/>
    </row>
    <row r="293" ht="15.75" customHeight="1">
      <c r="A293" s="65">
        <v>3.0</v>
      </c>
      <c r="B293" s="42"/>
      <c r="C293" s="42"/>
      <c r="D293" s="42"/>
    </row>
    <row r="294" ht="15.75" customHeight="1">
      <c r="A294" s="65">
        <v>4.0</v>
      </c>
      <c r="B294" s="42"/>
      <c r="C294" s="42"/>
      <c r="D294" s="42"/>
    </row>
    <row r="295" ht="15.75" customHeight="1">
      <c r="A295" s="65">
        <v>5.0</v>
      </c>
      <c r="B295" s="42"/>
      <c r="C295" s="42"/>
      <c r="D295" s="42"/>
    </row>
    <row r="296" ht="15.75" customHeight="1">
      <c r="A296" s="65">
        <v>6.0</v>
      </c>
      <c r="B296" s="42"/>
      <c r="C296" s="42"/>
      <c r="D296" s="42"/>
    </row>
    <row r="297" ht="15.75" customHeight="1"/>
    <row r="298" ht="21.75" customHeight="1">
      <c r="A298" s="70">
        <v>32.0</v>
      </c>
      <c r="B298" s="72" t="s">
        <v>786</v>
      </c>
      <c r="C298" s="53"/>
      <c r="D298" s="53"/>
      <c r="E298" s="54"/>
      <c r="F298" s="73" t="s">
        <v>178</v>
      </c>
      <c r="G298" s="57"/>
      <c r="H298" s="74" t="str">
        <f>IF(G298="",IF(COUNTA(C300:C303)&gt;0,"⚠ 상태 미선택(입력값 있음)","상태 미선택 → 미수집 간주"),IF(G298="값 있음",IF(COUNTA(C300:C303)=0,"⚠ 값 있음인데 입력값 없음","✓ 정상"),IF(COUNTA(C300:C303)&gt;0,"⚠ 상태와 입력값 불일치","✓ 정상")))</f>
        <v>상태 미선택 → 미수집 간주</v>
      </c>
      <c r="I298" s="54"/>
    </row>
    <row r="299" ht="15.0" customHeight="1">
      <c r="B299" s="60" t="s">
        <v>1074</v>
      </c>
    </row>
    <row r="300" ht="15.75" customHeight="1">
      <c r="B300" s="17" t="s">
        <v>1058</v>
      </c>
      <c r="C300" s="39"/>
      <c r="D300" s="49" t="s">
        <v>165</v>
      </c>
      <c r="E300" s="41"/>
    </row>
    <row r="301" ht="15.75" customHeight="1">
      <c r="B301" s="17" t="s">
        <v>1077</v>
      </c>
      <c r="C301" s="42"/>
      <c r="D301" s="40" t="s">
        <v>78</v>
      </c>
      <c r="E301" s="41"/>
    </row>
    <row r="302" ht="15.75" customHeight="1">
      <c r="B302" s="17" t="s">
        <v>902</v>
      </c>
      <c r="C302" s="42"/>
      <c r="D302" s="40" t="s">
        <v>78</v>
      </c>
      <c r="E302" s="41"/>
    </row>
    <row r="303" ht="30.0" customHeight="1">
      <c r="B303" s="17" t="s">
        <v>1079</v>
      </c>
      <c r="C303" s="42"/>
      <c r="D303" s="40" t="s">
        <v>130</v>
      </c>
      <c r="E303" s="41" t="s">
        <v>1080</v>
      </c>
    </row>
    <row r="304" ht="15.75" customHeight="1"/>
    <row r="305" ht="21.75" customHeight="1">
      <c r="A305" s="76">
        <v>33.0</v>
      </c>
      <c r="B305" s="77" t="s">
        <v>1081</v>
      </c>
      <c r="C305" s="53"/>
      <c r="D305" s="53"/>
      <c r="E305" s="54"/>
      <c r="F305" s="78" t="s">
        <v>178</v>
      </c>
      <c r="G305" s="57"/>
      <c r="H305" s="79" t="str">
        <f>IF(G305="",IF(COUNTA(B309:G311)&gt;0,"⚠ 상태 미선택(입력값 있음)","상태 미선택 → 미수집 간주"),IF(G305="값 있음",IF(COUNTA(B309:G311)=0,"⚠ 값 있음인데 입력값 없음","✓ 정상"),IF(COUNTA(B309:G311)&gt;0,"⚠ 상태와 입력값 불일치","✓ 정상")))</f>
        <v>상태 미선택 → 미수집 간주</v>
      </c>
      <c r="I305" s="54"/>
    </row>
    <row r="306" ht="24.0" customHeight="1">
      <c r="B306" s="60" t="s">
        <v>1085</v>
      </c>
    </row>
    <row r="307" ht="15.75" customHeight="1">
      <c r="A307" s="62" t="s">
        <v>24</v>
      </c>
      <c r="B307" s="13" t="s">
        <v>1088</v>
      </c>
      <c r="C307" s="13" t="s">
        <v>1090</v>
      </c>
      <c r="D307" s="13" t="s">
        <v>1092</v>
      </c>
      <c r="E307" s="13" t="s">
        <v>1093</v>
      </c>
      <c r="F307" s="13" t="s">
        <v>1094</v>
      </c>
      <c r="G307" s="13" t="s">
        <v>1095</v>
      </c>
    </row>
    <row r="308" ht="15.0" customHeight="1">
      <c r="A308" s="63" t="s">
        <v>111</v>
      </c>
      <c r="B308" s="63" t="s">
        <v>1098</v>
      </c>
      <c r="C308" s="63" t="s">
        <v>130</v>
      </c>
      <c r="D308" s="63" t="s">
        <v>525</v>
      </c>
      <c r="E308" s="63" t="s">
        <v>525</v>
      </c>
      <c r="F308" s="63" t="s">
        <v>525</v>
      </c>
      <c r="G308" s="63" t="s">
        <v>1100</v>
      </c>
    </row>
    <row r="309" ht="60.0" customHeight="1">
      <c r="A309" s="65">
        <v>1.0</v>
      </c>
      <c r="B309" s="42"/>
      <c r="C309" s="42"/>
      <c r="D309" s="42"/>
      <c r="E309" s="42"/>
      <c r="F309" s="42"/>
      <c r="G309" s="42"/>
    </row>
    <row r="310" ht="60.0" customHeight="1">
      <c r="A310" s="65">
        <v>2.0</v>
      </c>
      <c r="B310" s="42"/>
      <c r="C310" s="42"/>
      <c r="D310" s="42"/>
      <c r="E310" s="42"/>
      <c r="F310" s="42"/>
      <c r="G310" s="42"/>
    </row>
    <row r="311" ht="60.0" customHeight="1">
      <c r="A311" s="65">
        <v>3.0</v>
      </c>
      <c r="B311" s="42"/>
      <c r="C311" s="42"/>
      <c r="D311" s="42"/>
      <c r="E311" s="42"/>
      <c r="F311" s="42"/>
      <c r="G311" s="42"/>
    </row>
    <row r="312" ht="15.75" customHeight="1"/>
    <row r="313" ht="21.75" customHeight="1">
      <c r="A313" s="76">
        <v>34.0</v>
      </c>
      <c r="B313" s="77" t="s">
        <v>826</v>
      </c>
      <c r="C313" s="53"/>
      <c r="D313" s="53"/>
      <c r="E313" s="54"/>
      <c r="F313" s="78" t="s">
        <v>178</v>
      </c>
      <c r="G313" s="57"/>
      <c r="H313" s="79" t="str">
        <f>IF(G313="",IF(COUNTA(B317:F318)&gt;0,"⚠ 상태 미선택(입력값 있음)","상태 미선택 → 미수집 간주"),IF(G313="값 있음",IF(COUNTA(B317:F318)=0,"⚠ 값 있음인데 입력값 없음","✓ 정상"),IF(COUNTA(B317:F318)&gt;0,"⚠ 상태와 입력값 불일치","✓ 정상")))</f>
        <v>상태 미선택 → 미수집 간주</v>
      </c>
      <c r="I313" s="54"/>
    </row>
    <row r="314" ht="15.0" customHeight="1">
      <c r="B314" s="60" t="s">
        <v>1107</v>
      </c>
    </row>
    <row r="315" ht="15.75" customHeight="1">
      <c r="A315" s="62" t="s">
        <v>24</v>
      </c>
      <c r="B315" s="13" t="s">
        <v>1111</v>
      </c>
      <c r="C315" s="13" t="s">
        <v>1112</v>
      </c>
      <c r="D315" s="13" t="s">
        <v>1114</v>
      </c>
      <c r="E315" s="13" t="s">
        <v>1115</v>
      </c>
      <c r="F315" s="13" t="s">
        <v>1116</v>
      </c>
    </row>
    <row r="316" ht="15.0" customHeight="1">
      <c r="A316" s="63" t="s">
        <v>111</v>
      </c>
      <c r="B316" s="63" t="s">
        <v>130</v>
      </c>
      <c r="C316" s="64" t="s">
        <v>1119</v>
      </c>
      <c r="D316" s="63" t="s">
        <v>130</v>
      </c>
      <c r="E316" s="63" t="s">
        <v>525</v>
      </c>
      <c r="F316" s="64" t="s">
        <v>165</v>
      </c>
    </row>
    <row r="317" ht="36.0" customHeight="1">
      <c r="A317" s="65">
        <v>1.0</v>
      </c>
      <c r="B317" s="42"/>
      <c r="C317" s="42"/>
      <c r="D317" s="42"/>
      <c r="E317" s="42"/>
      <c r="F317" s="39"/>
    </row>
    <row r="318" ht="36.0" customHeight="1">
      <c r="A318" s="65">
        <v>2.0</v>
      </c>
      <c r="B318" s="42"/>
      <c r="C318" s="42"/>
      <c r="D318" s="42"/>
      <c r="E318" s="42"/>
      <c r="F318" s="39"/>
    </row>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4">
    <mergeCell ref="A1:I1"/>
    <mergeCell ref="A2:I2"/>
    <mergeCell ref="F3:I3"/>
    <mergeCell ref="A5:I5"/>
    <mergeCell ref="E6:I6"/>
    <mergeCell ref="E7:I7"/>
    <mergeCell ref="E8:I8"/>
    <mergeCell ref="E9:I9"/>
    <mergeCell ref="E10:I10"/>
    <mergeCell ref="E11:I11"/>
    <mergeCell ref="E12:I12"/>
    <mergeCell ref="E13:I13"/>
    <mergeCell ref="E14:I14"/>
    <mergeCell ref="E15:I15"/>
    <mergeCell ref="E16:I16"/>
    <mergeCell ref="E17:I17"/>
    <mergeCell ref="E18:I18"/>
    <mergeCell ref="E19:I19"/>
    <mergeCell ref="E20:I20"/>
    <mergeCell ref="A22:I22"/>
    <mergeCell ref="H23:I23"/>
    <mergeCell ref="B23:E23"/>
    <mergeCell ref="B24:I24"/>
    <mergeCell ref="E25:I25"/>
    <mergeCell ref="E26:I26"/>
    <mergeCell ref="E27:I27"/>
    <mergeCell ref="H39:I39"/>
    <mergeCell ref="B40:I40"/>
    <mergeCell ref="B39:E39"/>
    <mergeCell ref="B49:E49"/>
    <mergeCell ref="H49:I49"/>
    <mergeCell ref="B50:I50"/>
    <mergeCell ref="E51:I51"/>
    <mergeCell ref="E52:I52"/>
    <mergeCell ref="H60:I60"/>
    <mergeCell ref="B60:E60"/>
    <mergeCell ref="B61:I61"/>
    <mergeCell ref="E62:I62"/>
    <mergeCell ref="E63:I63"/>
    <mergeCell ref="E64:I64"/>
    <mergeCell ref="A66:I66"/>
    <mergeCell ref="H67:I67"/>
    <mergeCell ref="B67:E67"/>
    <mergeCell ref="B68:I68"/>
    <mergeCell ref="E69:I69"/>
    <mergeCell ref="E70:I70"/>
    <mergeCell ref="E71:I71"/>
    <mergeCell ref="E72:I72"/>
    <mergeCell ref="E73:I73"/>
    <mergeCell ref="E74:I74"/>
    <mergeCell ref="B76:E76"/>
    <mergeCell ref="H76:I76"/>
    <mergeCell ref="B77:I77"/>
    <mergeCell ref="E78:I78"/>
    <mergeCell ref="E79:I79"/>
    <mergeCell ref="E80:I80"/>
    <mergeCell ref="E81:I81"/>
    <mergeCell ref="B83:E83"/>
    <mergeCell ref="H83:I83"/>
    <mergeCell ref="B84:I84"/>
    <mergeCell ref="E85:I85"/>
    <mergeCell ref="E86:I86"/>
    <mergeCell ref="E87:I87"/>
    <mergeCell ref="E88:I88"/>
    <mergeCell ref="A90:I90"/>
    <mergeCell ref="B91:E91"/>
    <mergeCell ref="H91:I91"/>
    <mergeCell ref="B92:I92"/>
    <mergeCell ref="H100:I100"/>
    <mergeCell ref="B101:I101"/>
    <mergeCell ref="B100:E100"/>
    <mergeCell ref="B108:E108"/>
    <mergeCell ref="H108:I108"/>
    <mergeCell ref="B109:I109"/>
    <mergeCell ref="A116:I116"/>
    <mergeCell ref="H117:I117"/>
    <mergeCell ref="B118:I118"/>
    <mergeCell ref="B117:E117"/>
    <mergeCell ref="B125:E125"/>
    <mergeCell ref="H125:I125"/>
    <mergeCell ref="B126:I126"/>
    <mergeCell ref="B133:E133"/>
    <mergeCell ref="H133:I133"/>
    <mergeCell ref="B134:I134"/>
    <mergeCell ref="E135:I135"/>
    <mergeCell ref="E136:I136"/>
    <mergeCell ref="E137:I137"/>
    <mergeCell ref="E138:I138"/>
    <mergeCell ref="A140:I140"/>
    <mergeCell ref="H141:I141"/>
    <mergeCell ref="B142:I142"/>
    <mergeCell ref="B141:E141"/>
    <mergeCell ref="B151:E151"/>
    <mergeCell ref="H151:I151"/>
    <mergeCell ref="B152:I152"/>
    <mergeCell ref="B158:E158"/>
    <mergeCell ref="H158:I158"/>
    <mergeCell ref="B159:I159"/>
    <mergeCell ref="B264:E264"/>
    <mergeCell ref="B265:I265"/>
    <mergeCell ref="B271:E271"/>
    <mergeCell ref="H271:I271"/>
    <mergeCell ref="B272:I272"/>
    <mergeCell ref="E273:I273"/>
    <mergeCell ref="E274:I274"/>
    <mergeCell ref="E275:I275"/>
    <mergeCell ref="E276:I276"/>
    <mergeCell ref="E277:I277"/>
    <mergeCell ref="B279:E279"/>
    <mergeCell ref="H279:I279"/>
    <mergeCell ref="B280:I280"/>
    <mergeCell ref="E281:I281"/>
    <mergeCell ref="B305:E305"/>
    <mergeCell ref="H305:I305"/>
    <mergeCell ref="B306:I306"/>
    <mergeCell ref="B313:E313"/>
    <mergeCell ref="H313:I313"/>
    <mergeCell ref="B314:I314"/>
    <mergeCell ref="B298:E298"/>
    <mergeCell ref="H298:I298"/>
    <mergeCell ref="B299:I299"/>
    <mergeCell ref="E300:I300"/>
    <mergeCell ref="E301:I301"/>
    <mergeCell ref="E302:I302"/>
    <mergeCell ref="E303:I303"/>
    <mergeCell ref="A165:I165"/>
    <mergeCell ref="B166:E166"/>
    <mergeCell ref="H166:I166"/>
    <mergeCell ref="B167:I167"/>
    <mergeCell ref="B174:E174"/>
    <mergeCell ref="H174:I174"/>
    <mergeCell ref="B175:I175"/>
    <mergeCell ref="E176:I176"/>
    <mergeCell ref="E177:I177"/>
    <mergeCell ref="E178:I178"/>
    <mergeCell ref="A180:I180"/>
    <mergeCell ref="B181:E181"/>
    <mergeCell ref="H181:I181"/>
    <mergeCell ref="B182:I182"/>
    <mergeCell ref="B190:E190"/>
    <mergeCell ref="H190:I190"/>
    <mergeCell ref="B191:I191"/>
    <mergeCell ref="B198:E198"/>
    <mergeCell ref="H198:I198"/>
    <mergeCell ref="B199:I199"/>
    <mergeCell ref="A207:I207"/>
    <mergeCell ref="B208:E208"/>
    <mergeCell ref="H208:I208"/>
    <mergeCell ref="B209:I209"/>
    <mergeCell ref="B217:E217"/>
    <mergeCell ref="H217:I217"/>
    <mergeCell ref="B218:I218"/>
    <mergeCell ref="E219:I219"/>
    <mergeCell ref="B227:E227"/>
    <mergeCell ref="H227:I227"/>
    <mergeCell ref="B228:I228"/>
    <mergeCell ref="B235:E235"/>
    <mergeCell ref="H235:I235"/>
    <mergeCell ref="B236:I236"/>
    <mergeCell ref="A244:I244"/>
    <mergeCell ref="B245:E245"/>
    <mergeCell ref="H245:I245"/>
    <mergeCell ref="B246:I246"/>
    <mergeCell ref="B254:E254"/>
    <mergeCell ref="H254:I254"/>
    <mergeCell ref="B255:I255"/>
    <mergeCell ref="H264:I264"/>
    <mergeCell ref="E282:I282"/>
    <mergeCell ref="E283:I283"/>
    <mergeCell ref="A285:I285"/>
    <mergeCell ref="B286:E286"/>
    <mergeCell ref="H286:I286"/>
    <mergeCell ref="B287:I287"/>
    <mergeCell ref="E288:I288"/>
  </mergeCells>
  <conditionalFormatting sqref="H5:H1000">
    <cfRule type="expression" dxfId="5" priority="1">
      <formula>LEFT(H5,1)="✓"</formula>
    </cfRule>
  </conditionalFormatting>
  <conditionalFormatting sqref="H5:H1000">
    <cfRule type="expression" dxfId="6" priority="2">
      <formula>LEFT(H5,2)="상태"</formula>
    </cfRule>
  </conditionalFormatting>
  <dataValidations>
    <dataValidation type="list" allowBlank="1" showInputMessage="1" showErrorMessage="1" prompt="허용값 아님 - 목록에서 선택해 주세요: 논문,보고서,학술발표자료" sqref="B104:B106">
      <formula1>"논문,보고서,학술발표자료"</formula1>
    </dataValidation>
    <dataValidation type="list" allowBlank="1" showInputMessage="1" showErrorMessage="1" prompt="허용값 아님 - 목록에서 선택해 주세요: 신청,이수중,이수완료" sqref="D55:D58">
      <formula1>"신청,이수중,이수완료"</formula1>
    </dataValidation>
    <dataValidation type="list" allowBlank="1" showInputMessage="1" showErrorMessage="1" prompt="허용값 아님 - 목록에서 선택해 주세요: 교과,비교과,3품(AI)" sqref="B185:B188">
      <formula1>"교과,비교과,3품(AI)"</formula1>
    </dataValidation>
    <dataValidation type="list" allowBlank="1" showInputMessage="1" showErrorMessage="1" prompt="허용값 아님 - 목록에서 선택해 주세요: 참가,입선,장려,우수,최우수,대상" sqref="E145:E149">
      <formula1>"참가,입선,장려,우수,최우수,대상"</formula1>
    </dataValidation>
    <dataValidation type="list" allowBlank="1" showInputMessage="1" showErrorMessage="1" prompt="허용값 아님 - 목록에서 선택해 주세요: TOEIC,TOEFL iBT,TOEIC Speaking,OPIc,HSK,JPT,JLPT,DELF/DALF,DELE,기타" sqref="B249:B252">
      <formula1>"TOEIC,TOEFL iBT,TOEIC Speaking,OPIc,HSK,JPT,JLPT,DELF/DALF,DELE,기타"</formula1>
    </dataValidation>
    <dataValidation type="list" allowBlank="1" showInputMessage="1" showErrorMessage="1" prompt="허용값 아님 - 목록에서 선택해 주세요: Y,N" sqref="C17 C20 I121:I123 C136 G170:G172">
      <formula1>"Y,N"</formula1>
    </dataValidation>
    <dataValidation type="list" allowBlank="1" showInputMessage="1" showErrorMessage="1" prompt="허용값 아님 - 목록에서 선택해 주세요: 지도교수,수업 담당교수" sqref="C317:C318">
      <formula1>"지도교수,수업 담당교수"</formula1>
    </dataValidation>
    <dataValidation type="list" allowBlank="1" showInputMessage="1" showErrorMessage="1" prompt="허용값 아님 - 목록에서 선택해 주세요: 튜터,튜티,멘토,멘티,스터디,학습공동체" sqref="B231:B233">
      <formula1>"튜터,튜티,멘토,멘티,스터디,학습공동체"</formula1>
    </dataValidation>
    <dataValidation type="list" allowBlank="1" showInputMessage="1" showErrorMessage="1" prompt="허용값 아님 - 목록에서 선택해 주세요: 학부,석사,박사,석박통합" sqref="C13">
      <formula1>"학부,석사,박사,석박통합"</formula1>
    </dataValidation>
    <dataValidation type="list" allowBlank="1" showInputMessage="1" showErrorMessage="1" prompt="허용값 아님 - 목록에서 선택해 주세요: 출원,등록" sqref="D162:D163">
      <formula1>"출원,등록"</formula1>
    </dataValidation>
    <dataValidation type="list" allowBlank="1" showInputMessage="1" showErrorMessage="1" prompt="허용값 아님 - 목록에서 선택해 주세요: 특허,실용신안,디자인,SW등록" sqref="B162:B163">
      <formula1>"특허,실용신안,디자인,SW등록"</formula1>
    </dataValidation>
    <dataValidation type="list" allowBlank="1" showInputMessage="1" showErrorMessage="1" prompt="허용값 아님 - 목록에서 선택해 주세요: 값 있음,활동 없음,미수집,해당 없음" sqref="G23 G39 G49 G60 G67 G76 G83 G91 G100 G108 G117 G125 G133 G141 G151 G158 G166 G174 G181 G190 G198 G208 G217 G227 G235 G245 G254 G264 G271 G279 G286 G298 G305 G313">
      <formula1>"값 있음,활동 없음,미수집,해당 없음"</formula1>
    </dataValidation>
    <dataValidation type="list" allowBlank="1" showInputMessage="1" showErrorMessage="1" prompt="허용값 아님 - 목록에서 선택해 주세요: 주전공,복수전공,부전공,연계전공,융합전공,심화전공" sqref="B55:B58">
      <formula1>"주전공,복수전공,부전공,연계전공,융합전공,심화전공"</formula1>
    </dataValidation>
    <dataValidation type="list" allowBlank="1" showInputMessage="1" showErrorMessage="1" prompt="허용값 아님 - 목록에서 선택해 주세요: 교내,교외(국내),국외,유학생 봉사" sqref="B222:B225">
      <formula1>"교내,교외(국내),국외,유학생 봉사"</formula1>
    </dataValidation>
    <dataValidation type="list" allowBlank="1" showInputMessage="1" showErrorMessage="1" prompt="허용값 아님 - 목록에서 선택해 주세요: 이수중,이수완료,미이수,포기" sqref="C64">
      <formula1>"이수중,이수완료,미이수,포기"</formula1>
    </dataValidation>
    <dataValidation type="list" allowBlank="1" showInputMessage="1" showErrorMessage="1" prompt="허용값 아님 - 목록에서 선택해 주세요: 관련,일부 관련,무관" sqref="H121:H123">
      <formula1>"관련,일부 관련,무관"</formula1>
    </dataValidation>
    <dataValidation type="list" allowBlank="1" showInputMessage="1" showErrorMessage="1" prompt="허용값 아님 - 목록에서 선택해 주세요: 시스템 연동,학생 직접 입력,혼합" sqref="C19">
      <formula1>"시스템 연동,학생 직접 입력,혼합"</formula1>
    </dataValidation>
    <dataValidation type="list" allowBlank="1" showInputMessage="1" showErrorMessage="1" prompt="허용값 아님 - 목록에서 선택해 주세요: 국제학술지,국내학술지,국제학술대회,국내학술대회,교내" sqref="D104:D106">
      <formula1>"국제학술지,국내학술지,국제학술대회,국내학술대회,교내"</formula1>
    </dataValidation>
    <dataValidation type="list" allowBlank="1" showInputMessage="1" showErrorMessage="1" prompt="허용값 아님 - 목록에서 선택해 주세요: 게재,게재승인,투고,작성중" sqref="E104:E106">
      <formula1>"게재,게재승인,투고,작성중"</formula1>
    </dataValidation>
    <dataValidation type="list" allowBlank="1" showInputMessage="1" showErrorMessage="1" prompt="허용값 아님 - 목록에서 선택해 주세요: 이수,수강중,미이수" sqref="F185:F188">
      <formula1>"이수,수강중,미이수"</formula1>
    </dataValidation>
    <dataValidation type="list" allowBlank="1" showInputMessage="1" showErrorMessage="1" prompt="허용값 아님 - 목록에서 선택해 주세요: 신입학,편입학,재입학" sqref="C14">
      <formula1>"신입학,편입학,재입학"</formula1>
    </dataValidation>
    <dataValidation type="list" allowBlank="1" showInputMessage="1" showErrorMessage="1" prompt="허용값 아님 - 목록에서 선택해 주세요: 창업교과목,창업경진대회,사업자등록,창업동아리" sqref="B155:B156">
      <formula1>"창업교과목,창업경진대회,사업자등록,창업동아리"</formula1>
    </dataValidation>
    <dataValidation type="list" allowBlank="1" showInputMessage="1" showErrorMessage="1" prompt="허용값 아님 - 목록에서 선택해 주세요: 고용보험,재직·경력증명,없음" sqref="F129:F131">
      <formula1>"고용보험,재직·경력증명,없음"</formula1>
    </dataValidation>
    <dataValidation type="list" allowBlank="1" showInputMessage="1" showErrorMessage="1" prompt="허용값 아님 - 목록에서 선택해 주세요: 발표형,토론형,과제·보고서형,PBL형" sqref="D43:D47">
      <formula1>"발표형,토론형,과제·보고서형,PBL형"</formula1>
    </dataValidation>
    <dataValidation type="list" allowBlank="1" showInputMessage="1" showErrorMessage="1" prompt="허용값 아님 - 목록에서 선택해 주세요: A+,A0,B+,B0,C+,C0,D+,D0,F,P" sqref="E43:E47">
      <formula1>"A+,A0,B+,B0,C+,C0,D+,D0,F,P"</formula1>
    </dataValidation>
    <dataValidation type="list" allowBlank="1" showInputMessage="1" showErrorMessage="1" prompt="허용값 아님 - 목록에서 선택해 주세요: 교환학생,어학연수,해외봉사,국제연구,국제문화체험,해외학습" sqref="B170:B172">
      <formula1>"교환학생,어학연수,해외봉사,국제연구,국제문화체험,해외학습"</formula1>
    </dataValidation>
    <dataValidation type="list" allowBlank="1" showInputMessage="1" showErrorMessage="1" prompt="허용값 아님 - 목록에서 선택해 주세요: 대상,비대상" sqref="C62">
      <formula1>"대상,비대상"</formula1>
    </dataValidation>
    <dataValidation type="list" allowBlank="1" showInputMessage="1" showErrorMessage="1" prompt="허용값 아님 - 목록에서 선택해 주세요: 기초,활용,능숙" sqref="C202:C205">
      <formula1>"기초,활용,능숙"</formula1>
    </dataValidation>
    <dataValidation type="list" allowBlank="1" showInputMessage="1" showErrorMessage="1" prompt="허용값 아님 - 목록에서 선택해 주세요: 학부연구생,URP,학회,연구실 인턴,팀연구프로젝트" sqref="B95:B98">
      <formula1>"학부연구생,URP,학회,연구실 인턴,팀연구프로젝트"</formula1>
    </dataValidation>
    <dataValidation type="list" allowBlank="1" showInputMessage="1" showErrorMessage="1" prompt="허용값 아님 - 목록에서 선택해 주세요: AI캡스톤,AI대회,AI공모전,AI프로젝트" sqref="B194:B196">
      <formula1>"AI캡스톤,AI대회,AI공모전,AI프로젝트"</formula1>
    </dataValidation>
    <dataValidation type="list" allowBlank="1" showInputMessage="1" showErrorMessage="1" prompt="허용값 아님 - 목록에서 선택해 주세요: 재학,휴학,수료" sqref="C16">
      <formula1>"재학,휴학,수료"</formula1>
    </dataValidation>
    <dataValidation type="list" allowBlank="1" showInputMessage="1" showErrorMessage="1" prompt="허용값 아님 - 목록에서 선택해 주세요: 동아리,학생회,학회,기타단체" sqref="B212:B215">
      <formula1>"동아리,학생회,학회,기타단체"</formula1>
    </dataValidation>
    <dataValidation type="list" allowBlank="1" showInputMessage="1" showErrorMessage="1" prompt="허용값 아님 - 목록에서 선택해 주세요: 교내,지역,전국,국제" sqref="D145:D149 F194:F196">
      <formula1>"교내,지역,전국,국제"</formula1>
    </dataValidation>
    <dataValidation type="list" allowBlank="1" showInputMessage="1" showErrorMessage="1" prompt="허용값 아님 - 목록에서 선택해 주세요: 인턴십,현장실습,연구체험,문제해결프로젝트" sqref="B121:B123">
      <formula1>"인턴십,현장실습,연구체험,문제해결프로젝트"</formula1>
    </dataValidation>
    <dataValidation type="list" allowBlank="1" showInputMessage="1" showErrorMessage="1" prompt="허용값 아님 - 목록에서 선택해 주세요: 개인,팀" sqref="F145:F149">
      <formula1>"개인,팀"</formula1>
    </dataValidation>
    <dataValidation type="list" allowBlank="1" showInputMessage="1" showErrorMessage="1" prompt="허용값 아님 - 목록에서 선택해 주세요: 단독,공동" sqref="G162:G163">
      <formula1>"단독,공동"</formula1>
    </dataValidation>
    <dataValidation type="list" allowBlank="1" showInputMessage="1" showErrorMessage="1" prompt="허용값 아님 - 목록에서 선택해 주세요: 회장,부회장,부장,총무,부원" sqref="D212:D215">
      <formula1>"회장,부회장,부장,총무,부원"</formula1>
    </dataValidation>
    <dataValidation type="list" allowBlank="1" showInputMessage="1" showErrorMessage="1" prompt="허용값 아님 - 목록에서 선택해 주세요: 단독,제1저자,공동저자" sqref="F104:F106">
      <formula1>"단독,제1저자,공동저자"</formula1>
    </dataValidation>
    <dataValidation type="list" allowBlank="1" showInputMessage="1" showErrorMessage="1" prompt="허용값 아님 - 목록에서 선택해 주세요: 취득,진행중,미취득" sqref="C273:C277">
      <formula1>"취득,진행중,미취득"</formula1>
    </dataValidation>
    <dataValidation type="list" allowBlank="1" showInputMessage="1" showErrorMessage="1" prompt="허용값 아님 - 목록에서 선택해 주세요: 응시,1차 합격,2차 합격,최종 합격" sqref="C268:C269">
      <formula1>"응시,1차 합격,2차 합격,최종 합격"</formula1>
    </dataValidation>
  </dataValidations>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D47"/>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6.0"/>
    <col customWidth="1" min="2" max="2" width="22.0"/>
    <col customWidth="1" min="3" max="3" width="20.0"/>
    <col customWidth="1" min="4" max="5" width="17.0"/>
    <col customWidth="1" min="6" max="7" width="15.0"/>
    <col customWidth="1" min="8" max="8" width="17.0"/>
    <col customWidth="1" min="9" max="9" width="30.0"/>
    <col customWidth="1" min="10" max="26" width="8.71"/>
  </cols>
  <sheetData>
    <row r="1" ht="25.5" customHeight="1">
      <c r="A1" s="66" t="s">
        <v>201</v>
      </c>
    </row>
    <row r="2" ht="30.0" customHeight="1">
      <c r="A2" s="16" t="s">
        <v>202</v>
      </c>
    </row>
    <row r="3" ht="15.0" customHeight="1">
      <c r="A3" s="23" t="s">
        <v>73</v>
      </c>
      <c r="B3" s="25" t="s">
        <v>67</v>
      </c>
      <c r="C3" s="27" t="s">
        <v>89</v>
      </c>
      <c r="D3" s="28" t="s">
        <v>205</v>
      </c>
      <c r="E3" s="30" t="s">
        <v>100</v>
      </c>
      <c r="F3" s="16" t="s">
        <v>206</v>
      </c>
    </row>
    <row r="5" ht="21.75" customHeight="1">
      <c r="A5" s="33" t="s">
        <v>210</v>
      </c>
      <c r="B5" s="8"/>
      <c r="C5" s="8"/>
      <c r="D5" s="8"/>
      <c r="E5" s="8"/>
      <c r="F5" s="8"/>
      <c r="G5" s="8"/>
      <c r="H5" s="8"/>
      <c r="I5" s="7"/>
    </row>
    <row r="6" ht="15.0" customHeight="1">
      <c r="B6" s="13" t="s">
        <v>107</v>
      </c>
      <c r="C6" s="13" t="s">
        <v>108</v>
      </c>
      <c r="D6" s="13" t="s">
        <v>111</v>
      </c>
      <c r="E6" s="36" t="s">
        <v>112</v>
      </c>
      <c r="F6" s="37"/>
      <c r="G6" s="37"/>
      <c r="H6" s="37"/>
      <c r="I6" s="38"/>
    </row>
    <row r="7">
      <c r="B7" s="17" t="s">
        <v>36</v>
      </c>
      <c r="C7" s="39" t="s">
        <v>79</v>
      </c>
      <c r="D7" s="40" t="s">
        <v>224</v>
      </c>
      <c r="E7" s="41" t="s">
        <v>123</v>
      </c>
    </row>
    <row r="8">
      <c r="B8" s="17" t="s">
        <v>37</v>
      </c>
      <c r="C8" s="69" t="s">
        <v>48</v>
      </c>
      <c r="D8" s="40" t="s">
        <v>130</v>
      </c>
      <c r="E8" s="41"/>
    </row>
    <row r="9">
      <c r="B9" s="17" t="s">
        <v>38</v>
      </c>
      <c r="C9" s="69" t="s">
        <v>86</v>
      </c>
      <c r="D9" s="40" t="s">
        <v>130</v>
      </c>
      <c r="E9" s="41" t="s">
        <v>232</v>
      </c>
    </row>
    <row r="10">
      <c r="B10" s="17" t="s">
        <v>233</v>
      </c>
      <c r="C10" s="69" t="s">
        <v>90</v>
      </c>
      <c r="D10" s="40" t="s">
        <v>130</v>
      </c>
      <c r="E10" s="41" t="s">
        <v>235</v>
      </c>
    </row>
    <row r="11">
      <c r="B11" s="17" t="s">
        <v>40</v>
      </c>
      <c r="C11" s="42">
        <v>4.0</v>
      </c>
      <c r="D11" s="40" t="s">
        <v>236</v>
      </c>
      <c r="E11" s="41" t="s">
        <v>237</v>
      </c>
    </row>
    <row r="12">
      <c r="B12" s="17" t="s">
        <v>139</v>
      </c>
      <c r="C12" s="42">
        <v>7.0</v>
      </c>
      <c r="D12" s="40" t="s">
        <v>78</v>
      </c>
      <c r="E12" s="41" t="s">
        <v>238</v>
      </c>
    </row>
    <row r="13">
      <c r="B13" s="17" t="s">
        <v>143</v>
      </c>
      <c r="C13" s="69" t="s">
        <v>98</v>
      </c>
      <c r="D13" s="40" t="s">
        <v>147</v>
      </c>
      <c r="E13" s="41" t="s">
        <v>148</v>
      </c>
    </row>
    <row r="14">
      <c r="B14" s="17" t="s">
        <v>149</v>
      </c>
      <c r="C14" s="69" t="s">
        <v>239</v>
      </c>
      <c r="D14" s="40" t="s">
        <v>147</v>
      </c>
      <c r="E14" s="41" t="s">
        <v>151</v>
      </c>
    </row>
    <row r="15">
      <c r="B15" s="17" t="s">
        <v>155</v>
      </c>
      <c r="C15" s="39" t="s">
        <v>241</v>
      </c>
      <c r="D15" s="49" t="s">
        <v>158</v>
      </c>
      <c r="E15" s="41" t="s">
        <v>246</v>
      </c>
    </row>
    <row r="16">
      <c r="B16" s="17" t="s">
        <v>161</v>
      </c>
      <c r="C16" s="69" t="s">
        <v>248</v>
      </c>
      <c r="D16" s="40" t="s">
        <v>147</v>
      </c>
      <c r="E16" s="41"/>
    </row>
    <row r="17">
      <c r="B17" s="17" t="s">
        <v>162</v>
      </c>
      <c r="C17" s="42" t="s">
        <v>249</v>
      </c>
      <c r="D17" s="40" t="s">
        <v>147</v>
      </c>
      <c r="E17" s="50" t="s">
        <v>250</v>
      </c>
    </row>
    <row r="18">
      <c r="B18" s="17" t="s">
        <v>164</v>
      </c>
      <c r="C18" s="39" t="s">
        <v>252</v>
      </c>
      <c r="D18" s="49" t="s">
        <v>165</v>
      </c>
      <c r="E18" s="41" t="s">
        <v>255</v>
      </c>
    </row>
    <row r="19">
      <c r="B19" s="17" t="s">
        <v>167</v>
      </c>
      <c r="C19" s="69" t="s">
        <v>260</v>
      </c>
      <c r="D19" s="40" t="s">
        <v>147</v>
      </c>
      <c r="E19" s="41"/>
    </row>
    <row r="20">
      <c r="B20" s="17" t="s">
        <v>262</v>
      </c>
      <c r="C20" s="42" t="s">
        <v>249</v>
      </c>
      <c r="D20" s="40" t="s">
        <v>147</v>
      </c>
      <c r="E20" s="50" t="s">
        <v>267</v>
      </c>
    </row>
    <row r="21" ht="15.75" customHeight="1"/>
    <row r="22" ht="21.75" customHeight="1">
      <c r="A22" s="33" t="s">
        <v>269</v>
      </c>
      <c r="B22" s="8"/>
      <c r="C22" s="8"/>
      <c r="D22" s="8"/>
      <c r="E22" s="8"/>
      <c r="F22" s="8"/>
      <c r="G22" s="8"/>
      <c r="H22" s="8"/>
      <c r="I22" s="7"/>
    </row>
    <row r="23" ht="21.75" customHeight="1">
      <c r="A23" s="51">
        <v>1.0</v>
      </c>
      <c r="B23" s="52" t="s">
        <v>271</v>
      </c>
      <c r="C23" s="53"/>
      <c r="D23" s="53"/>
      <c r="E23" s="54"/>
      <c r="F23" s="55" t="s">
        <v>178</v>
      </c>
      <c r="G23" s="71" t="s">
        <v>47</v>
      </c>
      <c r="H23" s="59" t="str">
        <f>IF(G23="",IF(COUNTA(C25:C27,B30:G37)&gt;0,"⚠ 상태 미선택(입력값 있음)","상태 미선택 → 미수집 간주"),IF(G23="값 있음",IF(COUNTA(C25:C27,B30:G37)=0,"⚠ 값 있음인데 입력값 없음","✓ 정상"),IF(COUNTA(C25:C27,B30:G37)&gt;0,"⚠ 상태와 입력값 불일치","✓ 정상")))</f>
        <v>✓ 정상</v>
      </c>
      <c r="I23" s="54"/>
    </row>
    <row r="24" ht="24.0" customHeight="1">
      <c r="B24" s="60" t="s">
        <v>281</v>
      </c>
    </row>
    <row r="25" ht="15.75" customHeight="1">
      <c r="B25" s="17" t="s">
        <v>284</v>
      </c>
      <c r="C25" s="42">
        <v>3.95</v>
      </c>
      <c r="D25" s="40" t="s">
        <v>287</v>
      </c>
      <c r="E25" s="41" t="s">
        <v>288</v>
      </c>
    </row>
    <row r="26" ht="15.75" customHeight="1">
      <c r="B26" s="17" t="s">
        <v>289</v>
      </c>
      <c r="C26" s="42">
        <v>4.06</v>
      </c>
      <c r="D26" s="40" t="s">
        <v>291</v>
      </c>
      <c r="E26" s="41" t="s">
        <v>292</v>
      </c>
    </row>
    <row r="27" ht="15.75" customHeight="1">
      <c r="B27" s="17" t="s">
        <v>191</v>
      </c>
      <c r="C27" s="42">
        <v>4.5</v>
      </c>
      <c r="D27" s="40" t="s">
        <v>78</v>
      </c>
      <c r="E27" s="41" t="s">
        <v>294</v>
      </c>
    </row>
    <row r="28" ht="15.75" customHeight="1">
      <c r="A28" s="62" t="s">
        <v>24</v>
      </c>
      <c r="B28" s="13" t="s">
        <v>193</v>
      </c>
      <c r="C28" s="13" t="s">
        <v>194</v>
      </c>
      <c r="D28" s="13" t="s">
        <v>195</v>
      </c>
      <c r="E28" s="13" t="s">
        <v>196</v>
      </c>
      <c r="F28" s="13" t="s">
        <v>197</v>
      </c>
      <c r="G28" s="13" t="s">
        <v>198</v>
      </c>
    </row>
    <row r="29" ht="25.5" customHeight="1">
      <c r="A29" s="63" t="s">
        <v>111</v>
      </c>
      <c r="B29" s="64" t="s">
        <v>299</v>
      </c>
      <c r="C29" s="63" t="s">
        <v>78</v>
      </c>
      <c r="D29" s="63" t="s">
        <v>78</v>
      </c>
      <c r="E29" s="63" t="s">
        <v>78</v>
      </c>
      <c r="F29" s="63" t="s">
        <v>78</v>
      </c>
      <c r="G29" s="63" t="s">
        <v>300</v>
      </c>
    </row>
    <row r="30" ht="15.75" customHeight="1">
      <c r="A30" s="65">
        <v>1.0</v>
      </c>
      <c r="B30" s="39" t="s">
        <v>301</v>
      </c>
      <c r="C30" s="42">
        <v>18.0</v>
      </c>
      <c r="D30" s="42">
        <v>18.0</v>
      </c>
      <c r="E30" s="42">
        <v>3.71</v>
      </c>
      <c r="F30" s="42">
        <v>3.8</v>
      </c>
      <c r="G30" s="42"/>
    </row>
    <row r="31" ht="15.75" customHeight="1">
      <c r="A31" s="65">
        <v>2.0</v>
      </c>
      <c r="B31" s="39" t="s">
        <v>302</v>
      </c>
      <c r="C31" s="42">
        <v>18.0</v>
      </c>
      <c r="D31" s="42">
        <v>18.0</v>
      </c>
      <c r="E31" s="42">
        <v>3.85</v>
      </c>
      <c r="F31" s="42">
        <v>3.9</v>
      </c>
      <c r="G31" s="42"/>
    </row>
    <row r="32" ht="15.75" customHeight="1">
      <c r="A32" s="65">
        <v>3.0</v>
      </c>
      <c r="B32" s="39" t="s">
        <v>303</v>
      </c>
      <c r="C32" s="42">
        <v>19.0</v>
      </c>
      <c r="D32" s="42">
        <v>19.0</v>
      </c>
      <c r="E32" s="42">
        <v>3.95</v>
      </c>
      <c r="F32" s="42">
        <v>4.1</v>
      </c>
      <c r="G32" s="42"/>
    </row>
    <row r="33" ht="15.75" customHeight="1">
      <c r="A33" s="65">
        <v>4.0</v>
      </c>
      <c r="B33" s="39" t="s">
        <v>304</v>
      </c>
      <c r="C33" s="42">
        <v>18.0</v>
      </c>
      <c r="D33" s="42">
        <v>18.0</v>
      </c>
      <c r="E33" s="42">
        <v>4.02</v>
      </c>
      <c r="F33" s="42">
        <v>4.15</v>
      </c>
      <c r="G33" s="42"/>
    </row>
    <row r="34" ht="15.75" customHeight="1">
      <c r="A34" s="65">
        <v>5.0</v>
      </c>
      <c r="B34" s="39" t="s">
        <v>305</v>
      </c>
      <c r="C34" s="42">
        <v>18.0</v>
      </c>
      <c r="D34" s="42">
        <v>18.0</v>
      </c>
      <c r="E34" s="42">
        <v>3.98</v>
      </c>
      <c r="F34" s="42">
        <v>4.05</v>
      </c>
      <c r="G34" s="42"/>
    </row>
    <row r="35" ht="15.75" customHeight="1">
      <c r="A35" s="65">
        <v>6.0</v>
      </c>
      <c r="B35" s="39" t="s">
        <v>306</v>
      </c>
      <c r="C35" s="42">
        <v>17.0</v>
      </c>
      <c r="D35" s="42">
        <v>17.0</v>
      </c>
      <c r="E35" s="42">
        <v>4.1</v>
      </c>
      <c r="F35" s="42">
        <v>4.2</v>
      </c>
      <c r="G35" s="42"/>
    </row>
    <row r="36" ht="15.75" customHeight="1">
      <c r="A36" s="65">
        <v>7.0</v>
      </c>
      <c r="B36" s="39" t="s">
        <v>307</v>
      </c>
      <c r="C36" s="42">
        <v>15.0</v>
      </c>
      <c r="D36" s="42">
        <v>15.0</v>
      </c>
      <c r="E36" s="42">
        <v>4.03</v>
      </c>
      <c r="F36" s="42">
        <v>4.12</v>
      </c>
      <c r="G36" s="42"/>
    </row>
    <row r="37" ht="15.75" customHeight="1">
      <c r="A37" s="65">
        <v>8.0</v>
      </c>
      <c r="B37" s="39"/>
      <c r="C37" s="42"/>
      <c r="D37" s="42"/>
      <c r="E37" s="42"/>
      <c r="F37" s="42"/>
      <c r="G37" s="42"/>
    </row>
    <row r="38" ht="15.75" customHeight="1"/>
    <row r="39" ht="21.75" customHeight="1">
      <c r="A39" s="51">
        <v>2.0</v>
      </c>
      <c r="B39" s="52" t="s">
        <v>127</v>
      </c>
      <c r="C39" s="53"/>
      <c r="D39" s="53"/>
      <c r="E39" s="54"/>
      <c r="F39" s="55" t="s">
        <v>178</v>
      </c>
      <c r="G39" s="71" t="s">
        <v>47</v>
      </c>
      <c r="H39" s="59" t="str">
        <f>IF(G39="",IF(COUNTA(B43:G47)&gt;0,"⚠ 상태 미선택(입력값 있음)","상태 미선택 → 미수집 간주"),IF(G39="값 있음",IF(COUNTA(B43:G47)=0,"⚠ 값 있음인데 입력값 없음","✓ 정상"),IF(COUNTA(B43:G47)&gt;0,"⚠ 상태와 입력값 불일치","✓ 정상")))</f>
        <v>✓ 정상</v>
      </c>
      <c r="I39" s="54"/>
    </row>
    <row r="40" ht="24.0" customHeight="1">
      <c r="B40" s="60" t="s">
        <v>327</v>
      </c>
    </row>
    <row r="41" ht="15.75" customHeight="1">
      <c r="A41" s="62" t="s">
        <v>24</v>
      </c>
      <c r="B41" s="13" t="s">
        <v>215</v>
      </c>
      <c r="C41" s="13" t="s">
        <v>193</v>
      </c>
      <c r="D41" s="13" t="s">
        <v>216</v>
      </c>
      <c r="E41" s="13" t="s">
        <v>217</v>
      </c>
      <c r="F41" s="13" t="s">
        <v>329</v>
      </c>
      <c r="G41" s="13" t="s">
        <v>198</v>
      </c>
    </row>
    <row r="42" ht="37.5" customHeight="1">
      <c r="A42" s="63" t="s">
        <v>111</v>
      </c>
      <c r="B42" s="63" t="s">
        <v>130</v>
      </c>
      <c r="C42" s="64" t="s">
        <v>331</v>
      </c>
      <c r="D42" s="64" t="s">
        <v>332</v>
      </c>
      <c r="E42" s="64" t="s">
        <v>222</v>
      </c>
      <c r="F42" s="63" t="s">
        <v>334</v>
      </c>
      <c r="G42" s="63" t="s">
        <v>130</v>
      </c>
    </row>
    <row r="43" ht="15.75" customHeight="1">
      <c r="A43" s="65">
        <v>1.0</v>
      </c>
      <c r="B43" s="69" t="s">
        <v>336</v>
      </c>
      <c r="C43" s="39" t="s">
        <v>305</v>
      </c>
      <c r="D43" s="69" t="s">
        <v>338</v>
      </c>
      <c r="E43" s="42" t="s">
        <v>340</v>
      </c>
      <c r="F43" s="42">
        <v>95.0</v>
      </c>
      <c r="G43" s="42"/>
    </row>
    <row r="44" ht="15.75" customHeight="1">
      <c r="A44" s="65">
        <v>2.0</v>
      </c>
      <c r="B44" s="69" t="s">
        <v>342</v>
      </c>
      <c r="C44" s="39" t="s">
        <v>303</v>
      </c>
      <c r="D44" s="69" t="s">
        <v>344</v>
      </c>
      <c r="E44" s="42" t="s">
        <v>345</v>
      </c>
      <c r="F44" s="42">
        <v>90.0</v>
      </c>
      <c r="G44" s="42"/>
    </row>
    <row r="45" ht="15.75" customHeight="1">
      <c r="A45" s="65">
        <v>3.0</v>
      </c>
      <c r="B45" s="69" t="s">
        <v>346</v>
      </c>
      <c r="C45" s="39" t="s">
        <v>306</v>
      </c>
      <c r="D45" s="69" t="s">
        <v>347</v>
      </c>
      <c r="E45" s="42" t="s">
        <v>340</v>
      </c>
      <c r="F45" s="42">
        <v>97.0</v>
      </c>
      <c r="G45" s="42"/>
    </row>
    <row r="46" ht="15.75" customHeight="1">
      <c r="A46" s="65">
        <v>4.0</v>
      </c>
      <c r="B46" s="69" t="s">
        <v>350</v>
      </c>
      <c r="C46" s="39" t="s">
        <v>307</v>
      </c>
      <c r="D46" s="42" t="s">
        <v>352</v>
      </c>
      <c r="E46" s="42" t="s">
        <v>340</v>
      </c>
      <c r="F46" s="42">
        <v>96.0</v>
      </c>
      <c r="G46" s="42"/>
    </row>
    <row r="47" ht="15.75" customHeight="1">
      <c r="A47" s="65">
        <v>5.0</v>
      </c>
      <c r="B47" s="42"/>
      <c r="C47" s="39"/>
      <c r="D47" s="42"/>
      <c r="E47" s="42"/>
      <c r="F47" s="42"/>
      <c r="G47" s="42"/>
    </row>
    <row r="48" ht="15.75" customHeight="1"/>
    <row r="49" ht="21.75" customHeight="1">
      <c r="A49" s="51">
        <v>3.0</v>
      </c>
      <c r="B49" s="52" t="s">
        <v>353</v>
      </c>
      <c r="C49" s="53"/>
      <c r="D49" s="53"/>
      <c r="E49" s="54"/>
      <c r="F49" s="55" t="s">
        <v>178</v>
      </c>
      <c r="G49" s="71" t="s">
        <v>47</v>
      </c>
      <c r="H49" s="59" t="str">
        <f>IF(G49="",IF(COUNTA(C51:C52,B55:E58)&gt;0,"⚠ 상태 미선택(입력값 있음)","상태 미선택 → 미수집 간주"),IF(G49="값 있음",IF(COUNTA(C51:C52,B55:E58)=0,"⚠ 값 있음인데 입력값 없음","✓ 정상"),IF(COUNTA(C51:C52,B55:E58)&gt;0,"⚠ 상태와 입력값 불일치","✓ 정상")))</f>
        <v>✓ 정상</v>
      </c>
      <c r="I49" s="54"/>
    </row>
    <row r="50" ht="24.0" customHeight="1">
      <c r="B50" s="60" t="s">
        <v>362</v>
      </c>
    </row>
    <row r="51" ht="15.75" customHeight="1">
      <c r="B51" s="17" t="s">
        <v>253</v>
      </c>
      <c r="C51" s="42">
        <v>123.0</v>
      </c>
      <c r="D51" s="40" t="s">
        <v>78</v>
      </c>
      <c r="E51" s="41" t="s">
        <v>364</v>
      </c>
    </row>
    <row r="52" ht="15.75" customHeight="1">
      <c r="B52" s="17" t="s">
        <v>259</v>
      </c>
      <c r="C52" s="42">
        <v>5.0</v>
      </c>
      <c r="D52" s="40" t="s">
        <v>78</v>
      </c>
      <c r="E52" s="41" t="s">
        <v>366</v>
      </c>
    </row>
    <row r="53" ht="15.75" customHeight="1">
      <c r="A53" s="62" t="s">
        <v>24</v>
      </c>
      <c r="B53" s="13" t="s">
        <v>263</v>
      </c>
      <c r="C53" s="13" t="s">
        <v>264</v>
      </c>
      <c r="D53" s="13" t="s">
        <v>265</v>
      </c>
      <c r="E53" s="13" t="s">
        <v>266</v>
      </c>
    </row>
    <row r="54" ht="25.5" customHeight="1">
      <c r="A54" s="63" t="s">
        <v>111</v>
      </c>
      <c r="B54" s="64" t="s">
        <v>367</v>
      </c>
      <c r="C54" s="63" t="s">
        <v>130</v>
      </c>
      <c r="D54" s="64" t="s">
        <v>368</v>
      </c>
      <c r="E54" s="63" t="s">
        <v>78</v>
      </c>
    </row>
    <row r="55" ht="15.75" customHeight="1">
      <c r="A55" s="65">
        <v>1.0</v>
      </c>
      <c r="B55" s="69" t="s">
        <v>369</v>
      </c>
      <c r="C55" s="69" t="s">
        <v>90</v>
      </c>
      <c r="D55" s="69" t="s">
        <v>370</v>
      </c>
      <c r="E55" s="42">
        <v>96.0</v>
      </c>
    </row>
    <row r="56" ht="15.75" customHeight="1">
      <c r="A56" s="65">
        <v>2.0</v>
      </c>
      <c r="B56" s="69" t="s">
        <v>371</v>
      </c>
      <c r="C56" s="69" t="s">
        <v>372</v>
      </c>
      <c r="D56" s="69" t="s">
        <v>370</v>
      </c>
      <c r="E56" s="42">
        <v>18.0</v>
      </c>
    </row>
    <row r="57" ht="15.75" customHeight="1">
      <c r="A57" s="65">
        <v>3.0</v>
      </c>
      <c r="B57" s="69"/>
      <c r="C57" s="42"/>
      <c r="D57" s="69"/>
      <c r="E57" s="42"/>
    </row>
    <row r="58" ht="15.75" customHeight="1">
      <c r="A58" s="65">
        <v>4.0</v>
      </c>
      <c r="B58" s="69"/>
      <c r="C58" s="42"/>
      <c r="D58" s="69"/>
      <c r="E58" s="42"/>
    </row>
    <row r="59" ht="15.75" customHeight="1"/>
    <row r="60" ht="21.75" customHeight="1">
      <c r="A60" s="70">
        <v>4.0</v>
      </c>
      <c r="B60" s="72" t="s">
        <v>180</v>
      </c>
      <c r="C60" s="53"/>
      <c r="D60" s="53"/>
      <c r="E60" s="54"/>
      <c r="F60" s="73" t="s">
        <v>178</v>
      </c>
      <c r="G60" s="71" t="s">
        <v>47</v>
      </c>
      <c r="H60" s="74" t="str">
        <f>IF(G60="",IF(COUNTA(C62:C64)&gt;0,"⚠ 상태 미선택(입력값 있음)","상태 미선택 → 미수집 간주"),IF(G60="값 있음",IF(COUNTA(C62:C64)=0,"⚠ 값 있음인데 입력값 없음","✓ 정상"),IF(COUNTA(C62:C64)&gt;0,"⚠ 상태와 입력값 불일치","✓ 정상")))</f>
        <v>✓ 정상</v>
      </c>
      <c r="I60" s="54"/>
    </row>
    <row r="61" ht="24.0" customHeight="1">
      <c r="B61" s="60" t="s">
        <v>387</v>
      </c>
    </row>
    <row r="62" ht="15.75" customHeight="1">
      <c r="B62" s="17" t="s">
        <v>280</v>
      </c>
      <c r="C62" s="69" t="s">
        <v>389</v>
      </c>
      <c r="D62" s="40" t="s">
        <v>147</v>
      </c>
      <c r="E62" s="41" t="s">
        <v>390</v>
      </c>
    </row>
    <row r="63" ht="15.75" customHeight="1">
      <c r="B63" s="17" t="s">
        <v>285</v>
      </c>
      <c r="C63" s="69" t="s">
        <v>391</v>
      </c>
      <c r="D63" s="40" t="s">
        <v>130</v>
      </c>
      <c r="E63" s="41" t="s">
        <v>392</v>
      </c>
    </row>
    <row r="64" ht="15.75" customHeight="1">
      <c r="B64" s="17" t="s">
        <v>265</v>
      </c>
      <c r="C64" s="69" t="s">
        <v>370</v>
      </c>
      <c r="D64" s="40" t="s">
        <v>147</v>
      </c>
      <c r="E64" s="50" t="s">
        <v>396</v>
      </c>
    </row>
    <row r="65" ht="15.75" customHeight="1"/>
    <row r="66" ht="21.75" customHeight="1">
      <c r="A66" s="33" t="s">
        <v>397</v>
      </c>
      <c r="B66" s="8"/>
      <c r="C66" s="8"/>
      <c r="D66" s="8"/>
      <c r="E66" s="8"/>
      <c r="F66" s="8"/>
      <c r="G66" s="8"/>
      <c r="H66" s="8"/>
      <c r="I66" s="7"/>
    </row>
    <row r="67" ht="21.75" customHeight="1">
      <c r="A67" s="51">
        <v>5.0</v>
      </c>
      <c r="B67" s="75" t="s">
        <v>398</v>
      </c>
      <c r="C67" s="53"/>
      <c r="D67" s="53"/>
      <c r="E67" s="54"/>
      <c r="F67" s="55" t="s">
        <v>178</v>
      </c>
      <c r="G67" s="71" t="s">
        <v>47</v>
      </c>
      <c r="H67" s="59" t="str">
        <f>IF(G67="",IF(COUNTA(C69:C74)&gt;0,"⚠ 상태 미선택(입력값 있음)","상태 미선택 → 미수집 간주"),IF(G67="값 있음",IF(COUNTA(C69:C74)=0,"⚠ 값 있음인데 입력값 없음","✓ 정상"),IF(COUNTA(C69:C74)&gt;0,"⚠ 상태와 입력값 불일치","✓ 정상")))</f>
        <v>✓ 정상</v>
      </c>
      <c r="I67" s="54"/>
    </row>
    <row r="68" ht="24.0" customHeight="1">
      <c r="B68" s="60" t="s">
        <v>410</v>
      </c>
    </row>
    <row r="69" ht="15.75" customHeight="1">
      <c r="B69" s="17" t="s">
        <v>310</v>
      </c>
      <c r="C69" s="42" t="s">
        <v>411</v>
      </c>
      <c r="D69" s="40" t="s">
        <v>130</v>
      </c>
      <c r="E69" s="41" t="s">
        <v>412</v>
      </c>
    </row>
    <row r="70" ht="15.75" customHeight="1">
      <c r="B70" s="17" t="s">
        <v>414</v>
      </c>
      <c r="C70" s="42">
        <v>97.0</v>
      </c>
      <c r="D70" s="40" t="s">
        <v>415</v>
      </c>
      <c r="E70" s="50" t="s">
        <v>416</v>
      </c>
    </row>
    <row r="71" ht="15.75" customHeight="1">
      <c r="B71" s="17" t="s">
        <v>417</v>
      </c>
      <c r="C71" s="42">
        <v>100.0</v>
      </c>
      <c r="D71" s="40" t="s">
        <v>419</v>
      </c>
      <c r="E71" s="50" t="s">
        <v>420</v>
      </c>
    </row>
    <row r="72" ht="15.75" customHeight="1">
      <c r="B72" s="17" t="s">
        <v>320</v>
      </c>
      <c r="C72" s="42">
        <v>9.5</v>
      </c>
      <c r="D72" s="40" t="s">
        <v>78</v>
      </c>
      <c r="E72" s="41" t="s">
        <v>422</v>
      </c>
    </row>
    <row r="73" ht="15.75" customHeight="1">
      <c r="B73" s="17" t="s">
        <v>424</v>
      </c>
      <c r="C73" s="42">
        <v>64.0</v>
      </c>
      <c r="D73" s="40" t="s">
        <v>78</v>
      </c>
      <c r="E73" s="41" t="s">
        <v>323</v>
      </c>
    </row>
    <row r="74" ht="15.75" customHeight="1">
      <c r="B74" s="17" t="s">
        <v>425</v>
      </c>
      <c r="C74" s="42">
        <v>88.0</v>
      </c>
      <c r="D74" s="40" t="s">
        <v>426</v>
      </c>
      <c r="E74" s="41"/>
    </row>
    <row r="75" ht="15.75" customHeight="1"/>
    <row r="76" ht="21.75" customHeight="1">
      <c r="A76" s="51">
        <v>6.0</v>
      </c>
      <c r="B76" s="52" t="s">
        <v>427</v>
      </c>
      <c r="C76" s="53"/>
      <c r="D76" s="53"/>
      <c r="E76" s="54"/>
      <c r="F76" s="55" t="s">
        <v>178</v>
      </c>
      <c r="G76" s="71" t="s">
        <v>47</v>
      </c>
      <c r="H76" s="59" t="str">
        <f>IF(G76="",IF(COUNTA(C78:C81)&gt;0,"⚠ 상태 미선택(입력값 있음)","상태 미선택 → 미수집 간주"),IF(G76="값 있음",IF(COUNTA(C78:C81)=0,"⚠ 값 있음인데 입력값 없음","✓ 정상"),IF(COUNTA(C78:C81)&gt;0,"⚠ 상태와 입력값 불일치","✓ 정상")))</f>
        <v>✓ 정상</v>
      </c>
      <c r="I76" s="54"/>
    </row>
    <row r="77" ht="24.0" customHeight="1">
      <c r="B77" s="60" t="s">
        <v>435</v>
      </c>
    </row>
    <row r="78" ht="15.75" customHeight="1">
      <c r="B78" s="17" t="s">
        <v>310</v>
      </c>
      <c r="C78" s="69" t="s">
        <v>436</v>
      </c>
      <c r="D78" s="40" t="s">
        <v>130</v>
      </c>
      <c r="E78" s="41" t="s">
        <v>437</v>
      </c>
    </row>
    <row r="79" ht="15.75" customHeight="1">
      <c r="B79" s="17" t="s">
        <v>439</v>
      </c>
      <c r="C79" s="42">
        <v>6.0</v>
      </c>
      <c r="D79" s="40" t="s">
        <v>78</v>
      </c>
      <c r="E79" s="41"/>
    </row>
    <row r="80" ht="15.75" customHeight="1">
      <c r="B80" s="17" t="s">
        <v>440</v>
      </c>
      <c r="C80" s="42">
        <v>3.0</v>
      </c>
      <c r="D80" s="40" t="s">
        <v>78</v>
      </c>
      <c r="E80" s="41"/>
    </row>
    <row r="81" ht="15.75" customHeight="1">
      <c r="B81" s="17" t="s">
        <v>341</v>
      </c>
      <c r="C81" s="69" t="s">
        <v>441</v>
      </c>
      <c r="D81" s="40" t="s">
        <v>130</v>
      </c>
      <c r="E81" s="41" t="s">
        <v>343</v>
      </c>
    </row>
    <row r="82" ht="15.75" customHeight="1"/>
    <row r="83" ht="21.75" customHeight="1">
      <c r="A83" s="76">
        <v>7.0</v>
      </c>
      <c r="B83" s="77" t="s">
        <v>445</v>
      </c>
      <c r="C83" s="53"/>
      <c r="D83" s="53"/>
      <c r="E83" s="54"/>
      <c r="F83" s="78" t="s">
        <v>178</v>
      </c>
      <c r="G83" s="71" t="s">
        <v>47</v>
      </c>
      <c r="H83" s="79" t="str">
        <f>IF(G83="",IF(COUNTA(C85:C88)&gt;0,"⚠ 상태 미선택(입력값 있음)","상태 미선택 → 미수집 간주"),IF(G83="값 있음",IF(COUNTA(C85:C88)=0,"⚠ 값 있음인데 입력값 없음","✓ 정상"),IF(COUNTA(C85:C88)&gt;0,"⚠ 상태와 입력값 불일치","✓ 정상")))</f>
        <v>✓ 정상</v>
      </c>
      <c r="I83" s="54"/>
    </row>
    <row r="84" ht="15.0" customHeight="1">
      <c r="B84" s="60" t="s">
        <v>457</v>
      </c>
    </row>
    <row r="85" ht="15.75" customHeight="1">
      <c r="B85" s="17" t="s">
        <v>310</v>
      </c>
      <c r="C85" s="42" t="s">
        <v>459</v>
      </c>
      <c r="D85" s="40" t="s">
        <v>130</v>
      </c>
      <c r="E85" s="41" t="s">
        <v>460</v>
      </c>
    </row>
    <row r="86" ht="15.75" customHeight="1">
      <c r="B86" s="17" t="s">
        <v>356</v>
      </c>
      <c r="C86" s="42">
        <v>12.0</v>
      </c>
      <c r="D86" s="40" t="s">
        <v>78</v>
      </c>
      <c r="E86" s="41"/>
    </row>
    <row r="87" ht="15.75" customHeight="1">
      <c r="B87" s="17" t="s">
        <v>360</v>
      </c>
      <c r="C87" s="42">
        <v>35.0</v>
      </c>
      <c r="D87" s="40" t="s">
        <v>78</v>
      </c>
      <c r="E87" s="41"/>
    </row>
    <row r="88" ht="15.75" customHeight="1">
      <c r="B88" s="17" t="s">
        <v>361</v>
      </c>
      <c r="C88" s="42">
        <v>8.0</v>
      </c>
      <c r="D88" s="40" t="s">
        <v>78</v>
      </c>
      <c r="E88" s="41"/>
    </row>
    <row r="89" ht="15.75" customHeight="1"/>
    <row r="90" ht="21.75" customHeight="1">
      <c r="A90" s="33" t="s">
        <v>464</v>
      </c>
      <c r="B90" s="8"/>
      <c r="C90" s="8"/>
      <c r="D90" s="8"/>
      <c r="E90" s="8"/>
      <c r="F90" s="8"/>
      <c r="G90" s="8"/>
      <c r="H90" s="8"/>
      <c r="I90" s="7"/>
    </row>
    <row r="91" ht="21.75" customHeight="1">
      <c r="A91" s="51">
        <v>8.0</v>
      </c>
      <c r="B91" s="52" t="s">
        <v>469</v>
      </c>
      <c r="C91" s="53"/>
      <c r="D91" s="53"/>
      <c r="E91" s="54"/>
      <c r="F91" s="55" t="s">
        <v>178</v>
      </c>
      <c r="G91" s="71" t="s">
        <v>47</v>
      </c>
      <c r="H91" s="59" t="str">
        <f>IF(G91="",IF(COUNTA(B95:H98)&gt;0,"⚠ 상태 미선택(입력값 있음)","상태 미선택 → 미수집 간주"),IF(G91="값 있음",IF(COUNTA(B95:H98)=0,"⚠ 값 있음인데 입력값 없음","✓ 정상"),IF(COUNTA(B95:H98)&gt;0,"⚠ 상태와 입력값 불일치","✓ 정상")))</f>
        <v>✓ 정상</v>
      </c>
      <c r="I91" s="54"/>
    </row>
    <row r="92" ht="24.0" customHeight="1">
      <c r="B92" s="60" t="s">
        <v>478</v>
      </c>
    </row>
    <row r="93" ht="15.75" customHeight="1">
      <c r="A93" s="62" t="s">
        <v>24</v>
      </c>
      <c r="B93" s="13" t="s">
        <v>377</v>
      </c>
      <c r="C93" s="13" t="s">
        <v>484</v>
      </c>
      <c r="D93" s="13" t="s">
        <v>379</v>
      </c>
      <c r="E93" s="13" t="s">
        <v>380</v>
      </c>
      <c r="F93" s="13" t="s">
        <v>381</v>
      </c>
      <c r="G93" s="13" t="s">
        <v>489</v>
      </c>
      <c r="H93" s="13" t="s">
        <v>383</v>
      </c>
    </row>
    <row r="94" ht="25.5" customHeight="1">
      <c r="A94" s="63" t="s">
        <v>111</v>
      </c>
      <c r="B94" s="64" t="s">
        <v>492</v>
      </c>
      <c r="C94" s="63" t="s">
        <v>493</v>
      </c>
      <c r="D94" s="63" t="s">
        <v>130</v>
      </c>
      <c r="E94" s="64" t="s">
        <v>158</v>
      </c>
      <c r="F94" s="64" t="s">
        <v>495</v>
      </c>
      <c r="G94" s="63" t="s">
        <v>78</v>
      </c>
      <c r="H94" s="63" t="s">
        <v>130</v>
      </c>
    </row>
    <row r="95" ht="15.75" customHeight="1">
      <c r="A95" s="65">
        <v>1.0</v>
      </c>
      <c r="B95" s="69" t="s">
        <v>497</v>
      </c>
      <c r="C95" s="69" t="s">
        <v>498</v>
      </c>
      <c r="D95" s="69" t="s">
        <v>499</v>
      </c>
      <c r="E95" s="39" t="s">
        <v>500</v>
      </c>
      <c r="F95" s="39" t="s">
        <v>501</v>
      </c>
      <c r="G95" s="42">
        <v>12.0</v>
      </c>
      <c r="H95" s="69" t="s">
        <v>503</v>
      </c>
    </row>
    <row r="96" ht="15.75" customHeight="1">
      <c r="A96" s="65">
        <v>2.0</v>
      </c>
      <c r="B96" s="42" t="s">
        <v>505</v>
      </c>
      <c r="C96" s="42" t="s">
        <v>506</v>
      </c>
      <c r="D96" s="69" t="s">
        <v>507</v>
      </c>
      <c r="E96" s="39" t="s">
        <v>508</v>
      </c>
      <c r="F96" s="39" t="s">
        <v>509</v>
      </c>
      <c r="G96" s="42">
        <v>2.0</v>
      </c>
      <c r="H96" s="69" t="s">
        <v>510</v>
      </c>
    </row>
    <row r="97" ht="15.75" customHeight="1">
      <c r="A97" s="65">
        <v>3.0</v>
      </c>
      <c r="B97" s="42"/>
      <c r="C97" s="42"/>
      <c r="D97" s="42"/>
      <c r="E97" s="39"/>
      <c r="F97" s="39"/>
      <c r="G97" s="42"/>
      <c r="H97" s="42"/>
    </row>
    <row r="98" ht="15.75" customHeight="1">
      <c r="A98" s="65">
        <v>4.0</v>
      </c>
      <c r="B98" s="42"/>
      <c r="C98" s="42"/>
      <c r="D98" s="42"/>
      <c r="E98" s="39"/>
      <c r="F98" s="39"/>
      <c r="G98" s="42"/>
      <c r="H98" s="42"/>
    </row>
    <row r="99" ht="15.75" customHeight="1"/>
    <row r="100" ht="21.75" customHeight="1">
      <c r="A100" s="51">
        <v>9.0</v>
      </c>
      <c r="B100" s="52" t="s">
        <v>511</v>
      </c>
      <c r="C100" s="53"/>
      <c r="D100" s="53"/>
      <c r="E100" s="54"/>
      <c r="F100" s="55" t="s">
        <v>178</v>
      </c>
      <c r="G100" s="71" t="s">
        <v>47</v>
      </c>
      <c r="H100" s="59" t="str">
        <f>IF(G100="",IF(COUNTA(B104:G106)&gt;0,"⚠ 상태 미선택(입력값 있음)","상태 미선택 → 미수집 간주"),IF(G100="값 있음",IF(COUNTA(B104:G106)=0,"⚠ 값 있음인데 입력값 없음","✓ 정상"),IF(COUNTA(B104:G106)&gt;0,"⚠ 상태와 입력값 불일치","✓ 정상")))</f>
        <v>✓ 정상</v>
      </c>
      <c r="I100" s="54"/>
    </row>
    <row r="101" ht="24.0" customHeight="1">
      <c r="B101" s="60" t="s">
        <v>528</v>
      </c>
    </row>
    <row r="102" ht="15.75" customHeight="1">
      <c r="A102" s="62" t="s">
        <v>24</v>
      </c>
      <c r="B102" s="13" t="s">
        <v>400</v>
      </c>
      <c r="C102" s="13" t="s">
        <v>401</v>
      </c>
      <c r="D102" s="13" t="s">
        <v>402</v>
      </c>
      <c r="E102" s="13" t="s">
        <v>403</v>
      </c>
      <c r="F102" s="13" t="s">
        <v>404</v>
      </c>
      <c r="G102" s="13" t="s">
        <v>533</v>
      </c>
    </row>
    <row r="103" ht="37.5" customHeight="1">
      <c r="A103" s="63" t="s">
        <v>111</v>
      </c>
      <c r="B103" s="64" t="s">
        <v>536</v>
      </c>
      <c r="C103" s="63" t="s">
        <v>130</v>
      </c>
      <c r="D103" s="64" t="s">
        <v>537</v>
      </c>
      <c r="E103" s="64" t="s">
        <v>538</v>
      </c>
      <c r="F103" s="64" t="s">
        <v>539</v>
      </c>
      <c r="G103" s="64" t="s">
        <v>158</v>
      </c>
    </row>
    <row r="104" ht="15.75" customHeight="1">
      <c r="A104" s="65">
        <v>1.0</v>
      </c>
      <c r="B104" s="69" t="s">
        <v>540</v>
      </c>
      <c r="C104" s="69" t="s">
        <v>541</v>
      </c>
      <c r="D104" s="69" t="s">
        <v>542</v>
      </c>
      <c r="E104" s="69" t="s">
        <v>543</v>
      </c>
      <c r="F104" s="69" t="s">
        <v>544</v>
      </c>
      <c r="G104" s="39" t="s">
        <v>545</v>
      </c>
    </row>
    <row r="105" ht="15.75" customHeight="1">
      <c r="A105" s="65">
        <v>2.0</v>
      </c>
      <c r="B105" s="69" t="s">
        <v>546</v>
      </c>
      <c r="C105" s="69" t="s">
        <v>547</v>
      </c>
      <c r="D105" s="69" t="s">
        <v>548</v>
      </c>
      <c r="E105" s="69" t="s">
        <v>543</v>
      </c>
      <c r="F105" s="69" t="s">
        <v>549</v>
      </c>
      <c r="G105" s="39" t="s">
        <v>509</v>
      </c>
    </row>
    <row r="106" ht="15.75" customHeight="1">
      <c r="A106" s="65">
        <v>3.0</v>
      </c>
      <c r="B106" s="69"/>
      <c r="C106" s="42"/>
      <c r="D106" s="69"/>
      <c r="E106" s="69"/>
      <c r="F106" s="69"/>
      <c r="G106" s="39"/>
    </row>
    <row r="107" ht="15.75" customHeight="1"/>
    <row r="108" ht="21.75" customHeight="1">
      <c r="A108" s="70">
        <v>10.0</v>
      </c>
      <c r="B108" s="80" t="s">
        <v>550</v>
      </c>
      <c r="C108" s="53"/>
      <c r="D108" s="53"/>
      <c r="E108" s="54"/>
      <c r="F108" s="73" t="s">
        <v>178</v>
      </c>
      <c r="G108" s="71" t="s">
        <v>47</v>
      </c>
      <c r="H108" s="74" t="str">
        <f>IF(G108="",IF(COUNTA(B112:E114)&gt;0,"⚠ 상태 미선택(입력값 있음)","상태 미선택 → 미수집 간주"),IF(G108="값 있음",IF(COUNTA(B112:E114)=0,"⚠ 값 있음인데 입력값 없음","✓ 정상"),IF(COUNTA(B112:E114)&gt;0,"⚠ 상태와 입력값 불일치","✓ 정상")))</f>
        <v>✓ 정상</v>
      </c>
      <c r="I108" s="54"/>
    </row>
    <row r="109" ht="24.0" customHeight="1">
      <c r="B109" s="60" t="s">
        <v>563</v>
      </c>
    </row>
    <row r="110" ht="15.75" customHeight="1">
      <c r="A110" s="62" t="s">
        <v>24</v>
      </c>
      <c r="B110" s="13" t="s">
        <v>215</v>
      </c>
      <c r="C110" s="13" t="s">
        <v>193</v>
      </c>
      <c r="D110" s="13" t="s">
        <v>566</v>
      </c>
      <c r="E110" s="13" t="s">
        <v>430</v>
      </c>
    </row>
    <row r="111" ht="25.5" customHeight="1">
      <c r="A111" s="63" t="s">
        <v>111</v>
      </c>
      <c r="B111" s="63" t="s">
        <v>130</v>
      </c>
      <c r="C111" s="64" t="s">
        <v>568</v>
      </c>
      <c r="D111" s="63" t="s">
        <v>78</v>
      </c>
      <c r="E111" s="63" t="s">
        <v>130</v>
      </c>
    </row>
    <row r="112" ht="15.75" customHeight="1">
      <c r="A112" s="65">
        <v>1.0</v>
      </c>
      <c r="B112" s="69" t="s">
        <v>569</v>
      </c>
      <c r="C112" s="39" t="s">
        <v>306</v>
      </c>
      <c r="D112" s="42">
        <v>4.0</v>
      </c>
      <c r="E112" s="69" t="s">
        <v>570</v>
      </c>
    </row>
    <row r="113" ht="15.75" customHeight="1">
      <c r="A113" s="65">
        <v>2.0</v>
      </c>
      <c r="B113" s="42"/>
      <c r="C113" s="39"/>
      <c r="D113" s="42"/>
      <c r="E113" s="42"/>
    </row>
    <row r="114" ht="15.75" customHeight="1">
      <c r="A114" s="65">
        <v>3.0</v>
      </c>
      <c r="B114" s="42"/>
      <c r="C114" s="39"/>
      <c r="D114" s="42"/>
      <c r="E114" s="42"/>
    </row>
    <row r="115" ht="15.75" customHeight="1"/>
    <row r="116" ht="21.75" customHeight="1">
      <c r="A116" s="33" t="s">
        <v>574</v>
      </c>
      <c r="B116" s="8"/>
      <c r="C116" s="8"/>
      <c r="D116" s="8"/>
      <c r="E116" s="8"/>
      <c r="F116" s="8"/>
      <c r="G116" s="8"/>
      <c r="H116" s="8"/>
      <c r="I116" s="7"/>
    </row>
    <row r="117" ht="21.75" customHeight="1">
      <c r="A117" s="51">
        <v>11.0</v>
      </c>
      <c r="B117" s="52" t="s">
        <v>577</v>
      </c>
      <c r="C117" s="53"/>
      <c r="D117" s="53"/>
      <c r="E117" s="54"/>
      <c r="F117" s="55" t="s">
        <v>178</v>
      </c>
      <c r="G117" s="71" t="s">
        <v>47</v>
      </c>
      <c r="H117" s="59" t="str">
        <f>IF(G117="",IF(COUNTA(B121:I123)&gt;0,"⚠ 상태 미선택(입력값 있음)","상태 미선택 → 미수집 간주"),IF(G117="값 있음",IF(COUNTA(B121:I123)=0,"⚠ 값 있음인데 입력값 없음","✓ 정상"),IF(COUNTA(B121:I123)&gt;0,"⚠ 상태와 입력값 불일치","✓ 정상")))</f>
        <v>✓ 정상</v>
      </c>
      <c r="I117" s="54"/>
    </row>
    <row r="118" ht="24.0" customHeight="1">
      <c r="B118" s="60" t="s">
        <v>589</v>
      </c>
    </row>
    <row r="119" ht="15.75" customHeight="1">
      <c r="A119" s="62" t="s">
        <v>24</v>
      </c>
      <c r="B119" s="13" t="s">
        <v>400</v>
      </c>
      <c r="C119" s="13" t="s">
        <v>450</v>
      </c>
      <c r="D119" s="13" t="s">
        <v>590</v>
      </c>
      <c r="E119" s="13" t="s">
        <v>380</v>
      </c>
      <c r="F119" s="13" t="s">
        <v>381</v>
      </c>
      <c r="G119" s="13" t="s">
        <v>591</v>
      </c>
      <c r="H119" s="13" t="s">
        <v>454</v>
      </c>
      <c r="I119" s="62" t="s">
        <v>593</v>
      </c>
    </row>
    <row r="120" ht="25.5" customHeight="1">
      <c r="A120" s="63" t="s">
        <v>111</v>
      </c>
      <c r="B120" s="64" t="s">
        <v>594</v>
      </c>
      <c r="C120" s="63" t="s">
        <v>130</v>
      </c>
      <c r="D120" s="63" t="s">
        <v>130</v>
      </c>
      <c r="E120" s="64" t="s">
        <v>158</v>
      </c>
      <c r="F120" s="64" t="s">
        <v>158</v>
      </c>
      <c r="G120" s="63" t="s">
        <v>78</v>
      </c>
      <c r="H120" s="64" t="s">
        <v>595</v>
      </c>
      <c r="I120" s="64" t="s">
        <v>462</v>
      </c>
    </row>
    <row r="121" ht="15.75" customHeight="1">
      <c r="A121" s="65">
        <v>1.0</v>
      </c>
      <c r="B121" s="69" t="s">
        <v>597</v>
      </c>
      <c r="C121" s="69" t="s">
        <v>599</v>
      </c>
      <c r="D121" s="69" t="s">
        <v>600</v>
      </c>
      <c r="E121" s="39" t="s">
        <v>508</v>
      </c>
      <c r="F121" s="39" t="s">
        <v>509</v>
      </c>
      <c r="G121" s="42">
        <v>2.0</v>
      </c>
      <c r="H121" s="69" t="s">
        <v>602</v>
      </c>
      <c r="I121" s="42" t="s">
        <v>249</v>
      </c>
    </row>
    <row r="122" ht="15.75" customHeight="1">
      <c r="A122" s="65">
        <v>2.0</v>
      </c>
      <c r="B122" s="69"/>
      <c r="C122" s="42"/>
      <c r="D122" s="42"/>
      <c r="E122" s="39"/>
      <c r="F122" s="39"/>
      <c r="G122" s="42"/>
      <c r="H122" s="69"/>
      <c r="I122" s="42"/>
    </row>
    <row r="123" ht="15.75" customHeight="1">
      <c r="A123" s="65">
        <v>3.0</v>
      </c>
      <c r="B123" s="69"/>
      <c r="C123" s="42"/>
      <c r="D123" s="42"/>
      <c r="E123" s="39"/>
      <c r="F123" s="39"/>
      <c r="G123" s="42"/>
      <c r="H123" s="69"/>
      <c r="I123" s="42"/>
    </row>
    <row r="124" ht="15.75" customHeight="1"/>
    <row r="125" ht="21.75" customHeight="1">
      <c r="A125" s="51">
        <v>12.0</v>
      </c>
      <c r="B125" s="52" t="s">
        <v>330</v>
      </c>
      <c r="C125" s="53"/>
      <c r="D125" s="53"/>
      <c r="E125" s="54"/>
      <c r="F125" s="55" t="s">
        <v>178</v>
      </c>
      <c r="G125" s="71" t="s">
        <v>47</v>
      </c>
      <c r="H125" s="59" t="str">
        <f>IF(G125="",IF(COUNTA(B129:F131)&gt;0,"⚠ 상태 미선택(입력값 있음)","상태 미선택 → 미수집 간주"),IF(G125="값 있음",IF(COUNTA(B129:F131)=0,"⚠ 값 있음인데 입력값 없음","✓ 정상"),IF(COUNTA(B129:F131)&gt;0,"⚠ 상태와 입력값 불일치","✓ 정상")))</f>
        <v>✓ 정상</v>
      </c>
      <c r="I125" s="54"/>
    </row>
    <row r="126" ht="24.0" customHeight="1">
      <c r="B126" s="60" t="s">
        <v>615</v>
      </c>
    </row>
    <row r="127" ht="15.75" customHeight="1">
      <c r="A127" s="62" t="s">
        <v>24</v>
      </c>
      <c r="B127" s="13" t="s">
        <v>480</v>
      </c>
      <c r="C127" s="13" t="s">
        <v>482</v>
      </c>
      <c r="D127" s="13" t="s">
        <v>618</v>
      </c>
      <c r="E127" s="13" t="s">
        <v>486</v>
      </c>
      <c r="F127" s="13" t="s">
        <v>487</v>
      </c>
    </row>
    <row r="128" ht="25.5" customHeight="1">
      <c r="A128" s="63" t="s">
        <v>111</v>
      </c>
      <c r="B128" s="63" t="s">
        <v>130</v>
      </c>
      <c r="C128" s="63" t="s">
        <v>130</v>
      </c>
      <c r="D128" s="63" t="s">
        <v>78</v>
      </c>
      <c r="E128" s="63" t="s">
        <v>78</v>
      </c>
      <c r="F128" s="64" t="s">
        <v>619</v>
      </c>
    </row>
    <row r="129" ht="15.75" customHeight="1">
      <c r="A129" s="65">
        <v>1.0</v>
      </c>
      <c r="B129" s="69" t="s">
        <v>621</v>
      </c>
      <c r="C129" s="69" t="s">
        <v>622</v>
      </c>
      <c r="D129" s="42">
        <v>10.0</v>
      </c>
      <c r="E129" s="42">
        <v>12.0</v>
      </c>
      <c r="F129" s="69" t="s">
        <v>623</v>
      </c>
    </row>
    <row r="130" ht="15.75" customHeight="1">
      <c r="A130" s="65">
        <v>2.0</v>
      </c>
      <c r="B130" s="42"/>
      <c r="C130" s="42"/>
      <c r="D130" s="42"/>
      <c r="E130" s="42"/>
      <c r="F130" s="69"/>
    </row>
    <row r="131" ht="15.75" customHeight="1">
      <c r="A131" s="65">
        <v>3.0</v>
      </c>
      <c r="B131" s="42"/>
      <c r="C131" s="42"/>
      <c r="D131" s="42"/>
      <c r="E131" s="42"/>
      <c r="F131" s="69"/>
    </row>
    <row r="132" ht="15.75" customHeight="1"/>
    <row r="133" ht="21.75" customHeight="1">
      <c r="A133" s="76">
        <v>13.0</v>
      </c>
      <c r="B133" s="77" t="s">
        <v>625</v>
      </c>
      <c r="C133" s="53"/>
      <c r="D133" s="53"/>
      <c r="E133" s="54"/>
      <c r="F133" s="78" t="s">
        <v>178</v>
      </c>
      <c r="G133" s="71" t="s">
        <v>47</v>
      </c>
      <c r="H133" s="79" t="str">
        <f>IF(G133="",IF(COUNTA(C135:C138)&gt;0,"⚠ 상태 미선택(입력값 있음)","상태 미선택 → 미수집 간주"),IF(G133="값 있음",IF(COUNTA(C135:C138)=0,"⚠ 값 있음인데 입력값 없음","✓ 정상"),IF(COUNTA(C135:C138)&gt;0,"⚠ 상태와 입력값 불일치","✓ 정상")))</f>
        <v>✓ 정상</v>
      </c>
      <c r="I133" s="54"/>
    </row>
    <row r="134" ht="24.0" customHeight="1">
      <c r="B134" s="60" t="s">
        <v>641</v>
      </c>
    </row>
    <row r="135" ht="15.75" customHeight="1">
      <c r="B135" s="17" t="s">
        <v>644</v>
      </c>
      <c r="C135" s="42">
        <v>4.0</v>
      </c>
      <c r="D135" s="40" t="s">
        <v>78</v>
      </c>
      <c r="E135" s="41"/>
    </row>
    <row r="136" ht="15.75" customHeight="1">
      <c r="B136" s="17" t="s">
        <v>521</v>
      </c>
      <c r="C136" s="42" t="s">
        <v>249</v>
      </c>
      <c r="D136" s="40" t="s">
        <v>147</v>
      </c>
      <c r="E136" s="50" t="s">
        <v>462</v>
      </c>
    </row>
    <row r="137" ht="15.75" customHeight="1">
      <c r="B137" s="17" t="s">
        <v>645</v>
      </c>
      <c r="C137" s="42" t="s">
        <v>646</v>
      </c>
      <c r="D137" s="40" t="s">
        <v>130</v>
      </c>
      <c r="E137" s="41"/>
    </row>
    <row r="138" ht="30.0" customHeight="1">
      <c r="B138" s="17" t="s">
        <v>524</v>
      </c>
      <c r="C138" s="69" t="s">
        <v>647</v>
      </c>
      <c r="D138" s="40" t="s">
        <v>525</v>
      </c>
      <c r="E138" s="50" t="s">
        <v>648</v>
      </c>
    </row>
    <row r="139" ht="15.75" customHeight="1"/>
    <row r="140" ht="21.75" customHeight="1">
      <c r="A140" s="33" t="s">
        <v>649</v>
      </c>
      <c r="B140" s="8"/>
      <c r="C140" s="8"/>
      <c r="D140" s="8"/>
      <c r="E140" s="8"/>
      <c r="F140" s="8"/>
      <c r="G140" s="8"/>
      <c r="H140" s="8"/>
      <c r="I140" s="7"/>
    </row>
    <row r="141" ht="21.75" customHeight="1">
      <c r="A141" s="51">
        <v>14.0</v>
      </c>
      <c r="B141" s="52" t="s">
        <v>650</v>
      </c>
      <c r="C141" s="53"/>
      <c r="D141" s="53"/>
      <c r="E141" s="54"/>
      <c r="F141" s="55" t="s">
        <v>178</v>
      </c>
      <c r="G141" s="71" t="s">
        <v>47</v>
      </c>
      <c r="H141" s="59" t="str">
        <f>IF(G141="",IF(COUNTA(B145:H149)&gt;0,"⚠ 상태 미선택(입력값 있음)","상태 미선택 → 미수집 간주"),IF(G141="값 있음",IF(COUNTA(B145:H149)=0,"⚠ 값 있음인데 입력값 없음","✓ 정상"),IF(COUNTA(B145:H149)&gt;0,"⚠ 상태와 입력값 불일치","✓ 정상")))</f>
        <v>✓ 정상</v>
      </c>
      <c r="I141" s="54"/>
    </row>
    <row r="142" ht="24.0" customHeight="1">
      <c r="B142" s="60" t="s">
        <v>666</v>
      </c>
    </row>
    <row r="143" ht="15.75" customHeight="1">
      <c r="A143" s="62" t="s">
        <v>24</v>
      </c>
      <c r="B143" s="13" t="s">
        <v>552</v>
      </c>
      <c r="C143" s="13" t="s">
        <v>553</v>
      </c>
      <c r="D143" s="13" t="s">
        <v>554</v>
      </c>
      <c r="E143" s="13" t="s">
        <v>555</v>
      </c>
      <c r="F143" s="13" t="s">
        <v>556</v>
      </c>
      <c r="G143" s="13" t="s">
        <v>557</v>
      </c>
      <c r="H143" s="13" t="s">
        <v>558</v>
      </c>
    </row>
    <row r="144" ht="25.5" customHeight="1">
      <c r="A144" s="63" t="s">
        <v>111</v>
      </c>
      <c r="B144" s="63" t="s">
        <v>130</v>
      </c>
      <c r="C144" s="63" t="s">
        <v>130</v>
      </c>
      <c r="D144" s="64" t="s">
        <v>673</v>
      </c>
      <c r="E144" s="64" t="s">
        <v>675</v>
      </c>
      <c r="F144" s="64" t="s">
        <v>677</v>
      </c>
      <c r="G144" s="63" t="s">
        <v>130</v>
      </c>
      <c r="H144" s="64" t="s">
        <v>158</v>
      </c>
    </row>
    <row r="145" ht="15.75" customHeight="1">
      <c r="A145" s="65">
        <v>1.0</v>
      </c>
      <c r="B145" s="69" t="s">
        <v>678</v>
      </c>
      <c r="C145" s="69" t="s">
        <v>86</v>
      </c>
      <c r="D145" s="69" t="s">
        <v>548</v>
      </c>
      <c r="E145" s="69" t="s">
        <v>681</v>
      </c>
      <c r="F145" s="69" t="s">
        <v>682</v>
      </c>
      <c r="G145" s="69" t="s">
        <v>683</v>
      </c>
      <c r="H145" s="39" t="s">
        <v>684</v>
      </c>
    </row>
    <row r="146" ht="15.75" customHeight="1">
      <c r="A146" s="65">
        <v>2.0</v>
      </c>
      <c r="B146" s="69" t="s">
        <v>685</v>
      </c>
      <c r="C146" s="69" t="s">
        <v>686</v>
      </c>
      <c r="D146" s="69" t="s">
        <v>687</v>
      </c>
      <c r="E146" s="69" t="s">
        <v>688</v>
      </c>
      <c r="F146" s="69" t="s">
        <v>682</v>
      </c>
      <c r="G146" s="69" t="s">
        <v>689</v>
      </c>
      <c r="H146" s="39" t="s">
        <v>690</v>
      </c>
    </row>
    <row r="147" ht="15.75" customHeight="1">
      <c r="A147" s="65">
        <v>3.0</v>
      </c>
      <c r="B147" s="42"/>
      <c r="C147" s="42"/>
      <c r="D147" s="69"/>
      <c r="E147" s="69"/>
      <c r="F147" s="69"/>
      <c r="G147" s="42"/>
      <c r="H147" s="39"/>
    </row>
    <row r="148" ht="15.75" customHeight="1">
      <c r="A148" s="65">
        <v>4.0</v>
      </c>
      <c r="B148" s="42"/>
      <c r="C148" s="42"/>
      <c r="D148" s="69"/>
      <c r="E148" s="69"/>
      <c r="F148" s="69"/>
      <c r="G148" s="42"/>
      <c r="H148" s="39"/>
    </row>
    <row r="149" ht="15.75" customHeight="1">
      <c r="A149" s="65">
        <v>5.0</v>
      </c>
      <c r="B149" s="42"/>
      <c r="C149" s="42"/>
      <c r="D149" s="69"/>
      <c r="E149" s="69"/>
      <c r="F149" s="69"/>
      <c r="G149" s="42"/>
      <c r="H149" s="39"/>
    </row>
    <row r="150" ht="15.75" customHeight="1"/>
    <row r="151" ht="21.75" customHeight="1">
      <c r="A151" s="51">
        <v>15.0</v>
      </c>
      <c r="B151" s="52" t="s">
        <v>374</v>
      </c>
      <c r="C151" s="53"/>
      <c r="D151" s="53"/>
      <c r="E151" s="54"/>
      <c r="F151" s="55" t="s">
        <v>178</v>
      </c>
      <c r="G151" s="71" t="s">
        <v>47</v>
      </c>
      <c r="H151" s="59" t="str">
        <f>IF(G151="",IF(COUNTA(B155:E156)&gt;0,"⚠ 상태 미선택(입력값 있음)","상태 미선택 → 미수집 간주"),IF(G151="값 있음",IF(COUNTA(B155:E156)=0,"⚠ 값 있음인데 입력값 없음","✓ 정상"),IF(COUNTA(B155:E156)&gt;0,"⚠ 상태와 입력값 불일치","✓ 정상")))</f>
        <v>✓ 정상</v>
      </c>
      <c r="I151" s="54"/>
    </row>
    <row r="152" ht="15.0" customHeight="1">
      <c r="B152" s="60" t="s">
        <v>703</v>
      </c>
    </row>
    <row r="153" ht="15.75" customHeight="1">
      <c r="A153" s="62" t="s">
        <v>24</v>
      </c>
      <c r="B153" s="13" t="s">
        <v>400</v>
      </c>
      <c r="C153" s="13" t="s">
        <v>709</v>
      </c>
      <c r="D153" s="13" t="s">
        <v>555</v>
      </c>
      <c r="E153" s="13" t="s">
        <v>558</v>
      </c>
    </row>
    <row r="154" ht="25.5" customHeight="1">
      <c r="A154" s="63" t="s">
        <v>111</v>
      </c>
      <c r="B154" s="64" t="s">
        <v>710</v>
      </c>
      <c r="C154" s="63" t="s">
        <v>130</v>
      </c>
      <c r="D154" s="63" t="s">
        <v>130</v>
      </c>
      <c r="E154" s="64" t="s">
        <v>158</v>
      </c>
    </row>
    <row r="155" ht="15.75" customHeight="1">
      <c r="A155" s="65">
        <v>1.0</v>
      </c>
      <c r="B155" s="69" t="s">
        <v>711</v>
      </c>
      <c r="C155" s="69" t="s">
        <v>712</v>
      </c>
      <c r="D155" s="69" t="s">
        <v>714</v>
      </c>
      <c r="E155" s="39" t="s">
        <v>715</v>
      </c>
    </row>
    <row r="156" ht="15.75" customHeight="1">
      <c r="A156" s="65">
        <v>2.0</v>
      </c>
      <c r="B156" s="69"/>
      <c r="C156" s="42"/>
      <c r="D156" s="42"/>
      <c r="E156" s="39"/>
    </row>
    <row r="157" ht="15.75" customHeight="1"/>
    <row r="158" ht="21.75" customHeight="1">
      <c r="A158" s="70">
        <v>16.0</v>
      </c>
      <c r="B158" s="72" t="s">
        <v>716</v>
      </c>
      <c r="C158" s="53"/>
      <c r="D158" s="53"/>
      <c r="E158" s="54"/>
      <c r="F158" s="73" t="s">
        <v>178</v>
      </c>
      <c r="G158" s="71" t="s">
        <v>47</v>
      </c>
      <c r="H158" s="74" t="str">
        <f>IF(G158="",IF(COUNTA(B162:G163)&gt;0,"⚠ 상태 미선택(입력값 있음)","상태 미선택 → 미수집 간주"),IF(G158="값 있음",IF(COUNTA(B162:G163)=0,"⚠ 값 있음인데 입력값 없음","✓ 정상"),IF(COUNTA(B162:G163)&gt;0,"⚠ 상태와 입력값 불일치","✓ 정상")))</f>
        <v>✓ 정상</v>
      </c>
      <c r="I158" s="54"/>
    </row>
    <row r="159" ht="24.0" customHeight="1">
      <c r="B159" s="60" t="s">
        <v>721</v>
      </c>
    </row>
    <row r="160" ht="15.75" customHeight="1">
      <c r="A160" s="62" t="s">
        <v>24</v>
      </c>
      <c r="B160" s="13" t="s">
        <v>400</v>
      </c>
      <c r="C160" s="13" t="s">
        <v>608</v>
      </c>
      <c r="D160" s="13" t="s">
        <v>403</v>
      </c>
      <c r="E160" s="13" t="s">
        <v>724</v>
      </c>
      <c r="F160" s="13" t="s">
        <v>558</v>
      </c>
      <c r="G160" s="13" t="s">
        <v>613</v>
      </c>
    </row>
    <row r="161" ht="25.5" customHeight="1">
      <c r="A161" s="63" t="s">
        <v>111</v>
      </c>
      <c r="B161" s="64" t="s">
        <v>726</v>
      </c>
      <c r="C161" s="63" t="s">
        <v>130</v>
      </c>
      <c r="D161" s="64" t="s">
        <v>727</v>
      </c>
      <c r="E161" s="63" t="s">
        <v>130</v>
      </c>
      <c r="F161" s="64" t="s">
        <v>158</v>
      </c>
      <c r="G161" s="64" t="s">
        <v>730</v>
      </c>
    </row>
    <row r="162" ht="15.75" customHeight="1">
      <c r="A162" s="65">
        <v>1.0</v>
      </c>
      <c r="B162" s="42" t="s">
        <v>732</v>
      </c>
      <c r="C162" s="69" t="s">
        <v>734</v>
      </c>
      <c r="D162" s="69" t="s">
        <v>736</v>
      </c>
      <c r="E162" s="42" t="s">
        <v>737</v>
      </c>
      <c r="F162" s="39" t="s">
        <v>738</v>
      </c>
      <c r="G162" s="69" t="s">
        <v>739</v>
      </c>
    </row>
    <row r="163" ht="15.75" customHeight="1">
      <c r="A163" s="65">
        <v>2.0</v>
      </c>
      <c r="B163" s="42"/>
      <c r="C163" s="42"/>
      <c r="D163" s="69"/>
      <c r="E163" s="42"/>
      <c r="F163" s="39"/>
      <c r="G163" s="69"/>
    </row>
    <row r="164" ht="15.75" customHeight="1"/>
    <row r="165" ht="21.75" customHeight="1">
      <c r="A165" s="33" t="s">
        <v>620</v>
      </c>
      <c r="B165" s="8"/>
      <c r="C165" s="8"/>
      <c r="D165" s="8"/>
      <c r="E165" s="8"/>
      <c r="F165" s="8"/>
      <c r="G165" s="8"/>
      <c r="H165" s="8"/>
      <c r="I165" s="7"/>
    </row>
    <row r="166" ht="21.75" customHeight="1">
      <c r="A166" s="51">
        <v>17.0</v>
      </c>
      <c r="B166" s="52" t="s">
        <v>740</v>
      </c>
      <c r="C166" s="53"/>
      <c r="D166" s="53"/>
      <c r="E166" s="54"/>
      <c r="F166" s="55" t="s">
        <v>178</v>
      </c>
      <c r="G166" s="71" t="s">
        <v>47</v>
      </c>
      <c r="H166" s="59" t="str">
        <f>IF(G166="",IF(COUNTA(B170:G172)&gt;0,"⚠ 상태 미선택(입력값 있음)","상태 미선택 → 미수집 간주"),IF(G166="값 있음",IF(COUNTA(B170:G172)=0,"⚠ 값 있음인데 입력값 없음","✓ 정상"),IF(COUNTA(B170:G172)&gt;0,"⚠ 상태와 입력값 불일치","✓ 정상")))</f>
        <v>✓ 정상</v>
      </c>
      <c r="I166" s="54"/>
    </row>
    <row r="167" ht="24.0" customHeight="1">
      <c r="B167" s="60" t="s">
        <v>748</v>
      </c>
    </row>
    <row r="168" ht="15.75" customHeight="1">
      <c r="A168" s="62" t="s">
        <v>24</v>
      </c>
      <c r="B168" s="13" t="s">
        <v>400</v>
      </c>
      <c r="C168" s="13" t="s">
        <v>633</v>
      </c>
      <c r="D168" s="13" t="s">
        <v>752</v>
      </c>
      <c r="E168" s="13" t="s">
        <v>754</v>
      </c>
      <c r="F168" s="13" t="s">
        <v>639</v>
      </c>
      <c r="G168" s="62" t="s">
        <v>757</v>
      </c>
    </row>
    <row r="169" ht="37.5" customHeight="1">
      <c r="A169" s="63" t="s">
        <v>111</v>
      </c>
      <c r="B169" s="64" t="s">
        <v>764</v>
      </c>
      <c r="C169" s="63" t="s">
        <v>130</v>
      </c>
      <c r="D169" s="63" t="s">
        <v>130</v>
      </c>
      <c r="E169" s="63" t="s">
        <v>78</v>
      </c>
      <c r="F169" s="64" t="s">
        <v>158</v>
      </c>
      <c r="G169" s="64" t="s">
        <v>462</v>
      </c>
    </row>
    <row r="170" ht="15.75" customHeight="1">
      <c r="A170" s="65">
        <v>1.0</v>
      </c>
      <c r="B170" s="69" t="s">
        <v>765</v>
      </c>
      <c r="C170" s="69" t="s">
        <v>766</v>
      </c>
      <c r="D170" s="69" t="s">
        <v>767</v>
      </c>
      <c r="E170" s="42">
        <v>4.0</v>
      </c>
      <c r="F170" s="39" t="s">
        <v>768</v>
      </c>
      <c r="G170" s="42" t="s">
        <v>249</v>
      </c>
    </row>
    <row r="171" ht="15.75" customHeight="1">
      <c r="A171" s="65">
        <v>2.0</v>
      </c>
      <c r="B171" s="69"/>
      <c r="C171" s="42"/>
      <c r="D171" s="42"/>
      <c r="E171" s="42"/>
      <c r="F171" s="39"/>
      <c r="G171" s="42"/>
    </row>
    <row r="172" ht="15.75" customHeight="1">
      <c r="A172" s="65">
        <v>3.0</v>
      </c>
      <c r="B172" s="69"/>
      <c r="C172" s="42"/>
      <c r="D172" s="42"/>
      <c r="E172" s="42"/>
      <c r="F172" s="39"/>
      <c r="G172" s="42"/>
    </row>
    <row r="173" ht="15.75" customHeight="1"/>
    <row r="174" ht="21.75" customHeight="1">
      <c r="A174" s="70">
        <v>18.0</v>
      </c>
      <c r="B174" s="72" t="s">
        <v>431</v>
      </c>
      <c r="C174" s="53"/>
      <c r="D174" s="53"/>
      <c r="E174" s="54"/>
      <c r="F174" s="73" t="s">
        <v>178</v>
      </c>
      <c r="G174" s="71" t="s">
        <v>47</v>
      </c>
      <c r="H174" s="74" t="str">
        <f>IF(G174="",IF(COUNTA(C176:C178)&gt;0,"⚠ 상태 미선택(입력값 있음)","상태 미선택 → 미수집 간주"),IF(G174="값 있음",IF(COUNTA(C176:C178)=0,"⚠ 값 있음인데 입력값 없음","✓ 정상"),IF(COUNTA(C176:C178)&gt;0,"⚠ 상태와 입력값 불일치","✓ 정상")))</f>
        <v>✓ 정상</v>
      </c>
      <c r="I174" s="54"/>
    </row>
    <row r="175" ht="24.0" customHeight="1">
      <c r="B175" s="60" t="s">
        <v>774</v>
      </c>
    </row>
    <row r="176" ht="15.75" customHeight="1">
      <c r="B176" s="17" t="s">
        <v>660</v>
      </c>
      <c r="C176" s="42">
        <v>4.0</v>
      </c>
      <c r="D176" s="40" t="s">
        <v>78</v>
      </c>
      <c r="E176" s="41" t="s">
        <v>775</v>
      </c>
    </row>
    <row r="177" ht="15.75" customHeight="1">
      <c r="B177" s="17" t="s">
        <v>667</v>
      </c>
      <c r="C177" s="42">
        <v>12.0</v>
      </c>
      <c r="D177" s="40" t="s">
        <v>78</v>
      </c>
      <c r="E177" s="41"/>
    </row>
    <row r="178" ht="15.75" customHeight="1">
      <c r="B178" s="17" t="s">
        <v>668</v>
      </c>
      <c r="C178" s="69" t="s">
        <v>776</v>
      </c>
      <c r="D178" s="40" t="s">
        <v>130</v>
      </c>
      <c r="E178" s="41" t="s">
        <v>778</v>
      </c>
    </row>
    <row r="179" ht="15.75" customHeight="1"/>
    <row r="180" ht="21.75" customHeight="1">
      <c r="A180" s="33" t="s">
        <v>779</v>
      </c>
      <c r="B180" s="8"/>
      <c r="C180" s="8"/>
      <c r="D180" s="8"/>
      <c r="E180" s="8"/>
      <c r="F180" s="8"/>
      <c r="G180" s="8"/>
      <c r="H180" s="8"/>
      <c r="I180" s="7"/>
    </row>
    <row r="181" ht="21.75" customHeight="1">
      <c r="A181" s="51">
        <v>19.0</v>
      </c>
      <c r="B181" s="75" t="s">
        <v>780</v>
      </c>
      <c r="C181" s="53"/>
      <c r="D181" s="53"/>
      <c r="E181" s="54"/>
      <c r="F181" s="55" t="s">
        <v>178</v>
      </c>
      <c r="G181" s="71" t="s">
        <v>47</v>
      </c>
      <c r="H181" s="59" t="str">
        <f>IF(G181="",IF(COUNTA(B185:F188)&gt;0,"⚠ 상태 미선택(입력값 있음)","상태 미선택 → 미수집 간주"),IF(G181="값 있음",IF(COUNTA(B185:F188)=0,"⚠ 값 있음인데 입력값 없음","✓ 정상"),IF(COUNTA(B185:F188)&gt;0,"⚠ 상태와 입력값 불일치","✓ 정상")))</f>
        <v>✓ 정상</v>
      </c>
      <c r="I181" s="54"/>
    </row>
    <row r="182" ht="24.0" customHeight="1">
      <c r="B182" s="60" t="s">
        <v>783</v>
      </c>
    </row>
    <row r="183" ht="15.75" customHeight="1">
      <c r="A183" s="62" t="s">
        <v>24</v>
      </c>
      <c r="B183" s="13" t="s">
        <v>20</v>
      </c>
      <c r="C183" s="13" t="s">
        <v>695</v>
      </c>
      <c r="D183" s="13" t="s">
        <v>790</v>
      </c>
      <c r="E183" s="13" t="s">
        <v>698</v>
      </c>
      <c r="F183" s="13" t="s">
        <v>699</v>
      </c>
    </row>
    <row r="184" ht="25.5" customHeight="1">
      <c r="A184" s="63" t="s">
        <v>111</v>
      </c>
      <c r="B184" s="64" t="s">
        <v>793</v>
      </c>
      <c r="C184" s="63" t="s">
        <v>130</v>
      </c>
      <c r="D184" s="63" t="s">
        <v>78</v>
      </c>
      <c r="E184" s="64" t="s">
        <v>158</v>
      </c>
      <c r="F184" s="64" t="s">
        <v>794</v>
      </c>
    </row>
    <row r="185" ht="15.75" customHeight="1">
      <c r="A185" s="65">
        <v>1.0</v>
      </c>
      <c r="B185" s="69" t="s">
        <v>796</v>
      </c>
      <c r="C185" s="69" t="s">
        <v>797</v>
      </c>
      <c r="D185" s="42">
        <v>45.0</v>
      </c>
      <c r="E185" s="39" t="s">
        <v>799</v>
      </c>
      <c r="F185" s="69" t="s">
        <v>800</v>
      </c>
    </row>
    <row r="186" ht="15.75" customHeight="1">
      <c r="A186" s="65">
        <v>2.0</v>
      </c>
      <c r="B186" s="69" t="s">
        <v>801</v>
      </c>
      <c r="C186" s="69" t="s">
        <v>802</v>
      </c>
      <c r="D186" s="42">
        <v>8.0</v>
      </c>
      <c r="E186" s="39" t="s">
        <v>803</v>
      </c>
      <c r="F186" s="69" t="s">
        <v>800</v>
      </c>
    </row>
    <row r="187" ht="15.75" customHeight="1">
      <c r="A187" s="65">
        <v>3.0</v>
      </c>
      <c r="B187" s="42" t="s">
        <v>804</v>
      </c>
      <c r="C187" s="69" t="s">
        <v>805</v>
      </c>
      <c r="D187" s="42">
        <v>12.0</v>
      </c>
      <c r="E187" s="39" t="s">
        <v>509</v>
      </c>
      <c r="F187" s="69" t="s">
        <v>800</v>
      </c>
    </row>
    <row r="188" ht="15.75" customHeight="1">
      <c r="A188" s="65">
        <v>4.0</v>
      </c>
      <c r="B188" s="42"/>
      <c r="C188" s="42"/>
      <c r="D188" s="42"/>
      <c r="E188" s="39"/>
      <c r="F188" s="69"/>
    </row>
    <row r="189" ht="15.75" customHeight="1"/>
    <row r="190" ht="21.75" customHeight="1">
      <c r="A190" s="70">
        <v>20.0</v>
      </c>
      <c r="B190" s="80" t="s">
        <v>807</v>
      </c>
      <c r="C190" s="53"/>
      <c r="D190" s="53"/>
      <c r="E190" s="54"/>
      <c r="F190" s="73" t="s">
        <v>178</v>
      </c>
      <c r="G190" s="71" t="s">
        <v>47</v>
      </c>
      <c r="H190" s="74" t="str">
        <f>IF(G190="",IF(COUNTA(B194:G196)&gt;0,"⚠ 상태 미선택(입력값 있음)","상태 미선택 → 미수집 간주"),IF(G190="값 있음",IF(COUNTA(B194:G196)=0,"⚠ 값 있음인데 입력값 없음","✓ 정상"),IF(COUNTA(B194:G196)&gt;0,"⚠ 상태와 입력값 불일치","✓ 정상")))</f>
        <v>✓ 정상</v>
      </c>
      <c r="I190" s="54"/>
    </row>
    <row r="191" ht="24.0" customHeight="1">
      <c r="B191" s="60" t="s">
        <v>822</v>
      </c>
    </row>
    <row r="192" ht="15.75" customHeight="1">
      <c r="A192" s="62" t="s">
        <v>24</v>
      </c>
      <c r="B192" s="13" t="s">
        <v>400</v>
      </c>
      <c r="C192" s="13" t="s">
        <v>608</v>
      </c>
      <c r="D192" s="13" t="s">
        <v>557</v>
      </c>
      <c r="E192" s="13" t="s">
        <v>823</v>
      </c>
      <c r="F192" s="13" t="s">
        <v>554</v>
      </c>
      <c r="G192" s="13" t="s">
        <v>558</v>
      </c>
    </row>
    <row r="193" ht="25.5" customHeight="1">
      <c r="A193" s="63" t="s">
        <v>111</v>
      </c>
      <c r="B193" s="64" t="s">
        <v>827</v>
      </c>
      <c r="C193" s="63" t="s">
        <v>130</v>
      </c>
      <c r="D193" s="63" t="s">
        <v>130</v>
      </c>
      <c r="E193" s="63" t="s">
        <v>130</v>
      </c>
      <c r="F193" s="64" t="s">
        <v>829</v>
      </c>
      <c r="G193" s="64" t="s">
        <v>158</v>
      </c>
    </row>
    <row r="194" ht="15.75" customHeight="1">
      <c r="A194" s="65">
        <v>1.0</v>
      </c>
      <c r="B194" s="42" t="s">
        <v>830</v>
      </c>
      <c r="C194" s="69" t="s">
        <v>831</v>
      </c>
      <c r="D194" s="69" t="s">
        <v>832</v>
      </c>
      <c r="E194" s="69" t="s">
        <v>833</v>
      </c>
      <c r="F194" s="69" t="s">
        <v>548</v>
      </c>
      <c r="G194" s="39" t="s">
        <v>834</v>
      </c>
    </row>
    <row r="195" ht="15.75" customHeight="1">
      <c r="A195" s="65">
        <v>2.0</v>
      </c>
      <c r="B195" s="42"/>
      <c r="C195" s="42"/>
      <c r="D195" s="42"/>
      <c r="E195" s="42"/>
      <c r="F195" s="69"/>
      <c r="G195" s="39"/>
    </row>
    <row r="196" ht="15.75" customHeight="1">
      <c r="A196" s="65">
        <v>3.0</v>
      </c>
      <c r="B196" s="42"/>
      <c r="C196" s="42"/>
      <c r="D196" s="42"/>
      <c r="E196" s="42"/>
      <c r="F196" s="69"/>
      <c r="G196" s="39"/>
    </row>
    <row r="197" ht="15.75" customHeight="1"/>
    <row r="198" ht="21.75" customHeight="1">
      <c r="A198" s="51">
        <v>21.0</v>
      </c>
      <c r="B198" s="52" t="s">
        <v>504</v>
      </c>
      <c r="C198" s="53"/>
      <c r="D198" s="53"/>
      <c r="E198" s="54"/>
      <c r="F198" s="55" t="s">
        <v>178</v>
      </c>
      <c r="G198" s="71" t="s">
        <v>47</v>
      </c>
      <c r="H198" s="59" t="str">
        <f>IF(G198="",IF(COUNTA(B202:D205)&gt;0,"⚠ 상태 미선택(입력값 있음)","상태 미선택 → 미수집 간주"),IF(G198="값 있음",IF(COUNTA(B202:D205)=0,"⚠ 값 있음인데 입력값 없음","✓ 정상"),IF(COUNTA(B202:D205)&gt;0,"⚠ 상태와 입력값 불일치","✓ 정상")))</f>
        <v>✓ 정상</v>
      </c>
      <c r="I198" s="54"/>
    </row>
    <row r="199" ht="24.0" customHeight="1">
      <c r="B199" s="60" t="s">
        <v>850</v>
      </c>
    </row>
    <row r="200" ht="15.75" customHeight="1">
      <c r="A200" s="62" t="s">
        <v>24</v>
      </c>
      <c r="B200" s="13" t="s">
        <v>753</v>
      </c>
      <c r="C200" s="13" t="s">
        <v>755</v>
      </c>
      <c r="D200" s="13" t="s">
        <v>756</v>
      </c>
    </row>
    <row r="201" ht="15.0" customHeight="1">
      <c r="A201" s="63" t="s">
        <v>111</v>
      </c>
      <c r="B201" s="63" t="s">
        <v>759</v>
      </c>
      <c r="C201" s="64" t="s">
        <v>852</v>
      </c>
      <c r="D201" s="63" t="s">
        <v>525</v>
      </c>
    </row>
    <row r="202" ht="36.0" customHeight="1">
      <c r="A202" s="65">
        <v>1.0</v>
      </c>
      <c r="B202" s="69" t="s">
        <v>853</v>
      </c>
      <c r="C202" s="69" t="s">
        <v>854</v>
      </c>
      <c r="D202" s="69" t="s">
        <v>855</v>
      </c>
    </row>
    <row r="203" ht="36.0" customHeight="1">
      <c r="A203" s="65">
        <v>2.0</v>
      </c>
      <c r="B203" s="69" t="s">
        <v>856</v>
      </c>
      <c r="C203" s="69" t="s">
        <v>858</v>
      </c>
      <c r="D203" s="69" t="s">
        <v>859</v>
      </c>
    </row>
    <row r="204" ht="36.0" customHeight="1">
      <c r="A204" s="65">
        <v>3.0</v>
      </c>
      <c r="B204" s="69" t="s">
        <v>860</v>
      </c>
      <c r="C204" s="69" t="s">
        <v>858</v>
      </c>
      <c r="D204" s="42" t="s">
        <v>861</v>
      </c>
    </row>
    <row r="205" ht="36.0" customHeight="1">
      <c r="A205" s="65">
        <v>4.0</v>
      </c>
      <c r="B205" s="42"/>
      <c r="C205" s="69"/>
      <c r="D205" s="42"/>
    </row>
    <row r="206" ht="15.75" customHeight="1"/>
    <row r="207" ht="21.75" customHeight="1">
      <c r="A207" s="33" t="s">
        <v>862</v>
      </c>
      <c r="B207" s="8"/>
      <c r="C207" s="8"/>
      <c r="D207" s="8"/>
      <c r="E207" s="8"/>
      <c r="F207" s="8"/>
      <c r="G207" s="8"/>
      <c r="H207" s="8"/>
      <c r="I207" s="7"/>
    </row>
    <row r="208" ht="21.75" customHeight="1">
      <c r="A208" s="51">
        <v>22.0</v>
      </c>
      <c r="B208" s="52" t="s">
        <v>864</v>
      </c>
      <c r="C208" s="53"/>
      <c r="D208" s="53"/>
      <c r="E208" s="54"/>
      <c r="F208" s="55" t="s">
        <v>178</v>
      </c>
      <c r="G208" s="71" t="s">
        <v>47</v>
      </c>
      <c r="H208" s="59" t="str">
        <f>IF(G208="",IF(COUNTA(B212:I215)&gt;0,"⚠ 상태 미선택(입력값 있음)","상태 미선택 → 미수집 간주"),IF(G208="값 있음",IF(COUNTA(B212:I215)=0,"⚠ 값 있음인데 입력값 없음","✓ 정상"),IF(COUNTA(B212:I215)&gt;0,"⚠ 상태와 입력값 불일치","✓ 정상")))</f>
        <v>✓ 정상</v>
      </c>
      <c r="I208" s="54"/>
    </row>
    <row r="209" ht="24.0" customHeight="1">
      <c r="B209" s="60" t="s">
        <v>874</v>
      </c>
    </row>
    <row r="210" ht="15.75" customHeight="1">
      <c r="A210" s="62" t="s">
        <v>24</v>
      </c>
      <c r="B210" s="13" t="s">
        <v>400</v>
      </c>
      <c r="C210" s="13" t="s">
        <v>809</v>
      </c>
      <c r="D210" s="13" t="s">
        <v>811</v>
      </c>
      <c r="E210" s="13" t="s">
        <v>380</v>
      </c>
      <c r="F210" s="13" t="s">
        <v>381</v>
      </c>
      <c r="G210" s="13" t="s">
        <v>876</v>
      </c>
      <c r="H210" s="13" t="s">
        <v>877</v>
      </c>
      <c r="I210" s="13" t="s">
        <v>878</v>
      </c>
    </row>
    <row r="211" ht="25.5" customHeight="1">
      <c r="A211" s="63" t="s">
        <v>111</v>
      </c>
      <c r="B211" s="64" t="s">
        <v>880</v>
      </c>
      <c r="C211" s="63" t="s">
        <v>130</v>
      </c>
      <c r="D211" s="64" t="s">
        <v>882</v>
      </c>
      <c r="E211" s="64" t="s">
        <v>158</v>
      </c>
      <c r="F211" s="64" t="s">
        <v>883</v>
      </c>
      <c r="G211" s="63" t="s">
        <v>78</v>
      </c>
      <c r="H211" s="63" t="s">
        <v>78</v>
      </c>
      <c r="I211" s="63" t="s">
        <v>130</v>
      </c>
    </row>
    <row r="212" ht="15.75" customHeight="1">
      <c r="A212" s="65">
        <v>1.0</v>
      </c>
      <c r="B212" s="69" t="s">
        <v>887</v>
      </c>
      <c r="C212" s="69" t="s">
        <v>889</v>
      </c>
      <c r="D212" s="69" t="s">
        <v>891</v>
      </c>
      <c r="E212" s="39" t="s">
        <v>892</v>
      </c>
      <c r="F212" s="39" t="s">
        <v>803</v>
      </c>
      <c r="G212" s="42">
        <v>12.0</v>
      </c>
      <c r="H212" s="42">
        <v>35.0</v>
      </c>
      <c r="I212" s="69" t="s">
        <v>893</v>
      </c>
    </row>
    <row r="213" ht="15.75" customHeight="1">
      <c r="A213" s="65">
        <v>2.0</v>
      </c>
      <c r="B213" s="69" t="s">
        <v>895</v>
      </c>
      <c r="C213" s="69" t="s">
        <v>896</v>
      </c>
      <c r="D213" s="69" t="s">
        <v>897</v>
      </c>
      <c r="E213" s="39" t="s">
        <v>241</v>
      </c>
      <c r="F213" s="39" t="s">
        <v>898</v>
      </c>
      <c r="G213" s="42">
        <v>12.0</v>
      </c>
      <c r="H213" s="42">
        <v>40.0</v>
      </c>
      <c r="I213" s="69" t="s">
        <v>899</v>
      </c>
    </row>
    <row r="214" ht="15.75" customHeight="1">
      <c r="A214" s="65">
        <v>3.0</v>
      </c>
      <c r="B214" s="69"/>
      <c r="C214" s="42"/>
      <c r="D214" s="69"/>
      <c r="E214" s="39"/>
      <c r="F214" s="39"/>
      <c r="G214" s="42"/>
      <c r="H214" s="42"/>
      <c r="I214" s="42"/>
    </row>
    <row r="215" ht="15.75" customHeight="1">
      <c r="A215" s="65">
        <v>4.0</v>
      </c>
      <c r="B215" s="69"/>
      <c r="C215" s="42"/>
      <c r="D215" s="69"/>
      <c r="E215" s="39"/>
      <c r="F215" s="39"/>
      <c r="G215" s="42"/>
      <c r="H215" s="42"/>
      <c r="I215" s="42"/>
    </row>
    <row r="216" ht="15.75" customHeight="1"/>
    <row r="217" ht="21.75" customHeight="1">
      <c r="A217" s="51">
        <v>23.0</v>
      </c>
      <c r="B217" s="52" t="s">
        <v>564</v>
      </c>
      <c r="C217" s="53"/>
      <c r="D217" s="53"/>
      <c r="E217" s="54"/>
      <c r="F217" s="55" t="s">
        <v>178</v>
      </c>
      <c r="G217" s="71" t="s">
        <v>47</v>
      </c>
      <c r="H217" s="59" t="str">
        <f>IF(G217="",IF(COUNTA(C219,B222:E225)&gt;0,"⚠ 상태 미선택(입력값 있음)","상태 미선택 → 미수집 간주"),IF(G217="값 있음",IF(COUNTA(C219,B222:E225)=0,"⚠ 값 있음인데 입력값 없음","✓ 정상"),IF(COUNTA(C219,B222:E225)&gt;0,"⚠ 상태와 입력값 불일치","✓ 정상")))</f>
        <v>✓ 정상</v>
      </c>
      <c r="I217" s="54"/>
    </row>
    <row r="218" ht="24.0" customHeight="1">
      <c r="B218" s="60" t="s">
        <v>909</v>
      </c>
    </row>
    <row r="219" ht="15.75" customHeight="1">
      <c r="B219" s="17" t="s">
        <v>910</v>
      </c>
      <c r="C219" s="42">
        <v>64.0</v>
      </c>
      <c r="D219" s="40" t="s">
        <v>78</v>
      </c>
      <c r="E219" s="50" t="s">
        <v>911</v>
      </c>
    </row>
    <row r="220" ht="15.75" customHeight="1">
      <c r="A220" s="62" t="s">
        <v>24</v>
      </c>
      <c r="B220" s="13" t="s">
        <v>20</v>
      </c>
      <c r="C220" s="13" t="s">
        <v>913</v>
      </c>
      <c r="D220" s="13" t="s">
        <v>914</v>
      </c>
      <c r="E220" s="13" t="s">
        <v>558</v>
      </c>
    </row>
    <row r="221" ht="25.5" customHeight="1">
      <c r="A221" s="63" t="s">
        <v>111</v>
      </c>
      <c r="B221" s="64" t="s">
        <v>917</v>
      </c>
      <c r="C221" s="63" t="s">
        <v>130</v>
      </c>
      <c r="D221" s="63" t="s">
        <v>78</v>
      </c>
      <c r="E221" s="64" t="s">
        <v>158</v>
      </c>
    </row>
    <row r="222" ht="15.75" customHeight="1">
      <c r="A222" s="65">
        <v>1.0</v>
      </c>
      <c r="B222" s="69" t="s">
        <v>919</v>
      </c>
      <c r="C222" s="69" t="s">
        <v>920</v>
      </c>
      <c r="D222" s="42">
        <v>40.0</v>
      </c>
      <c r="E222" s="39" t="s">
        <v>898</v>
      </c>
    </row>
    <row r="223" ht="15.75" customHeight="1">
      <c r="A223" s="65">
        <v>2.0</v>
      </c>
      <c r="B223" s="69" t="s">
        <v>921</v>
      </c>
      <c r="C223" s="69" t="s">
        <v>922</v>
      </c>
      <c r="D223" s="42">
        <v>24.0</v>
      </c>
      <c r="E223" s="39" t="s">
        <v>500</v>
      </c>
    </row>
    <row r="224" ht="15.75" customHeight="1">
      <c r="A224" s="65">
        <v>3.0</v>
      </c>
      <c r="B224" s="69"/>
      <c r="C224" s="42"/>
      <c r="D224" s="42"/>
      <c r="E224" s="39"/>
    </row>
    <row r="225" ht="15.75" customHeight="1">
      <c r="A225" s="65">
        <v>4.0</v>
      </c>
      <c r="B225" s="69"/>
      <c r="C225" s="42"/>
      <c r="D225" s="42"/>
      <c r="E225" s="39"/>
    </row>
    <row r="226" ht="15.75" customHeight="1"/>
    <row r="227" ht="21.75" customHeight="1">
      <c r="A227" s="76">
        <v>24.0</v>
      </c>
      <c r="B227" s="77" t="s">
        <v>925</v>
      </c>
      <c r="C227" s="53"/>
      <c r="D227" s="53"/>
      <c r="E227" s="54"/>
      <c r="F227" s="78" t="s">
        <v>178</v>
      </c>
      <c r="G227" s="71" t="s">
        <v>47</v>
      </c>
      <c r="H227" s="79" t="str">
        <f>IF(G227="",IF(COUNTA(B231:E233)&gt;0,"⚠ 상태 미선택(입력값 있음)","상태 미선택 → 미수집 간주"),IF(G227="값 있음",IF(COUNTA(B231:E233)=0,"⚠ 값 있음인데 입력값 없음","✓ 정상"),IF(COUNTA(B231:E233)&gt;0,"⚠ 상태와 입력값 불일치","✓ 정상")))</f>
        <v>✓ 정상</v>
      </c>
      <c r="I227" s="54"/>
    </row>
    <row r="228" ht="15.0" customHeight="1">
      <c r="B228" s="60" t="s">
        <v>938</v>
      </c>
    </row>
    <row r="229" ht="15.75" customHeight="1">
      <c r="A229" s="62" t="s">
        <v>24</v>
      </c>
      <c r="B229" s="13" t="s">
        <v>400</v>
      </c>
      <c r="C229" s="13" t="s">
        <v>871</v>
      </c>
      <c r="D229" s="13" t="s">
        <v>939</v>
      </c>
      <c r="E229" s="13" t="s">
        <v>940</v>
      </c>
    </row>
    <row r="230" ht="25.5" customHeight="1">
      <c r="A230" s="63" t="s">
        <v>111</v>
      </c>
      <c r="B230" s="64" t="s">
        <v>942</v>
      </c>
      <c r="C230" s="63" t="s">
        <v>130</v>
      </c>
      <c r="D230" s="63" t="s">
        <v>130</v>
      </c>
      <c r="E230" s="63" t="s">
        <v>78</v>
      </c>
    </row>
    <row r="231" ht="15.75" customHeight="1">
      <c r="A231" s="65">
        <v>1.0</v>
      </c>
      <c r="B231" s="69" t="s">
        <v>943</v>
      </c>
      <c r="C231" s="69" t="s">
        <v>944</v>
      </c>
      <c r="D231" s="69" t="s">
        <v>945</v>
      </c>
      <c r="E231" s="42">
        <v>4.0</v>
      </c>
    </row>
    <row r="232" ht="15.75" customHeight="1">
      <c r="A232" s="65">
        <v>2.0</v>
      </c>
      <c r="B232" s="69" t="s">
        <v>946</v>
      </c>
      <c r="C232" s="42" t="s">
        <v>947</v>
      </c>
      <c r="D232" s="69" t="s">
        <v>948</v>
      </c>
      <c r="E232" s="42">
        <v>2.0</v>
      </c>
    </row>
    <row r="233" ht="15.75" customHeight="1">
      <c r="A233" s="65">
        <v>3.0</v>
      </c>
      <c r="B233" s="69"/>
      <c r="C233" s="42"/>
      <c r="D233" s="42"/>
      <c r="E233" s="42"/>
    </row>
    <row r="234" ht="15.75" customHeight="1"/>
    <row r="235" ht="21.75" customHeight="1">
      <c r="A235" s="76">
        <v>25.0</v>
      </c>
      <c r="B235" s="77" t="s">
        <v>611</v>
      </c>
      <c r="C235" s="53"/>
      <c r="D235" s="53"/>
      <c r="E235" s="54"/>
      <c r="F235" s="78" t="s">
        <v>178</v>
      </c>
      <c r="G235" s="71" t="s">
        <v>47</v>
      </c>
      <c r="H235" s="79" t="str">
        <f>IF(G235="",IF(COUNTA(B239:G242)&gt;0,"⚠ 상태 미선택(입력값 있음)","상태 미선택 → 미수집 간주"),IF(G235="값 있음",IF(COUNTA(B239:G242)=0,"⚠ 값 있음인데 입력값 없음","✓ 정상"),IF(COUNTA(B239:G242)&gt;0,"⚠ 상태와 입력값 불일치","✓ 정상")))</f>
        <v>✓ 정상</v>
      </c>
      <c r="I235" s="54"/>
    </row>
    <row r="236" ht="24.0" customHeight="1">
      <c r="B236" s="60" t="s">
        <v>958</v>
      </c>
    </row>
    <row r="237" ht="15.75" customHeight="1">
      <c r="A237" s="62" t="s">
        <v>24</v>
      </c>
      <c r="B237" s="13" t="s">
        <v>215</v>
      </c>
      <c r="C237" s="13" t="s">
        <v>193</v>
      </c>
      <c r="D237" s="13" t="s">
        <v>901</v>
      </c>
      <c r="E237" s="13" t="s">
        <v>902</v>
      </c>
      <c r="F237" s="13" t="s">
        <v>960</v>
      </c>
      <c r="G237" s="13" t="s">
        <v>904</v>
      </c>
    </row>
    <row r="238" ht="25.5" customHeight="1">
      <c r="A238" s="63" t="s">
        <v>111</v>
      </c>
      <c r="B238" s="63" t="s">
        <v>130</v>
      </c>
      <c r="C238" s="64" t="s">
        <v>963</v>
      </c>
      <c r="D238" s="63" t="s">
        <v>78</v>
      </c>
      <c r="E238" s="63" t="s">
        <v>78</v>
      </c>
      <c r="F238" s="63" t="s">
        <v>78</v>
      </c>
      <c r="G238" s="63" t="s">
        <v>130</v>
      </c>
    </row>
    <row r="239" ht="15.75" customHeight="1">
      <c r="A239" s="65">
        <v>1.0</v>
      </c>
      <c r="B239" s="69" t="s">
        <v>350</v>
      </c>
      <c r="C239" s="39" t="s">
        <v>307</v>
      </c>
      <c r="D239" s="42">
        <v>4.6</v>
      </c>
      <c r="E239" s="42">
        <v>5.0</v>
      </c>
      <c r="F239" s="42">
        <v>4.0</v>
      </c>
      <c r="G239" s="69" t="s">
        <v>964</v>
      </c>
    </row>
    <row r="240" ht="15.75" customHeight="1">
      <c r="A240" s="65">
        <v>2.0</v>
      </c>
      <c r="B240" s="69" t="s">
        <v>346</v>
      </c>
      <c r="C240" s="39" t="s">
        <v>306</v>
      </c>
      <c r="D240" s="42">
        <v>4.3</v>
      </c>
      <c r="E240" s="42">
        <v>5.0</v>
      </c>
      <c r="F240" s="42">
        <v>3.0</v>
      </c>
      <c r="G240" s="69" t="s">
        <v>965</v>
      </c>
    </row>
    <row r="241" ht="15.75" customHeight="1">
      <c r="A241" s="65">
        <v>3.0</v>
      </c>
      <c r="B241" s="42"/>
      <c r="C241" s="39"/>
      <c r="D241" s="42"/>
      <c r="E241" s="42"/>
      <c r="F241" s="42"/>
      <c r="G241" s="42"/>
    </row>
    <row r="242" ht="15.75" customHeight="1">
      <c r="A242" s="65">
        <v>4.0</v>
      </c>
      <c r="B242" s="42"/>
      <c r="C242" s="39"/>
      <c r="D242" s="42"/>
      <c r="E242" s="42"/>
      <c r="F242" s="42"/>
      <c r="G242" s="42"/>
    </row>
    <row r="243" ht="15.75" customHeight="1"/>
    <row r="244" ht="21.75" customHeight="1">
      <c r="A244" s="33" t="s">
        <v>966</v>
      </c>
      <c r="B244" s="8"/>
      <c r="C244" s="8"/>
      <c r="D244" s="8"/>
      <c r="E244" s="8"/>
      <c r="F244" s="8"/>
      <c r="G244" s="8"/>
      <c r="H244" s="8"/>
      <c r="I244" s="7"/>
    </row>
    <row r="245" ht="21.75" customHeight="1">
      <c r="A245" s="51">
        <v>26.0</v>
      </c>
      <c r="B245" s="52" t="s">
        <v>968</v>
      </c>
      <c r="C245" s="53"/>
      <c r="D245" s="53"/>
      <c r="E245" s="54"/>
      <c r="F245" s="55" t="s">
        <v>178</v>
      </c>
      <c r="G245" s="71" t="s">
        <v>47</v>
      </c>
      <c r="H245" s="59" t="str">
        <f>IF(G245="",IF(COUNTA(B249:F252)&gt;0,"⚠ 상태 미선택(입력값 있음)","상태 미선택 → 미수집 간주"),IF(G245="값 있음",IF(COUNTA(B249:F252)=0,"⚠ 값 있음인데 입력값 없음","✓ 정상"),IF(COUNTA(B249:F252)&gt;0,"⚠ 상태와 입력값 불일치","✓ 정상")))</f>
        <v>✓ 정상</v>
      </c>
      <c r="I245" s="54"/>
    </row>
    <row r="246" ht="24.0" customHeight="1">
      <c r="B246" s="60" t="s">
        <v>980</v>
      </c>
    </row>
    <row r="247" ht="15.75" customHeight="1">
      <c r="A247" s="62" t="s">
        <v>24</v>
      </c>
      <c r="B247" s="13" t="s">
        <v>931</v>
      </c>
      <c r="C247" s="13" t="s">
        <v>932</v>
      </c>
      <c r="D247" s="13" t="s">
        <v>982</v>
      </c>
      <c r="E247" s="13" t="s">
        <v>934</v>
      </c>
      <c r="F247" s="13" t="s">
        <v>935</v>
      </c>
    </row>
    <row r="248" ht="37.5" customHeight="1">
      <c r="A248" s="63" t="s">
        <v>111</v>
      </c>
      <c r="B248" s="64" t="s">
        <v>983</v>
      </c>
      <c r="C248" s="63" t="s">
        <v>78</v>
      </c>
      <c r="D248" s="63" t="s">
        <v>984</v>
      </c>
      <c r="E248" s="64" t="s">
        <v>165</v>
      </c>
      <c r="F248" s="64" t="s">
        <v>165</v>
      </c>
    </row>
    <row r="249" ht="15.75" customHeight="1">
      <c r="A249" s="65">
        <v>1.0</v>
      </c>
      <c r="B249" s="42" t="s">
        <v>985</v>
      </c>
      <c r="C249" s="42">
        <v>905.0</v>
      </c>
      <c r="D249" s="42"/>
      <c r="E249" s="39" t="s">
        <v>986</v>
      </c>
      <c r="F249" s="39" t="s">
        <v>987</v>
      </c>
    </row>
    <row r="250" ht="15.75" customHeight="1">
      <c r="A250" s="65">
        <v>2.0</v>
      </c>
      <c r="B250" s="42" t="s">
        <v>988</v>
      </c>
      <c r="C250" s="42"/>
      <c r="D250" s="42" t="s">
        <v>989</v>
      </c>
      <c r="E250" s="39" t="s">
        <v>990</v>
      </c>
      <c r="F250" s="39" t="s">
        <v>991</v>
      </c>
    </row>
    <row r="251" ht="15.75" customHeight="1">
      <c r="A251" s="65">
        <v>3.0</v>
      </c>
      <c r="B251" s="42"/>
      <c r="C251" s="42"/>
      <c r="D251" s="42"/>
      <c r="E251" s="39"/>
      <c r="F251" s="39"/>
    </row>
    <row r="252" ht="15.75" customHeight="1">
      <c r="A252" s="65">
        <v>4.0</v>
      </c>
      <c r="B252" s="42"/>
      <c r="C252" s="42"/>
      <c r="D252" s="42"/>
      <c r="E252" s="39"/>
      <c r="F252" s="39"/>
    </row>
    <row r="253" ht="15.75" customHeight="1"/>
    <row r="254" ht="21.75" customHeight="1">
      <c r="A254" s="51">
        <v>27.0</v>
      </c>
      <c r="B254" s="52" t="s">
        <v>995</v>
      </c>
      <c r="C254" s="53"/>
      <c r="D254" s="53"/>
      <c r="E254" s="54"/>
      <c r="F254" s="55" t="s">
        <v>178</v>
      </c>
      <c r="G254" s="71" t="s">
        <v>47</v>
      </c>
      <c r="H254" s="59" t="str">
        <f>IF(G254="",IF(COUNTA(B258:E262)&gt;0,"⚠ 상태 미선택(입력값 있음)","상태 미선택 → 미수집 간주"),IF(G254="값 있음",IF(COUNTA(B258:E262)=0,"⚠ 값 있음인데 입력값 없음","✓ 정상"),IF(COUNTA(B258:E262)&gt;0,"⚠ 상태와 입력값 불일치","✓ 정상")))</f>
        <v>✓ 정상</v>
      </c>
      <c r="I254" s="54"/>
    </row>
    <row r="255" ht="24.0" customHeight="1">
      <c r="B255" s="60" t="s">
        <v>1009</v>
      </c>
    </row>
    <row r="256" ht="15.75" customHeight="1">
      <c r="A256" s="62" t="s">
        <v>24</v>
      </c>
      <c r="B256" s="13" t="s">
        <v>954</v>
      </c>
      <c r="C256" s="13" t="s">
        <v>1011</v>
      </c>
      <c r="D256" s="13" t="s">
        <v>956</v>
      </c>
      <c r="E256" s="13" t="s">
        <v>957</v>
      </c>
    </row>
    <row r="257" ht="15.0" customHeight="1">
      <c r="A257" s="63" t="s">
        <v>111</v>
      </c>
      <c r="B257" s="63" t="s">
        <v>130</v>
      </c>
      <c r="C257" s="63" t="s">
        <v>130</v>
      </c>
      <c r="D257" s="63" t="s">
        <v>130</v>
      </c>
      <c r="E257" s="64" t="s">
        <v>165</v>
      </c>
    </row>
    <row r="258" ht="15.75" customHeight="1">
      <c r="A258" s="65">
        <v>1.0</v>
      </c>
      <c r="B258" s="42" t="s">
        <v>1012</v>
      </c>
      <c r="C258" s="42"/>
      <c r="D258" s="69" t="s">
        <v>1013</v>
      </c>
      <c r="E258" s="39" t="s">
        <v>1014</v>
      </c>
    </row>
    <row r="259" ht="15.75" customHeight="1">
      <c r="A259" s="65">
        <v>2.0</v>
      </c>
      <c r="B259" s="42" t="s">
        <v>1015</v>
      </c>
      <c r="C259" s="42"/>
      <c r="D259" s="69" t="s">
        <v>1013</v>
      </c>
      <c r="E259" s="39" t="s">
        <v>1016</v>
      </c>
    </row>
    <row r="260" ht="15.75" customHeight="1">
      <c r="A260" s="65">
        <v>3.0</v>
      </c>
      <c r="B260" s="69" t="s">
        <v>1017</v>
      </c>
      <c r="C260" s="42" t="s">
        <v>1018</v>
      </c>
      <c r="D260" s="69" t="s">
        <v>1019</v>
      </c>
      <c r="E260" s="39" t="s">
        <v>1020</v>
      </c>
    </row>
    <row r="261" ht="15.75" customHeight="1">
      <c r="A261" s="65">
        <v>4.0</v>
      </c>
      <c r="B261" s="42"/>
      <c r="C261" s="42"/>
      <c r="D261" s="42"/>
      <c r="E261" s="39"/>
    </row>
    <row r="262" ht="15.75" customHeight="1">
      <c r="A262" s="65">
        <v>5.0</v>
      </c>
      <c r="B262" s="42"/>
      <c r="C262" s="42"/>
      <c r="D262" s="42"/>
      <c r="E262" s="39"/>
    </row>
    <row r="263" ht="15.75" customHeight="1"/>
    <row r="264" ht="21.75" customHeight="1">
      <c r="A264" s="70">
        <v>28.0</v>
      </c>
      <c r="B264" s="72" t="s">
        <v>1021</v>
      </c>
      <c r="C264" s="53"/>
      <c r="D264" s="53"/>
      <c r="E264" s="54"/>
      <c r="F264" s="73" t="s">
        <v>178</v>
      </c>
      <c r="G264" s="71" t="s">
        <v>47</v>
      </c>
      <c r="H264" s="74" t="str">
        <f>IF(G264="",IF(COUNTA(B268:D269)&gt;0,"⚠ 상태 미선택(입력값 있음)","상태 미선택 → 미수집 간주"),IF(G264="값 있음",IF(COUNTA(B268:D269)=0,"⚠ 값 있음인데 입력값 없음","✓ 정상"),IF(COUNTA(B268:D269)&gt;0,"⚠ 상태와 입력값 불일치","✓ 정상")))</f>
        <v>✓ 정상</v>
      </c>
      <c r="I264" s="54"/>
    </row>
    <row r="265" ht="15.0" customHeight="1">
      <c r="B265" s="60" t="s">
        <v>1026</v>
      </c>
    </row>
    <row r="266" ht="15.75" customHeight="1">
      <c r="A266" s="62" t="s">
        <v>24</v>
      </c>
      <c r="B266" s="13" t="s">
        <v>931</v>
      </c>
      <c r="C266" s="13" t="s">
        <v>972</v>
      </c>
      <c r="D266" s="13" t="s">
        <v>974</v>
      </c>
    </row>
    <row r="267" ht="25.5" customHeight="1">
      <c r="A267" s="63" t="s">
        <v>111</v>
      </c>
      <c r="B267" s="63" t="s">
        <v>130</v>
      </c>
      <c r="C267" s="64" t="s">
        <v>1028</v>
      </c>
      <c r="D267" s="64" t="s">
        <v>977</v>
      </c>
    </row>
    <row r="268" ht="15.75" customHeight="1">
      <c r="A268" s="65">
        <v>1.0</v>
      </c>
      <c r="B268" s="69" t="s">
        <v>1029</v>
      </c>
      <c r="C268" s="69" t="s">
        <v>1030</v>
      </c>
      <c r="D268" s="39" t="s">
        <v>1031</v>
      </c>
    </row>
    <row r="269" ht="15.75" customHeight="1">
      <c r="A269" s="65">
        <v>2.0</v>
      </c>
      <c r="B269" s="42"/>
      <c r="C269" s="69"/>
      <c r="D269" s="39"/>
    </row>
    <row r="270" ht="15.75" customHeight="1"/>
    <row r="271" ht="21.75" customHeight="1">
      <c r="A271" s="70">
        <v>29.0</v>
      </c>
      <c r="B271" s="80" t="s">
        <v>1033</v>
      </c>
      <c r="C271" s="53"/>
      <c r="D271" s="53"/>
      <c r="E271" s="54"/>
      <c r="F271" s="73" t="s">
        <v>178</v>
      </c>
      <c r="G271" s="71" t="s">
        <v>47</v>
      </c>
      <c r="H271" s="74" t="str">
        <f>IF(G271="",IF(COUNTA(C273:C277)&gt;0,"⚠ 상태 미선택(입력값 있음)","상태 미선택 → 미수집 간주"),IF(G271="값 있음",IF(COUNTA(C273:C277)=0,"⚠ 값 있음인데 입력값 없음","✓ 정상"),IF(COUNTA(C273:C277)&gt;0,"⚠ 상태와 입력값 불일치","✓ 정상")))</f>
        <v>✓ 정상</v>
      </c>
      <c r="I271" s="54"/>
    </row>
    <row r="272" ht="24.0" customHeight="1">
      <c r="B272" s="60" t="s">
        <v>1040</v>
      </c>
    </row>
    <row r="273" ht="15.75" customHeight="1">
      <c r="B273" s="17" t="s">
        <v>993</v>
      </c>
      <c r="C273" s="69" t="s">
        <v>1042</v>
      </c>
      <c r="D273" s="40" t="s">
        <v>147</v>
      </c>
      <c r="E273" s="50" t="s">
        <v>1043</v>
      </c>
    </row>
    <row r="274" ht="15.75" customHeight="1">
      <c r="B274" s="17" t="s">
        <v>998</v>
      </c>
      <c r="C274" s="69" t="s">
        <v>1042</v>
      </c>
      <c r="D274" s="40" t="s">
        <v>147</v>
      </c>
      <c r="E274" s="50" t="s">
        <v>1045</v>
      </c>
    </row>
    <row r="275" ht="15.75" customHeight="1">
      <c r="B275" s="17" t="s">
        <v>1002</v>
      </c>
      <c r="C275" s="69" t="s">
        <v>763</v>
      </c>
      <c r="D275" s="40" t="s">
        <v>147</v>
      </c>
      <c r="E275" s="50" t="s">
        <v>1047</v>
      </c>
    </row>
    <row r="276" ht="15.75" customHeight="1">
      <c r="B276" s="9" t="s">
        <v>1049</v>
      </c>
      <c r="C276" s="69" t="s">
        <v>1042</v>
      </c>
      <c r="D276" s="40" t="s">
        <v>147</v>
      </c>
      <c r="E276" s="50" t="s">
        <v>1051</v>
      </c>
    </row>
    <row r="277" ht="15.75" customHeight="1">
      <c r="B277" s="17" t="s">
        <v>1007</v>
      </c>
      <c r="C277" s="69" t="s">
        <v>1042</v>
      </c>
      <c r="D277" s="40" t="s">
        <v>147</v>
      </c>
      <c r="E277" s="50" t="s">
        <v>1053</v>
      </c>
    </row>
    <row r="278" ht="15.75" customHeight="1"/>
    <row r="279" ht="21.75" customHeight="1">
      <c r="A279" s="70">
        <v>30.0</v>
      </c>
      <c r="B279" s="72" t="s">
        <v>743</v>
      </c>
      <c r="C279" s="53"/>
      <c r="D279" s="53"/>
      <c r="E279" s="54"/>
      <c r="F279" s="73" t="s">
        <v>178</v>
      </c>
      <c r="G279" s="71" t="s">
        <v>47</v>
      </c>
      <c r="H279" s="74" t="str">
        <f>IF(G279="",IF(COUNTA(C281:C283)&gt;0,"⚠ 상태 미선택(입력값 있음)","상태 미선택 → 미수집 간주"),IF(G279="값 있음",IF(COUNTA(C281:C283)=0,"⚠ 값 있음인데 입력값 없음","✓ 정상"),IF(COUNTA(C281:C283)&gt;0,"⚠ 상태와 입력값 불일치","✓ 정상")))</f>
        <v>✓ 정상</v>
      </c>
      <c r="I279" s="54"/>
    </row>
    <row r="280" ht="15.0" customHeight="1">
      <c r="B280" s="60" t="s">
        <v>1064</v>
      </c>
    </row>
    <row r="281" ht="15.75" customHeight="1">
      <c r="B281" s="17" t="s">
        <v>1066</v>
      </c>
      <c r="C281" s="42">
        <v>126.0</v>
      </c>
      <c r="D281" s="40" t="s">
        <v>78</v>
      </c>
      <c r="E281" s="41"/>
    </row>
    <row r="282" ht="15.75" customHeight="1">
      <c r="B282" s="17" t="s">
        <v>1068</v>
      </c>
      <c r="C282" s="42">
        <v>90.0</v>
      </c>
      <c r="D282" s="40" t="s">
        <v>78</v>
      </c>
      <c r="E282" s="41" t="s">
        <v>1071</v>
      </c>
    </row>
    <row r="283" ht="15.75" customHeight="1">
      <c r="B283" s="17" t="s">
        <v>1037</v>
      </c>
      <c r="C283" s="39" t="s">
        <v>1075</v>
      </c>
      <c r="D283" s="49" t="s">
        <v>165</v>
      </c>
      <c r="E283" s="41"/>
    </row>
    <row r="284" ht="15.75" customHeight="1"/>
    <row r="285" ht="21.75" customHeight="1">
      <c r="A285" s="33" t="s">
        <v>1076</v>
      </c>
      <c r="B285" s="8"/>
      <c r="C285" s="8"/>
      <c r="D285" s="8"/>
      <c r="E285" s="8"/>
      <c r="F285" s="8"/>
      <c r="G285" s="8"/>
      <c r="H285" s="8"/>
      <c r="I285" s="7"/>
    </row>
    <row r="286" ht="21.75" customHeight="1">
      <c r="A286" s="70">
        <v>31.0</v>
      </c>
      <c r="B286" s="80" t="s">
        <v>1078</v>
      </c>
      <c r="C286" s="53"/>
      <c r="D286" s="53"/>
      <c r="E286" s="54"/>
      <c r="F286" s="73" t="s">
        <v>178</v>
      </c>
      <c r="G286" s="71" t="s">
        <v>47</v>
      </c>
      <c r="H286" s="74" t="str">
        <f>IF(G286="",IF(COUNTA(C288,B291:D296)&gt;0,"⚠ 상태 미선택(입력값 있음)","상태 미선택 → 미수집 간주"),IF(G286="값 있음",IF(COUNTA(C288,B291:D296)=0,"⚠ 값 있음인데 입력값 없음","✓ 정상"),IF(COUNTA(C288,B291:D296)&gt;0,"⚠ 상태와 입력값 불일치","✓ 정상")))</f>
        <v>✓ 정상</v>
      </c>
      <c r="I286" s="54"/>
    </row>
    <row r="287" ht="24.0" customHeight="1">
      <c r="B287" s="60" t="s">
        <v>1084</v>
      </c>
    </row>
    <row r="288" ht="15.75" customHeight="1">
      <c r="B288" s="17" t="s">
        <v>1058</v>
      </c>
      <c r="C288" s="39" t="s">
        <v>1087</v>
      </c>
      <c r="D288" s="49" t="s">
        <v>165</v>
      </c>
      <c r="E288" s="41"/>
    </row>
    <row r="289" ht="15.75" customHeight="1">
      <c r="A289" s="62" t="s">
        <v>24</v>
      </c>
      <c r="B289" s="13" t="s">
        <v>1059</v>
      </c>
      <c r="C289" s="13" t="s">
        <v>1060</v>
      </c>
      <c r="D289" s="13" t="s">
        <v>902</v>
      </c>
    </row>
    <row r="290" ht="15.0" customHeight="1">
      <c r="A290" s="63" t="s">
        <v>111</v>
      </c>
      <c r="B290" s="63" t="s">
        <v>1061</v>
      </c>
      <c r="C290" s="63" t="s">
        <v>78</v>
      </c>
      <c r="D290" s="63" t="s">
        <v>78</v>
      </c>
    </row>
    <row r="291" ht="15.75" customHeight="1">
      <c r="A291" s="65">
        <v>1.0</v>
      </c>
      <c r="B291" s="69" t="s">
        <v>1097</v>
      </c>
      <c r="C291" s="42">
        <v>4.2</v>
      </c>
      <c r="D291" s="42">
        <v>5.0</v>
      </c>
    </row>
    <row r="292" ht="15.75" customHeight="1">
      <c r="A292" s="65">
        <v>2.0</v>
      </c>
      <c r="B292" s="69" t="s">
        <v>1099</v>
      </c>
      <c r="C292" s="42">
        <v>4.0</v>
      </c>
      <c r="D292" s="42">
        <v>5.0</v>
      </c>
    </row>
    <row r="293" ht="15.75" customHeight="1">
      <c r="A293" s="65">
        <v>3.0</v>
      </c>
      <c r="B293" s="69" t="s">
        <v>1101</v>
      </c>
      <c r="C293" s="42">
        <v>4.4</v>
      </c>
      <c r="D293" s="42">
        <v>5.0</v>
      </c>
    </row>
    <row r="294" ht="15.75" customHeight="1">
      <c r="A294" s="65">
        <v>4.0</v>
      </c>
      <c r="B294" s="69" t="s">
        <v>1102</v>
      </c>
      <c r="C294" s="42">
        <v>4.1</v>
      </c>
      <c r="D294" s="42">
        <v>5.0</v>
      </c>
    </row>
    <row r="295" ht="15.75" customHeight="1">
      <c r="A295" s="65">
        <v>5.0</v>
      </c>
      <c r="B295" s="69" t="s">
        <v>418</v>
      </c>
      <c r="C295" s="42">
        <v>3.6</v>
      </c>
      <c r="D295" s="42">
        <v>5.0</v>
      </c>
    </row>
    <row r="296" ht="15.75" customHeight="1">
      <c r="A296" s="65">
        <v>6.0</v>
      </c>
      <c r="B296" s="69" t="s">
        <v>1104</v>
      </c>
      <c r="C296" s="42">
        <v>3.9</v>
      </c>
      <c r="D296" s="42">
        <v>5.0</v>
      </c>
    </row>
    <row r="297" ht="15.75" customHeight="1"/>
    <row r="298" ht="21.75" customHeight="1">
      <c r="A298" s="70">
        <v>32.0</v>
      </c>
      <c r="B298" s="72" t="s">
        <v>786</v>
      </c>
      <c r="C298" s="53"/>
      <c r="D298" s="53"/>
      <c r="E298" s="54"/>
      <c r="F298" s="73" t="s">
        <v>178</v>
      </c>
      <c r="G298" s="71" t="s">
        <v>47</v>
      </c>
      <c r="H298" s="74" t="str">
        <f>IF(G298="",IF(COUNTA(C300:C303)&gt;0,"⚠ 상태 미선택(입력값 있음)","상태 미선택 → 미수집 간주"),IF(G298="값 있음",IF(COUNTA(C300:C303)=0,"⚠ 값 있음인데 입력값 없음","✓ 정상"),IF(COUNTA(C300:C303)&gt;0,"⚠ 상태와 입력값 불일치","✓ 정상")))</f>
        <v>✓ 정상</v>
      </c>
      <c r="I298" s="54"/>
    </row>
    <row r="299" ht="15.0" customHeight="1">
      <c r="B299" s="60" t="s">
        <v>1109</v>
      </c>
    </row>
    <row r="300" ht="15.75" customHeight="1">
      <c r="B300" s="17" t="s">
        <v>1058</v>
      </c>
      <c r="C300" s="39" t="s">
        <v>1087</v>
      </c>
      <c r="D300" s="49" t="s">
        <v>165</v>
      </c>
      <c r="E300" s="41"/>
    </row>
    <row r="301" ht="15.75" customHeight="1">
      <c r="B301" s="17" t="s">
        <v>1077</v>
      </c>
      <c r="C301" s="42">
        <v>78.0</v>
      </c>
      <c r="D301" s="40" t="s">
        <v>78</v>
      </c>
      <c r="E301" s="41"/>
    </row>
    <row r="302" ht="15.75" customHeight="1">
      <c r="B302" s="17" t="s">
        <v>902</v>
      </c>
      <c r="C302" s="42">
        <v>100.0</v>
      </c>
      <c r="D302" s="40" t="s">
        <v>78</v>
      </c>
      <c r="E302" s="41"/>
    </row>
    <row r="303" ht="30.0" customHeight="1">
      <c r="B303" s="17" t="s">
        <v>1079</v>
      </c>
      <c r="C303" s="69" t="s">
        <v>1120</v>
      </c>
      <c r="D303" s="40" t="s">
        <v>130</v>
      </c>
      <c r="E303" s="41" t="s">
        <v>1080</v>
      </c>
    </row>
    <row r="304" ht="15.75" customHeight="1"/>
    <row r="305" ht="21.75" customHeight="1">
      <c r="A305" s="76">
        <v>33.0</v>
      </c>
      <c r="B305" s="77" t="s">
        <v>1123</v>
      </c>
      <c r="C305" s="53"/>
      <c r="D305" s="53"/>
      <c r="E305" s="54"/>
      <c r="F305" s="78" t="s">
        <v>178</v>
      </c>
      <c r="G305" s="71" t="s">
        <v>47</v>
      </c>
      <c r="H305" s="79" t="str">
        <f>IF(G305="",IF(COUNTA(B309:G311)&gt;0,"⚠ 상태 미선택(입력값 있음)","상태 미선택 → 미수집 간주"),IF(G305="값 있음",IF(COUNTA(B309:G311)=0,"⚠ 값 있음인데 입력값 없음","✓ 정상"),IF(COUNTA(B309:G311)&gt;0,"⚠ 상태와 입력값 불일치","✓ 정상")))</f>
        <v>✓ 정상</v>
      </c>
      <c r="I305" s="54"/>
    </row>
    <row r="306" ht="24.0" customHeight="1">
      <c r="B306" s="60" t="s">
        <v>1125</v>
      </c>
    </row>
    <row r="307" ht="15.75" customHeight="1">
      <c r="A307" s="62" t="s">
        <v>24</v>
      </c>
      <c r="B307" s="13" t="s">
        <v>1126</v>
      </c>
      <c r="C307" s="13" t="s">
        <v>1090</v>
      </c>
      <c r="D307" s="13" t="s">
        <v>1127</v>
      </c>
      <c r="E307" s="13" t="s">
        <v>1128</v>
      </c>
      <c r="F307" s="13" t="s">
        <v>1129</v>
      </c>
      <c r="G307" s="13" t="s">
        <v>1130</v>
      </c>
    </row>
    <row r="308" ht="15.0" customHeight="1">
      <c r="A308" s="63" t="s">
        <v>111</v>
      </c>
      <c r="B308" s="63" t="s">
        <v>1131</v>
      </c>
      <c r="C308" s="63" t="s">
        <v>130</v>
      </c>
      <c r="D308" s="63" t="s">
        <v>525</v>
      </c>
      <c r="E308" s="63" t="s">
        <v>525</v>
      </c>
      <c r="F308" s="63" t="s">
        <v>525</v>
      </c>
      <c r="G308" s="63" t="s">
        <v>1132</v>
      </c>
    </row>
    <row r="309" ht="60.0" customHeight="1">
      <c r="A309" s="65">
        <v>1.0</v>
      </c>
      <c r="B309" s="42">
        <v>22.0</v>
      </c>
      <c r="C309" s="42" t="s">
        <v>1133</v>
      </c>
      <c r="D309" s="69" t="s">
        <v>1134</v>
      </c>
      <c r="E309" s="69" t="s">
        <v>1135</v>
      </c>
      <c r="F309" s="69" t="s">
        <v>1136</v>
      </c>
      <c r="G309" s="69" t="s">
        <v>1137</v>
      </c>
    </row>
    <row r="310" ht="60.0" customHeight="1">
      <c r="A310" s="65">
        <v>2.0</v>
      </c>
      <c r="B310" s="42">
        <v>11.0</v>
      </c>
      <c r="C310" s="69" t="s">
        <v>1138</v>
      </c>
      <c r="D310" s="69" t="s">
        <v>1139</v>
      </c>
      <c r="E310" s="69" t="s">
        <v>1140</v>
      </c>
      <c r="F310" s="42" t="s">
        <v>1141</v>
      </c>
      <c r="G310" s="69" t="s">
        <v>1142</v>
      </c>
    </row>
    <row r="311" ht="60.0" customHeight="1">
      <c r="A311" s="65">
        <v>3.0</v>
      </c>
      <c r="B311" s="42"/>
      <c r="C311" s="42"/>
      <c r="D311" s="42"/>
      <c r="E311" s="42"/>
      <c r="F311" s="42"/>
      <c r="G311" s="42"/>
    </row>
    <row r="312" ht="15.75" customHeight="1"/>
    <row r="313" ht="21.75" customHeight="1">
      <c r="A313" s="76">
        <v>34.0</v>
      </c>
      <c r="B313" s="77" t="s">
        <v>826</v>
      </c>
      <c r="C313" s="53"/>
      <c r="D313" s="53"/>
      <c r="E313" s="54"/>
      <c r="F313" s="78" t="s">
        <v>178</v>
      </c>
      <c r="G313" s="71" t="s">
        <v>47</v>
      </c>
      <c r="H313" s="79" t="str">
        <f>IF(G313="",IF(COUNTA(B317:F318)&gt;0,"⚠ 상태 미선택(입력값 있음)","상태 미선택 → 미수집 간주"),IF(G313="값 있음",IF(COUNTA(B317:F318)=0,"⚠ 값 있음인데 입력값 없음","✓ 정상"),IF(COUNTA(B317:F318)&gt;0,"⚠ 상태와 입력값 불일치","✓ 정상")))</f>
        <v>✓ 정상</v>
      </c>
      <c r="I313" s="54"/>
    </row>
    <row r="314" ht="15.0" customHeight="1">
      <c r="B314" s="60" t="s">
        <v>1154</v>
      </c>
    </row>
    <row r="315" ht="15.75" customHeight="1">
      <c r="A315" s="62" t="s">
        <v>24</v>
      </c>
      <c r="B315" s="13" t="s">
        <v>1155</v>
      </c>
      <c r="C315" s="13" t="s">
        <v>1112</v>
      </c>
      <c r="D315" s="13" t="s">
        <v>1114</v>
      </c>
      <c r="E315" s="13" t="s">
        <v>1115</v>
      </c>
      <c r="F315" s="13" t="s">
        <v>1116</v>
      </c>
    </row>
    <row r="316" ht="15.0" customHeight="1">
      <c r="A316" s="63" t="s">
        <v>111</v>
      </c>
      <c r="B316" s="63" t="s">
        <v>130</v>
      </c>
      <c r="C316" s="64" t="s">
        <v>1157</v>
      </c>
      <c r="D316" s="63" t="s">
        <v>130</v>
      </c>
      <c r="E316" s="63" t="s">
        <v>525</v>
      </c>
      <c r="F316" s="64" t="s">
        <v>165</v>
      </c>
    </row>
    <row r="317" ht="36.0" customHeight="1">
      <c r="A317" s="65">
        <v>1.0</v>
      </c>
      <c r="B317" s="69" t="s">
        <v>1158</v>
      </c>
      <c r="C317" s="69" t="s">
        <v>1159</v>
      </c>
      <c r="D317" s="69" t="s">
        <v>1160</v>
      </c>
      <c r="E317" s="69" t="s">
        <v>1161</v>
      </c>
      <c r="F317" s="39" t="s">
        <v>1162</v>
      </c>
    </row>
    <row r="318" ht="36.0" customHeight="1">
      <c r="A318" s="65">
        <v>2.0</v>
      </c>
      <c r="B318" s="42"/>
      <c r="C318" s="69"/>
      <c r="D318" s="42"/>
      <c r="E318" s="42"/>
      <c r="F318" s="39"/>
    </row>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4">
    <mergeCell ref="A1:I1"/>
    <mergeCell ref="A2:I2"/>
    <mergeCell ref="F3:I3"/>
    <mergeCell ref="A5:I5"/>
    <mergeCell ref="E6:I6"/>
    <mergeCell ref="E7:I7"/>
    <mergeCell ref="E8:I8"/>
    <mergeCell ref="E9:I9"/>
    <mergeCell ref="E10:I10"/>
    <mergeCell ref="E11:I11"/>
    <mergeCell ref="E12:I12"/>
    <mergeCell ref="E13:I13"/>
    <mergeCell ref="E14:I14"/>
    <mergeCell ref="E15:I15"/>
    <mergeCell ref="E16:I16"/>
    <mergeCell ref="E17:I17"/>
    <mergeCell ref="E18:I18"/>
    <mergeCell ref="E19:I19"/>
    <mergeCell ref="E20:I20"/>
    <mergeCell ref="A22:I22"/>
    <mergeCell ref="H23:I23"/>
    <mergeCell ref="B23:E23"/>
    <mergeCell ref="B24:I24"/>
    <mergeCell ref="E25:I25"/>
    <mergeCell ref="E26:I26"/>
    <mergeCell ref="E27:I27"/>
    <mergeCell ref="H39:I39"/>
    <mergeCell ref="B40:I40"/>
    <mergeCell ref="B39:E39"/>
    <mergeCell ref="B49:E49"/>
    <mergeCell ref="H49:I49"/>
    <mergeCell ref="B50:I50"/>
    <mergeCell ref="E51:I51"/>
    <mergeCell ref="E52:I52"/>
    <mergeCell ref="H60:I60"/>
    <mergeCell ref="B60:E60"/>
    <mergeCell ref="B61:I61"/>
    <mergeCell ref="E62:I62"/>
    <mergeCell ref="E63:I63"/>
    <mergeCell ref="E64:I64"/>
    <mergeCell ref="A66:I66"/>
    <mergeCell ref="H67:I67"/>
    <mergeCell ref="B67:E67"/>
    <mergeCell ref="B68:I68"/>
    <mergeCell ref="E69:I69"/>
    <mergeCell ref="E70:I70"/>
    <mergeCell ref="E71:I71"/>
    <mergeCell ref="E72:I72"/>
    <mergeCell ref="E73:I73"/>
    <mergeCell ref="E74:I74"/>
    <mergeCell ref="B76:E76"/>
    <mergeCell ref="H76:I76"/>
    <mergeCell ref="B77:I77"/>
    <mergeCell ref="E78:I78"/>
    <mergeCell ref="E79:I79"/>
    <mergeCell ref="E80:I80"/>
    <mergeCell ref="E81:I81"/>
    <mergeCell ref="B83:E83"/>
    <mergeCell ref="H83:I83"/>
    <mergeCell ref="B84:I84"/>
    <mergeCell ref="E85:I85"/>
    <mergeCell ref="E86:I86"/>
    <mergeCell ref="E87:I87"/>
    <mergeCell ref="E88:I88"/>
    <mergeCell ref="A90:I90"/>
    <mergeCell ref="B91:E91"/>
    <mergeCell ref="H91:I91"/>
    <mergeCell ref="B92:I92"/>
    <mergeCell ref="H100:I100"/>
    <mergeCell ref="B101:I101"/>
    <mergeCell ref="B100:E100"/>
    <mergeCell ref="B108:E108"/>
    <mergeCell ref="H108:I108"/>
    <mergeCell ref="B109:I109"/>
    <mergeCell ref="A116:I116"/>
    <mergeCell ref="H117:I117"/>
    <mergeCell ref="B118:I118"/>
    <mergeCell ref="B117:E117"/>
    <mergeCell ref="B125:E125"/>
    <mergeCell ref="H125:I125"/>
    <mergeCell ref="B126:I126"/>
    <mergeCell ref="B133:E133"/>
    <mergeCell ref="H133:I133"/>
    <mergeCell ref="B134:I134"/>
    <mergeCell ref="E135:I135"/>
    <mergeCell ref="E136:I136"/>
    <mergeCell ref="E137:I137"/>
    <mergeCell ref="E138:I138"/>
    <mergeCell ref="A140:I140"/>
    <mergeCell ref="H141:I141"/>
    <mergeCell ref="B142:I142"/>
    <mergeCell ref="B141:E141"/>
    <mergeCell ref="B151:E151"/>
    <mergeCell ref="H151:I151"/>
    <mergeCell ref="B152:I152"/>
    <mergeCell ref="B158:E158"/>
    <mergeCell ref="H158:I158"/>
    <mergeCell ref="B159:I159"/>
    <mergeCell ref="B264:E264"/>
    <mergeCell ref="B265:I265"/>
    <mergeCell ref="B271:E271"/>
    <mergeCell ref="H271:I271"/>
    <mergeCell ref="B272:I272"/>
    <mergeCell ref="E273:I273"/>
    <mergeCell ref="E274:I274"/>
    <mergeCell ref="E275:I275"/>
    <mergeCell ref="E276:I276"/>
    <mergeCell ref="E277:I277"/>
    <mergeCell ref="B279:E279"/>
    <mergeCell ref="H279:I279"/>
    <mergeCell ref="B280:I280"/>
    <mergeCell ref="E281:I281"/>
    <mergeCell ref="B305:E305"/>
    <mergeCell ref="H305:I305"/>
    <mergeCell ref="B306:I306"/>
    <mergeCell ref="B313:E313"/>
    <mergeCell ref="H313:I313"/>
    <mergeCell ref="B314:I314"/>
    <mergeCell ref="B298:E298"/>
    <mergeCell ref="H298:I298"/>
    <mergeCell ref="B299:I299"/>
    <mergeCell ref="E300:I300"/>
    <mergeCell ref="E301:I301"/>
    <mergeCell ref="E302:I302"/>
    <mergeCell ref="E303:I303"/>
    <mergeCell ref="A165:I165"/>
    <mergeCell ref="B166:E166"/>
    <mergeCell ref="H166:I166"/>
    <mergeCell ref="B167:I167"/>
    <mergeCell ref="B174:E174"/>
    <mergeCell ref="H174:I174"/>
    <mergeCell ref="B175:I175"/>
    <mergeCell ref="E176:I176"/>
    <mergeCell ref="E177:I177"/>
    <mergeCell ref="E178:I178"/>
    <mergeCell ref="A180:I180"/>
    <mergeCell ref="B181:E181"/>
    <mergeCell ref="H181:I181"/>
    <mergeCell ref="B182:I182"/>
    <mergeCell ref="B190:E190"/>
    <mergeCell ref="H190:I190"/>
    <mergeCell ref="B191:I191"/>
    <mergeCell ref="B198:E198"/>
    <mergeCell ref="H198:I198"/>
    <mergeCell ref="B199:I199"/>
    <mergeCell ref="A207:I207"/>
    <mergeCell ref="B208:E208"/>
    <mergeCell ref="H208:I208"/>
    <mergeCell ref="B209:I209"/>
    <mergeCell ref="B217:E217"/>
    <mergeCell ref="H217:I217"/>
    <mergeCell ref="B218:I218"/>
    <mergeCell ref="E219:I219"/>
    <mergeCell ref="B227:E227"/>
    <mergeCell ref="H227:I227"/>
    <mergeCell ref="B228:I228"/>
    <mergeCell ref="B235:E235"/>
    <mergeCell ref="H235:I235"/>
    <mergeCell ref="B236:I236"/>
    <mergeCell ref="A244:I244"/>
    <mergeCell ref="B245:E245"/>
    <mergeCell ref="H245:I245"/>
    <mergeCell ref="B246:I246"/>
    <mergeCell ref="B254:E254"/>
    <mergeCell ref="H254:I254"/>
    <mergeCell ref="B255:I255"/>
    <mergeCell ref="H264:I264"/>
    <mergeCell ref="E282:I282"/>
    <mergeCell ref="E283:I283"/>
    <mergeCell ref="A285:I285"/>
    <mergeCell ref="B286:E286"/>
    <mergeCell ref="H286:I286"/>
    <mergeCell ref="B287:I287"/>
    <mergeCell ref="E288:I288"/>
  </mergeCells>
  <conditionalFormatting sqref="H5:H1000">
    <cfRule type="expression" dxfId="5" priority="1">
      <formula>LEFT(H5,1)="✓"</formula>
    </cfRule>
  </conditionalFormatting>
  <conditionalFormatting sqref="H5:H1000">
    <cfRule type="expression" dxfId="6" priority="2">
      <formula>LEFT(H5,2)="상태"</formula>
    </cfRule>
  </conditionalFormatting>
  <dataValidations>
    <dataValidation type="list" allowBlank="1" showInputMessage="1" showErrorMessage="1" prompt="허용값 아님 - 목록에서 선택해 주세요: 논문,보고서,학술발표자료" sqref="B104:B106">
      <formula1>"논문,보고서,학술발표자료"</formula1>
    </dataValidation>
    <dataValidation type="list" allowBlank="1" showInputMessage="1" showErrorMessage="1" prompt="허용값 아님 - 목록에서 선택해 주세요: 신청,이수중,이수완료" sqref="D55:D58">
      <formula1>"신청,이수중,이수완료"</formula1>
    </dataValidation>
    <dataValidation type="list" allowBlank="1" showInputMessage="1" showErrorMessage="1" prompt="허용값 아님 - 목록에서 선택해 주세요: 교과,비교과,3품(AI)" sqref="B185:B188">
      <formula1>"교과,비교과,3품(AI)"</formula1>
    </dataValidation>
    <dataValidation type="list" allowBlank="1" showInputMessage="1" showErrorMessage="1" prompt="허용값 아님 - 목록에서 선택해 주세요: 참가,입선,장려,우수,최우수,대상" sqref="E145:E149">
      <formula1>"참가,입선,장려,우수,최우수,대상"</formula1>
    </dataValidation>
    <dataValidation type="list" allowBlank="1" showInputMessage="1" showErrorMessage="1" prompt="허용값 아님 - 목록에서 선택해 주세요: TOEIC,TOEFL iBT,TOEIC Speaking,OPIc,HSK,JPT,JLPT,DELF/DALF,DELE,기타" sqref="B249:B252">
      <formula1>"TOEIC,TOEFL iBT,TOEIC Speaking,OPIc,HSK,JPT,JLPT,DELF/DALF,DELE,기타"</formula1>
    </dataValidation>
    <dataValidation type="list" allowBlank="1" showInputMessage="1" showErrorMessage="1" prompt="허용값 아님 - 목록에서 선택해 주세요: Y,N" sqref="C17 C20 I121:I123 C136 G170:G172">
      <formula1>"Y,N"</formula1>
    </dataValidation>
    <dataValidation type="list" allowBlank="1" showInputMessage="1" showErrorMessage="1" prompt="허용값 아님 - 목록에서 선택해 주세요: 지도교수,수업 담당교수" sqref="C317:C318">
      <formula1>"지도교수,수업 담당교수"</formula1>
    </dataValidation>
    <dataValidation type="list" allowBlank="1" showInputMessage="1" showErrorMessage="1" prompt="허용값 아님 - 목록에서 선택해 주세요: 튜터,튜티,멘토,멘티,스터디,학습공동체" sqref="B231:B233">
      <formula1>"튜터,튜티,멘토,멘티,스터디,학습공동체"</formula1>
    </dataValidation>
    <dataValidation type="list" allowBlank="1" showInputMessage="1" showErrorMessage="1" prompt="허용값 아님 - 목록에서 선택해 주세요: 학부,석사,박사,석박통합" sqref="C13">
      <formula1>"학부,석사,박사,석박통합"</formula1>
    </dataValidation>
    <dataValidation type="list" allowBlank="1" showInputMessage="1" showErrorMessage="1" prompt="허용값 아님 - 목록에서 선택해 주세요: 출원,등록" sqref="D162:D163">
      <formula1>"출원,등록"</formula1>
    </dataValidation>
    <dataValidation type="list" allowBlank="1" showInputMessage="1" showErrorMessage="1" prompt="허용값 아님 - 목록에서 선택해 주세요: 특허,실용신안,디자인,SW등록" sqref="B162:B163">
      <formula1>"특허,실용신안,디자인,SW등록"</formula1>
    </dataValidation>
    <dataValidation type="list" allowBlank="1" showInputMessage="1" showErrorMessage="1" prompt="허용값 아님 - 목록에서 선택해 주세요: 값 있음,활동 없음,미수집,해당 없음" sqref="G23 G39 G49 G60 G67 G76 G83 G91 G100 G108 G117 G125 G133 G141 G151 G158 G166 G174 G181 G190 G198 G208 G217 G227 G235 G245 G254 G264 G271 G279 G286 G298 G305 G313">
      <formula1>"값 있음,활동 없음,미수집,해당 없음"</formula1>
    </dataValidation>
    <dataValidation type="list" allowBlank="1" showInputMessage="1" showErrorMessage="1" prompt="허용값 아님 - 목록에서 선택해 주세요: 주전공,복수전공,부전공,연계전공,융합전공,심화전공" sqref="B55:B58">
      <formula1>"주전공,복수전공,부전공,연계전공,융합전공,심화전공"</formula1>
    </dataValidation>
    <dataValidation type="list" allowBlank="1" showInputMessage="1" showErrorMessage="1" prompt="허용값 아님 - 목록에서 선택해 주세요: 교내,교외(국내),국외,유학생 봉사" sqref="B222:B225">
      <formula1>"교내,교외(국내),국외,유학생 봉사"</formula1>
    </dataValidation>
    <dataValidation type="list" allowBlank="1" showInputMessage="1" showErrorMessage="1" prompt="허용값 아님 - 목록에서 선택해 주세요: 이수중,이수완료,미이수,포기" sqref="C64">
      <formula1>"이수중,이수완료,미이수,포기"</formula1>
    </dataValidation>
    <dataValidation type="list" allowBlank="1" showInputMessage="1" showErrorMessage="1" prompt="허용값 아님 - 목록에서 선택해 주세요: 관련,일부 관련,무관" sqref="H121:H123">
      <formula1>"관련,일부 관련,무관"</formula1>
    </dataValidation>
    <dataValidation type="list" allowBlank="1" showInputMessage="1" showErrorMessage="1" prompt="허용값 아님 - 목록에서 선택해 주세요: 시스템 연동,학생 직접 입력,혼합" sqref="C19">
      <formula1>"시스템 연동,학생 직접 입력,혼합"</formula1>
    </dataValidation>
    <dataValidation type="list" allowBlank="1" showInputMessage="1" showErrorMessage="1" prompt="허용값 아님 - 목록에서 선택해 주세요: 국제학술지,국내학술지,국제학술대회,국내학술대회,교내" sqref="D104:D106">
      <formula1>"국제학술지,국내학술지,국제학술대회,국내학술대회,교내"</formula1>
    </dataValidation>
    <dataValidation type="list" allowBlank="1" showInputMessage="1" showErrorMessage="1" prompt="허용값 아님 - 목록에서 선택해 주세요: 게재,게재승인,투고,작성중" sqref="E104:E106">
      <formula1>"게재,게재승인,투고,작성중"</formula1>
    </dataValidation>
    <dataValidation type="list" allowBlank="1" showInputMessage="1" showErrorMessage="1" prompt="허용값 아님 - 목록에서 선택해 주세요: 이수,수강중,미이수" sqref="F185:F188">
      <formula1>"이수,수강중,미이수"</formula1>
    </dataValidation>
    <dataValidation type="list" allowBlank="1" showInputMessage="1" showErrorMessage="1" prompt="허용값 아님 - 목록에서 선택해 주세요: 신입학,편입학,재입학" sqref="C14">
      <formula1>"신입학,편입학,재입학"</formula1>
    </dataValidation>
    <dataValidation type="list" allowBlank="1" showInputMessage="1" showErrorMessage="1" prompt="허용값 아님 - 목록에서 선택해 주세요: 창업교과목,창업경진대회,사업자등록,창업동아리" sqref="B155:B156">
      <formula1>"창업교과목,창업경진대회,사업자등록,창업동아리"</formula1>
    </dataValidation>
    <dataValidation type="list" allowBlank="1" showInputMessage="1" showErrorMessage="1" prompt="허용값 아님 - 목록에서 선택해 주세요: 고용보험,재직·경력증명,없음" sqref="F129:F131">
      <formula1>"고용보험,재직·경력증명,없음"</formula1>
    </dataValidation>
    <dataValidation type="list" allowBlank="1" showInputMessage="1" showErrorMessage="1" prompt="허용값 아님 - 목록에서 선택해 주세요: 발표형,토론형,과제·보고서형,PBL형" sqref="D43:D47">
      <formula1>"발표형,토론형,과제·보고서형,PBL형"</formula1>
    </dataValidation>
    <dataValidation type="list" allowBlank="1" showInputMessage="1" showErrorMessage="1" prompt="허용값 아님 - 목록에서 선택해 주세요: A+,A0,B+,B0,C+,C0,D+,D0,F,P" sqref="E43:E47">
      <formula1>"A+,A0,B+,B0,C+,C0,D+,D0,F,P"</formula1>
    </dataValidation>
    <dataValidation type="list" allowBlank="1" showInputMessage="1" showErrorMessage="1" prompt="허용값 아님 - 목록에서 선택해 주세요: 교환학생,어학연수,해외봉사,국제연구,국제문화체험,해외학습" sqref="B170:B172">
      <formula1>"교환학생,어학연수,해외봉사,국제연구,국제문화체험,해외학습"</formula1>
    </dataValidation>
    <dataValidation type="list" allowBlank="1" showInputMessage="1" showErrorMessage="1" prompt="허용값 아님 - 목록에서 선택해 주세요: 대상,비대상" sqref="C62">
      <formula1>"대상,비대상"</formula1>
    </dataValidation>
    <dataValidation type="list" allowBlank="1" showInputMessage="1" showErrorMessage="1" prompt="허용값 아님 - 목록에서 선택해 주세요: 기초,활용,능숙" sqref="C202:C205">
      <formula1>"기초,활용,능숙"</formula1>
    </dataValidation>
    <dataValidation type="list" allowBlank="1" showInputMessage="1" showErrorMessage="1" prompt="허용값 아님 - 목록에서 선택해 주세요: 학부연구생,URP,학회,연구실 인턴,팀연구프로젝트" sqref="B95:B98">
      <formula1>"학부연구생,URP,학회,연구실 인턴,팀연구프로젝트"</formula1>
    </dataValidation>
    <dataValidation type="list" allowBlank="1" showInputMessage="1" showErrorMessage="1" prompt="허용값 아님 - 목록에서 선택해 주세요: AI캡스톤,AI대회,AI공모전,AI프로젝트" sqref="B194:B196">
      <formula1>"AI캡스톤,AI대회,AI공모전,AI프로젝트"</formula1>
    </dataValidation>
    <dataValidation type="list" allowBlank="1" showInputMessage="1" showErrorMessage="1" prompt="허용값 아님 - 목록에서 선택해 주세요: 재학,휴학,수료" sqref="C16">
      <formula1>"재학,휴학,수료"</formula1>
    </dataValidation>
    <dataValidation type="list" allowBlank="1" showInputMessage="1" showErrorMessage="1" prompt="허용값 아님 - 목록에서 선택해 주세요: 동아리,학생회,학회,기타단체" sqref="B212:B215">
      <formula1>"동아리,학생회,학회,기타단체"</formula1>
    </dataValidation>
    <dataValidation type="list" allowBlank="1" showInputMessage="1" showErrorMessage="1" prompt="허용값 아님 - 목록에서 선택해 주세요: 교내,지역,전국,국제" sqref="D145:D149 F194:F196">
      <formula1>"교내,지역,전국,국제"</formula1>
    </dataValidation>
    <dataValidation type="list" allowBlank="1" showInputMessage="1" showErrorMessage="1" prompt="허용값 아님 - 목록에서 선택해 주세요: 인턴십,현장실습,연구체험,문제해결프로젝트" sqref="B121:B123">
      <formula1>"인턴십,현장실습,연구체험,문제해결프로젝트"</formula1>
    </dataValidation>
    <dataValidation type="list" allowBlank="1" showInputMessage="1" showErrorMessage="1" prompt="허용값 아님 - 목록에서 선택해 주세요: 개인,팀" sqref="F145:F149">
      <formula1>"개인,팀"</formula1>
    </dataValidation>
    <dataValidation type="list" allowBlank="1" showInputMessage="1" showErrorMessage="1" prompt="허용값 아님 - 목록에서 선택해 주세요: 단독,공동" sqref="G162:G163">
      <formula1>"단독,공동"</formula1>
    </dataValidation>
    <dataValidation type="list" allowBlank="1" showInputMessage="1" showErrorMessage="1" prompt="허용값 아님 - 목록에서 선택해 주세요: 회장,부회장,부장,총무,부원" sqref="D212:D215">
      <formula1>"회장,부회장,부장,총무,부원"</formula1>
    </dataValidation>
    <dataValidation type="list" allowBlank="1" showInputMessage="1" showErrorMessage="1" prompt="허용값 아님 - 목록에서 선택해 주세요: 단독,제1저자,공동저자" sqref="F104:F106">
      <formula1>"단독,제1저자,공동저자"</formula1>
    </dataValidation>
    <dataValidation type="list" allowBlank="1" showInputMessage="1" showErrorMessage="1" prompt="허용값 아님 - 목록에서 선택해 주세요: 취득,진행중,미취득" sqref="C273:C277">
      <formula1>"취득,진행중,미취득"</formula1>
    </dataValidation>
    <dataValidation type="list" allowBlank="1" showInputMessage="1" showErrorMessage="1" prompt="허용값 아님 - 목록에서 선택해 주세요: 응시,1차 합격,2차 합격,최종 합격" sqref="C268:C269">
      <formula1>"응시,1차 합격,2차 합격,최종 합격"</formula1>
    </dataValidation>
  </dataValidations>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9BD5"/>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6.0"/>
    <col customWidth="1" min="2" max="2" width="22.0"/>
    <col customWidth="1" min="3" max="3" width="20.0"/>
    <col customWidth="1" min="4" max="5" width="17.0"/>
    <col customWidth="1" min="6" max="7" width="15.0"/>
    <col customWidth="1" min="8" max="8" width="17.0"/>
    <col customWidth="1" min="9" max="9" width="30.0"/>
    <col customWidth="1" min="10" max="26" width="8.71"/>
  </cols>
  <sheetData>
    <row r="1" ht="25.5" customHeight="1">
      <c r="A1" s="66" t="s">
        <v>446</v>
      </c>
    </row>
    <row r="2" ht="30.0" customHeight="1">
      <c r="A2" s="16" t="s">
        <v>447</v>
      </c>
    </row>
    <row r="3" ht="15.0" customHeight="1">
      <c r="A3" s="23" t="s">
        <v>73</v>
      </c>
      <c r="B3" s="25" t="s">
        <v>67</v>
      </c>
      <c r="C3" s="27" t="s">
        <v>89</v>
      </c>
      <c r="D3" s="28" t="s">
        <v>448</v>
      </c>
      <c r="E3" s="30" t="s">
        <v>100</v>
      </c>
      <c r="F3" s="16" t="s">
        <v>451</v>
      </c>
    </row>
    <row r="5" ht="21.75" customHeight="1">
      <c r="A5" s="33" t="s">
        <v>455</v>
      </c>
      <c r="B5" s="8"/>
      <c r="C5" s="8"/>
      <c r="D5" s="8"/>
      <c r="E5" s="8"/>
      <c r="F5" s="8"/>
      <c r="G5" s="8"/>
      <c r="H5" s="8"/>
      <c r="I5" s="7"/>
    </row>
    <row r="6" ht="15.0" customHeight="1">
      <c r="B6" s="13" t="s">
        <v>107</v>
      </c>
      <c r="C6" s="13" t="s">
        <v>108</v>
      </c>
      <c r="D6" s="13" t="s">
        <v>111</v>
      </c>
      <c r="E6" s="36" t="s">
        <v>112</v>
      </c>
      <c r="F6" s="37"/>
      <c r="G6" s="37"/>
      <c r="H6" s="37"/>
      <c r="I6" s="38"/>
    </row>
    <row r="7">
      <c r="B7" s="17" t="s">
        <v>36</v>
      </c>
      <c r="C7" s="39" t="s">
        <v>153</v>
      </c>
      <c r="D7" s="40" t="s">
        <v>463</v>
      </c>
      <c r="E7" s="41" t="s">
        <v>123</v>
      </c>
    </row>
    <row r="8">
      <c r="B8" s="17" t="s">
        <v>37</v>
      </c>
      <c r="C8" s="69" t="s">
        <v>52</v>
      </c>
      <c r="D8" s="40" t="s">
        <v>130</v>
      </c>
      <c r="E8" s="41"/>
    </row>
    <row r="9">
      <c r="B9" s="17" t="s">
        <v>38</v>
      </c>
      <c r="C9" s="69" t="s">
        <v>86</v>
      </c>
      <c r="D9" s="40" t="s">
        <v>130</v>
      </c>
      <c r="E9" s="41" t="s">
        <v>465</v>
      </c>
    </row>
    <row r="10">
      <c r="B10" s="17" t="s">
        <v>466</v>
      </c>
      <c r="C10" s="69" t="s">
        <v>156</v>
      </c>
      <c r="D10" s="40" t="s">
        <v>130</v>
      </c>
      <c r="E10" s="41" t="s">
        <v>467</v>
      </c>
    </row>
    <row r="11">
      <c r="B11" s="17" t="s">
        <v>40</v>
      </c>
      <c r="C11" s="42">
        <v>4.0</v>
      </c>
      <c r="D11" s="40" t="s">
        <v>471</v>
      </c>
      <c r="E11" s="41" t="s">
        <v>473</v>
      </c>
    </row>
    <row r="12">
      <c r="B12" s="17" t="s">
        <v>139</v>
      </c>
      <c r="C12" s="42">
        <v>7.0</v>
      </c>
      <c r="D12" s="40" t="s">
        <v>78</v>
      </c>
      <c r="E12" s="41" t="s">
        <v>474</v>
      </c>
    </row>
    <row r="13">
      <c r="B13" s="17" t="s">
        <v>143</v>
      </c>
      <c r="C13" s="69" t="s">
        <v>98</v>
      </c>
      <c r="D13" s="40" t="s">
        <v>147</v>
      </c>
      <c r="E13" s="41" t="s">
        <v>148</v>
      </c>
    </row>
    <row r="14">
      <c r="B14" s="17" t="s">
        <v>149</v>
      </c>
      <c r="C14" s="69" t="s">
        <v>239</v>
      </c>
      <c r="D14" s="40" t="s">
        <v>147</v>
      </c>
      <c r="E14" s="41" t="s">
        <v>151</v>
      </c>
    </row>
    <row r="15">
      <c r="B15" s="17" t="s">
        <v>155</v>
      </c>
      <c r="C15" s="39" t="s">
        <v>241</v>
      </c>
      <c r="D15" s="49" t="s">
        <v>158</v>
      </c>
      <c r="E15" s="41" t="s">
        <v>475</v>
      </c>
    </row>
    <row r="16">
      <c r="B16" s="17" t="s">
        <v>161</v>
      </c>
      <c r="C16" s="69" t="s">
        <v>248</v>
      </c>
      <c r="D16" s="40" t="s">
        <v>147</v>
      </c>
      <c r="E16" s="41"/>
    </row>
    <row r="17">
      <c r="B17" s="17" t="s">
        <v>162</v>
      </c>
      <c r="C17" s="42" t="s">
        <v>249</v>
      </c>
      <c r="D17" s="40" t="s">
        <v>147</v>
      </c>
      <c r="E17" s="50" t="s">
        <v>476</v>
      </c>
    </row>
    <row r="18">
      <c r="B18" s="17" t="s">
        <v>164</v>
      </c>
      <c r="C18" s="39" t="s">
        <v>252</v>
      </c>
      <c r="D18" s="49" t="s">
        <v>165</v>
      </c>
      <c r="E18" s="41" t="s">
        <v>479</v>
      </c>
    </row>
    <row r="19">
      <c r="B19" s="17" t="s">
        <v>167</v>
      </c>
      <c r="C19" s="69" t="s">
        <v>481</v>
      </c>
      <c r="D19" s="40" t="s">
        <v>147</v>
      </c>
      <c r="E19" s="41"/>
    </row>
    <row r="20">
      <c r="B20" s="17" t="s">
        <v>485</v>
      </c>
      <c r="C20" s="42" t="s">
        <v>249</v>
      </c>
      <c r="D20" s="40" t="s">
        <v>147</v>
      </c>
      <c r="E20" s="50" t="s">
        <v>488</v>
      </c>
    </row>
    <row r="21" ht="15.75" customHeight="1"/>
    <row r="22" ht="21.75" customHeight="1">
      <c r="A22" s="33" t="s">
        <v>490</v>
      </c>
      <c r="B22" s="8"/>
      <c r="C22" s="8"/>
      <c r="D22" s="8"/>
      <c r="E22" s="8"/>
      <c r="F22" s="8"/>
      <c r="G22" s="8"/>
      <c r="H22" s="8"/>
      <c r="I22" s="7"/>
    </row>
    <row r="23" ht="21.75" customHeight="1">
      <c r="A23" s="51">
        <v>1.0</v>
      </c>
      <c r="B23" s="52" t="s">
        <v>494</v>
      </c>
      <c r="C23" s="53"/>
      <c r="D23" s="53"/>
      <c r="E23" s="54"/>
      <c r="F23" s="55" t="s">
        <v>178</v>
      </c>
      <c r="G23" s="71" t="s">
        <v>47</v>
      </c>
      <c r="H23" s="59" t="str">
        <f>IF(G23="",IF(COUNTA(C25:C27,B30:G37)&gt;0,"⚠ 상태 미선택(입력값 있음)","상태 미선택 → 미수집 간주"),IF(G23="값 있음",IF(COUNTA(C25:C27,B30:G37)=0,"⚠ 값 있음인데 입력값 없음","✓ 정상"),IF(COUNTA(C25:C27,B30:G37)&gt;0,"⚠ 상태와 입력값 불일치","✓ 정상")))</f>
        <v>✓ 정상</v>
      </c>
      <c r="I23" s="54"/>
    </row>
    <row r="24" ht="24.0" customHeight="1">
      <c r="B24" s="60" t="s">
        <v>512</v>
      </c>
    </row>
    <row r="25" ht="15.75" customHeight="1">
      <c r="B25" s="17" t="s">
        <v>514</v>
      </c>
      <c r="C25" s="42">
        <v>3.68</v>
      </c>
      <c r="D25" s="40" t="s">
        <v>516</v>
      </c>
      <c r="E25" s="41" t="s">
        <v>517</v>
      </c>
    </row>
    <row r="26" ht="15.75" customHeight="1">
      <c r="B26" s="17" t="s">
        <v>518</v>
      </c>
      <c r="C26" s="42">
        <v>3.75</v>
      </c>
      <c r="D26" s="40" t="s">
        <v>519</v>
      </c>
      <c r="E26" s="41" t="s">
        <v>520</v>
      </c>
    </row>
    <row r="27" ht="15.75" customHeight="1">
      <c r="B27" s="17" t="s">
        <v>191</v>
      </c>
      <c r="C27" s="42">
        <v>4.5</v>
      </c>
      <c r="D27" s="40" t="s">
        <v>78</v>
      </c>
      <c r="E27" s="41" t="s">
        <v>522</v>
      </c>
    </row>
    <row r="28" ht="15.75" customHeight="1">
      <c r="A28" s="62" t="s">
        <v>24</v>
      </c>
      <c r="B28" s="13" t="s">
        <v>193</v>
      </c>
      <c r="C28" s="13" t="s">
        <v>194</v>
      </c>
      <c r="D28" s="13" t="s">
        <v>195</v>
      </c>
      <c r="E28" s="13" t="s">
        <v>196</v>
      </c>
      <c r="F28" s="13" t="s">
        <v>197</v>
      </c>
      <c r="G28" s="13" t="s">
        <v>198</v>
      </c>
    </row>
    <row r="29" ht="25.5" customHeight="1">
      <c r="A29" s="63" t="s">
        <v>111</v>
      </c>
      <c r="B29" s="64" t="s">
        <v>529</v>
      </c>
      <c r="C29" s="63" t="s">
        <v>78</v>
      </c>
      <c r="D29" s="63" t="s">
        <v>78</v>
      </c>
      <c r="E29" s="63" t="s">
        <v>78</v>
      </c>
      <c r="F29" s="63" t="s">
        <v>78</v>
      </c>
      <c r="G29" s="63" t="s">
        <v>532</v>
      </c>
    </row>
    <row r="30" ht="15.75" customHeight="1">
      <c r="A30" s="65">
        <v>1.0</v>
      </c>
      <c r="B30" s="39" t="s">
        <v>301</v>
      </c>
      <c r="C30" s="42">
        <v>18.0</v>
      </c>
      <c r="D30" s="42">
        <v>18.0</v>
      </c>
      <c r="E30" s="42">
        <v>3.42</v>
      </c>
      <c r="F30" s="42">
        <v>3.5</v>
      </c>
      <c r="G30" s="42"/>
    </row>
    <row r="31" ht="15.75" customHeight="1">
      <c r="A31" s="65">
        <v>2.0</v>
      </c>
      <c r="B31" s="39" t="s">
        <v>302</v>
      </c>
      <c r="C31" s="42">
        <v>18.0</v>
      </c>
      <c r="D31" s="42">
        <v>18.0</v>
      </c>
      <c r="E31" s="42">
        <v>3.55</v>
      </c>
      <c r="F31" s="42">
        <v>3.6</v>
      </c>
      <c r="G31" s="42"/>
    </row>
    <row r="32" ht="15.75" customHeight="1">
      <c r="A32" s="65">
        <v>3.0</v>
      </c>
      <c r="B32" s="39" t="s">
        <v>303</v>
      </c>
      <c r="C32" s="42">
        <v>18.0</v>
      </c>
      <c r="D32" s="42">
        <v>18.0</v>
      </c>
      <c r="E32" s="42">
        <v>3.7</v>
      </c>
      <c r="F32" s="42">
        <v>3.72</v>
      </c>
      <c r="G32" s="42"/>
    </row>
    <row r="33" ht="15.75" customHeight="1">
      <c r="A33" s="65">
        <v>4.0</v>
      </c>
      <c r="B33" s="39" t="s">
        <v>304</v>
      </c>
      <c r="C33" s="42">
        <v>18.0</v>
      </c>
      <c r="D33" s="42">
        <v>18.0</v>
      </c>
      <c r="E33" s="42">
        <v>3.66</v>
      </c>
      <c r="F33" s="42">
        <v>3.8</v>
      </c>
      <c r="G33" s="42"/>
    </row>
    <row r="34" ht="15.75" customHeight="1">
      <c r="A34" s="65">
        <v>5.0</v>
      </c>
      <c r="B34" s="39" t="s">
        <v>305</v>
      </c>
      <c r="C34" s="42">
        <v>19.0</v>
      </c>
      <c r="D34" s="42">
        <v>19.0</v>
      </c>
      <c r="E34" s="42">
        <v>3.81</v>
      </c>
      <c r="F34" s="42">
        <v>3.85</v>
      </c>
      <c r="G34" s="42"/>
    </row>
    <row r="35" ht="15.75" customHeight="1">
      <c r="A35" s="65">
        <v>6.0</v>
      </c>
      <c r="B35" s="39" t="s">
        <v>306</v>
      </c>
      <c r="C35" s="42">
        <v>18.0</v>
      </c>
      <c r="D35" s="42">
        <v>18.0</v>
      </c>
      <c r="E35" s="42">
        <v>3.79</v>
      </c>
      <c r="F35" s="42">
        <v>3.88</v>
      </c>
      <c r="G35" s="42"/>
    </row>
    <row r="36" ht="15.75" customHeight="1">
      <c r="A36" s="65">
        <v>7.0</v>
      </c>
      <c r="B36" s="39" t="s">
        <v>307</v>
      </c>
      <c r="C36" s="42">
        <v>15.0</v>
      </c>
      <c r="D36" s="42">
        <v>15.0</v>
      </c>
      <c r="E36" s="42">
        <v>3.9</v>
      </c>
      <c r="F36" s="42">
        <v>3.95</v>
      </c>
      <c r="G36" s="42"/>
    </row>
    <row r="37" ht="15.75" customHeight="1">
      <c r="A37" s="65">
        <v>8.0</v>
      </c>
      <c r="B37" s="39"/>
      <c r="C37" s="42"/>
      <c r="D37" s="42"/>
      <c r="E37" s="42"/>
      <c r="F37" s="42"/>
      <c r="G37" s="42"/>
    </row>
    <row r="38" ht="15.75" customHeight="1"/>
    <row r="39" ht="21.75" customHeight="1">
      <c r="A39" s="51">
        <v>2.0</v>
      </c>
      <c r="B39" s="52" t="s">
        <v>127</v>
      </c>
      <c r="C39" s="53"/>
      <c r="D39" s="53"/>
      <c r="E39" s="54"/>
      <c r="F39" s="55" t="s">
        <v>178</v>
      </c>
      <c r="G39" s="71" t="s">
        <v>47</v>
      </c>
      <c r="H39" s="59" t="str">
        <f>IF(G39="",IF(COUNTA(B43:G47)&gt;0,"⚠ 상태 미선택(입력값 있음)","상태 미선택 → 미수집 간주"),IF(G39="값 있음",IF(COUNTA(B43:G47)=0,"⚠ 값 있음인데 입력값 없음","✓ 정상"),IF(COUNTA(B43:G47)&gt;0,"⚠ 상태와 입력값 불일치","✓ 정상")))</f>
        <v>✓ 정상</v>
      </c>
      <c r="I39" s="54"/>
    </row>
    <row r="40" ht="24.0" customHeight="1">
      <c r="B40" s="60" t="s">
        <v>567</v>
      </c>
    </row>
    <row r="41" ht="15.75" customHeight="1">
      <c r="A41" s="62" t="s">
        <v>24</v>
      </c>
      <c r="B41" s="13" t="s">
        <v>215</v>
      </c>
      <c r="C41" s="13" t="s">
        <v>193</v>
      </c>
      <c r="D41" s="13" t="s">
        <v>216</v>
      </c>
      <c r="E41" s="13" t="s">
        <v>217</v>
      </c>
      <c r="F41" s="13" t="s">
        <v>571</v>
      </c>
      <c r="G41" s="13" t="s">
        <v>198</v>
      </c>
    </row>
    <row r="42" ht="37.5" customHeight="1">
      <c r="A42" s="63" t="s">
        <v>111</v>
      </c>
      <c r="B42" s="63" t="s">
        <v>130</v>
      </c>
      <c r="C42" s="64" t="s">
        <v>572</v>
      </c>
      <c r="D42" s="64" t="s">
        <v>573</v>
      </c>
      <c r="E42" s="64" t="s">
        <v>222</v>
      </c>
      <c r="F42" s="63" t="s">
        <v>575</v>
      </c>
      <c r="G42" s="63" t="s">
        <v>130</v>
      </c>
    </row>
    <row r="43" ht="15.75" customHeight="1">
      <c r="A43" s="65">
        <v>1.0</v>
      </c>
      <c r="B43" s="69" t="s">
        <v>576</v>
      </c>
      <c r="C43" s="39" t="s">
        <v>303</v>
      </c>
      <c r="D43" s="69" t="s">
        <v>338</v>
      </c>
      <c r="E43" s="42" t="s">
        <v>340</v>
      </c>
      <c r="F43" s="42">
        <v>96.0</v>
      </c>
      <c r="G43" s="42"/>
    </row>
    <row r="44" ht="15.75" customHeight="1">
      <c r="A44" s="65">
        <v>2.0</v>
      </c>
      <c r="B44" s="69" t="s">
        <v>578</v>
      </c>
      <c r="C44" s="39" t="s">
        <v>305</v>
      </c>
      <c r="D44" s="69" t="s">
        <v>579</v>
      </c>
      <c r="E44" s="42" t="s">
        <v>580</v>
      </c>
      <c r="F44" s="42">
        <v>85.0</v>
      </c>
      <c r="G44" s="42"/>
    </row>
    <row r="45" ht="15.75" customHeight="1">
      <c r="A45" s="65">
        <v>3.0</v>
      </c>
      <c r="B45" s="69" t="s">
        <v>581</v>
      </c>
      <c r="C45" s="39" t="s">
        <v>306</v>
      </c>
      <c r="D45" s="42" t="s">
        <v>582</v>
      </c>
      <c r="E45" s="42" t="s">
        <v>345</v>
      </c>
      <c r="F45" s="42">
        <v>92.0</v>
      </c>
      <c r="G45" s="42"/>
    </row>
    <row r="46" ht="15.75" customHeight="1">
      <c r="A46" s="65">
        <v>4.0</v>
      </c>
      <c r="B46" s="42"/>
      <c r="C46" s="39"/>
      <c r="D46" s="42"/>
      <c r="E46" s="42"/>
      <c r="F46" s="42"/>
      <c r="G46" s="42"/>
    </row>
    <row r="47" ht="15.75" customHeight="1">
      <c r="A47" s="65">
        <v>5.0</v>
      </c>
      <c r="B47" s="42"/>
      <c r="C47" s="39"/>
      <c r="D47" s="42"/>
      <c r="E47" s="42"/>
      <c r="F47" s="42"/>
      <c r="G47" s="42"/>
    </row>
    <row r="48" ht="15.75" customHeight="1"/>
    <row r="49" ht="21.75" customHeight="1">
      <c r="A49" s="51">
        <v>3.0</v>
      </c>
      <c r="B49" s="52" t="s">
        <v>586</v>
      </c>
      <c r="C49" s="53"/>
      <c r="D49" s="53"/>
      <c r="E49" s="54"/>
      <c r="F49" s="55" t="s">
        <v>178</v>
      </c>
      <c r="G49" s="71" t="s">
        <v>47</v>
      </c>
      <c r="H49" s="59" t="str">
        <f>IF(G49="",IF(COUNTA(C51:C52,B55:E58)&gt;0,"⚠ 상태 미선택(입력값 있음)","상태 미선택 → 미수집 간주"),IF(G49="값 있음",IF(COUNTA(C51:C52,B55:E58)=0,"⚠ 값 있음인데 입력값 없음","✓ 정상"),IF(COUNTA(C51:C52,B55:E58)&gt;0,"⚠ 상태와 입력값 불일치","✓ 정상")))</f>
        <v>✓ 정상</v>
      </c>
      <c r="I49" s="54"/>
    </row>
    <row r="50" ht="24.0" customHeight="1">
      <c r="B50" s="60" t="s">
        <v>596</v>
      </c>
    </row>
    <row r="51" ht="15.75" customHeight="1">
      <c r="B51" s="17" t="s">
        <v>253</v>
      </c>
      <c r="C51" s="42">
        <v>124.0</v>
      </c>
      <c r="D51" s="40" t="s">
        <v>78</v>
      </c>
      <c r="E51" s="41" t="s">
        <v>598</v>
      </c>
    </row>
    <row r="52" ht="15.75" customHeight="1">
      <c r="B52" s="17" t="s">
        <v>259</v>
      </c>
      <c r="C52" s="42">
        <v>4.0</v>
      </c>
      <c r="D52" s="40" t="s">
        <v>78</v>
      </c>
      <c r="E52" s="41" t="s">
        <v>601</v>
      </c>
    </row>
    <row r="53" ht="15.75" customHeight="1">
      <c r="A53" s="62" t="s">
        <v>24</v>
      </c>
      <c r="B53" s="13" t="s">
        <v>263</v>
      </c>
      <c r="C53" s="13" t="s">
        <v>264</v>
      </c>
      <c r="D53" s="13" t="s">
        <v>265</v>
      </c>
      <c r="E53" s="13" t="s">
        <v>266</v>
      </c>
    </row>
    <row r="54" ht="25.5" customHeight="1">
      <c r="A54" s="63" t="s">
        <v>111</v>
      </c>
      <c r="B54" s="64" t="s">
        <v>603</v>
      </c>
      <c r="C54" s="63" t="s">
        <v>130</v>
      </c>
      <c r="D54" s="64" t="s">
        <v>604</v>
      </c>
      <c r="E54" s="63" t="s">
        <v>78</v>
      </c>
    </row>
    <row r="55" ht="15.75" customHeight="1">
      <c r="A55" s="65">
        <v>1.0</v>
      </c>
      <c r="B55" s="69" t="s">
        <v>369</v>
      </c>
      <c r="C55" s="69" t="s">
        <v>605</v>
      </c>
      <c r="D55" s="69" t="s">
        <v>370</v>
      </c>
      <c r="E55" s="42">
        <v>106.0</v>
      </c>
    </row>
    <row r="56" ht="15.75" customHeight="1">
      <c r="A56" s="65">
        <v>2.0</v>
      </c>
      <c r="B56" s="69" t="s">
        <v>607</v>
      </c>
      <c r="C56" s="69" t="s">
        <v>609</v>
      </c>
      <c r="D56" s="69" t="s">
        <v>370</v>
      </c>
      <c r="E56" s="42">
        <v>15.0</v>
      </c>
    </row>
    <row r="57" ht="15.75" customHeight="1">
      <c r="A57" s="65">
        <v>3.0</v>
      </c>
      <c r="B57" s="69"/>
      <c r="C57" s="42"/>
      <c r="D57" s="69"/>
      <c r="E57" s="42"/>
    </row>
    <row r="58" ht="15.75" customHeight="1">
      <c r="A58" s="65">
        <v>4.0</v>
      </c>
      <c r="B58" s="69"/>
      <c r="C58" s="42"/>
      <c r="D58" s="69"/>
      <c r="E58" s="42"/>
    </row>
    <row r="59" ht="15.75" customHeight="1"/>
    <row r="60" ht="21.75" customHeight="1">
      <c r="A60" s="70">
        <v>4.0</v>
      </c>
      <c r="B60" s="72" t="s">
        <v>180</v>
      </c>
      <c r="C60" s="53"/>
      <c r="D60" s="53"/>
      <c r="E60" s="54"/>
      <c r="F60" s="73" t="s">
        <v>178</v>
      </c>
      <c r="G60" s="71" t="s">
        <v>47</v>
      </c>
      <c r="H60" s="74" t="str">
        <f>IF(G60="",IF(COUNTA(C62:C64)&gt;0,"⚠ 상태 미선택(입력값 있음)","상태 미선택 → 미수집 간주"),IF(G60="값 있음",IF(COUNTA(C62:C64)=0,"⚠ 값 있음인데 입력값 없음","✓ 정상"),IF(COUNTA(C62:C64)&gt;0,"⚠ 상태와 입력값 불일치","✓ 정상")))</f>
        <v>✓ 정상</v>
      </c>
      <c r="I60" s="54"/>
    </row>
    <row r="61" ht="24.0" customHeight="1">
      <c r="B61" s="60" t="s">
        <v>626</v>
      </c>
    </row>
    <row r="62" ht="15.75" customHeight="1">
      <c r="B62" s="17" t="s">
        <v>280</v>
      </c>
      <c r="C62" s="69" t="s">
        <v>389</v>
      </c>
      <c r="D62" s="40" t="s">
        <v>147</v>
      </c>
      <c r="E62" s="41" t="s">
        <v>627</v>
      </c>
    </row>
    <row r="63" ht="15.75" customHeight="1">
      <c r="B63" s="17" t="s">
        <v>285</v>
      </c>
      <c r="C63" s="69" t="s">
        <v>628</v>
      </c>
      <c r="D63" s="40" t="s">
        <v>130</v>
      </c>
      <c r="E63" s="41" t="s">
        <v>629</v>
      </c>
    </row>
    <row r="64" ht="15.75" customHeight="1">
      <c r="B64" s="17" t="s">
        <v>265</v>
      </c>
      <c r="C64" s="69" t="s">
        <v>370</v>
      </c>
      <c r="D64" s="40" t="s">
        <v>147</v>
      </c>
      <c r="E64" s="50" t="s">
        <v>632</v>
      </c>
    </row>
    <row r="65" ht="15.75" customHeight="1"/>
    <row r="66" ht="21.75" customHeight="1">
      <c r="A66" s="33" t="s">
        <v>635</v>
      </c>
      <c r="B66" s="8"/>
      <c r="C66" s="8"/>
      <c r="D66" s="8"/>
      <c r="E66" s="8"/>
      <c r="F66" s="8"/>
      <c r="G66" s="8"/>
      <c r="H66" s="8"/>
      <c r="I66" s="7"/>
    </row>
    <row r="67" ht="21.75" customHeight="1">
      <c r="A67" s="51">
        <v>5.0</v>
      </c>
      <c r="B67" s="75" t="s">
        <v>643</v>
      </c>
      <c r="C67" s="53"/>
      <c r="D67" s="53"/>
      <c r="E67" s="54"/>
      <c r="F67" s="55" t="s">
        <v>178</v>
      </c>
      <c r="G67" s="71" t="s">
        <v>47</v>
      </c>
      <c r="H67" s="59" t="str">
        <f>IF(G67="",IF(COUNTA(C69:C74)&gt;0,"⚠ 상태 미선택(입력값 있음)","상태 미선택 → 미수집 간주"),IF(G67="값 있음",IF(COUNTA(C69:C74)=0,"⚠ 값 있음인데 입력값 없음","✓ 정상"),IF(COUNTA(C69:C74)&gt;0,"⚠ 상태와 입력값 불일치","✓ 정상")))</f>
        <v>✓ 정상</v>
      </c>
      <c r="I67" s="54"/>
    </row>
    <row r="68" ht="24.0" customHeight="1">
      <c r="B68" s="60" t="s">
        <v>651</v>
      </c>
    </row>
    <row r="69" ht="15.75" customHeight="1">
      <c r="B69" s="17" t="s">
        <v>310</v>
      </c>
      <c r="C69" s="42" t="s">
        <v>652</v>
      </c>
      <c r="D69" s="40" t="s">
        <v>130</v>
      </c>
      <c r="E69" s="41" t="s">
        <v>653</v>
      </c>
    </row>
    <row r="70" ht="15.75" customHeight="1">
      <c r="B70" s="17" t="s">
        <v>654</v>
      </c>
      <c r="C70" s="42">
        <v>94.0</v>
      </c>
      <c r="D70" s="40" t="s">
        <v>657</v>
      </c>
      <c r="E70" s="50" t="s">
        <v>659</v>
      </c>
    </row>
    <row r="71" ht="15.75" customHeight="1">
      <c r="B71" s="17" t="s">
        <v>662</v>
      </c>
      <c r="C71" s="42">
        <v>96.0</v>
      </c>
      <c r="D71" s="40" t="s">
        <v>664</v>
      </c>
      <c r="E71" s="50" t="s">
        <v>665</v>
      </c>
    </row>
    <row r="72" ht="15.75" customHeight="1">
      <c r="B72" s="17" t="s">
        <v>320</v>
      </c>
      <c r="C72" s="42">
        <v>7.2</v>
      </c>
      <c r="D72" s="40" t="s">
        <v>78</v>
      </c>
      <c r="E72" s="41" t="s">
        <v>669</v>
      </c>
    </row>
    <row r="73" ht="15.75" customHeight="1">
      <c r="B73" s="17" t="s">
        <v>671</v>
      </c>
      <c r="C73" s="42">
        <v>41.0</v>
      </c>
      <c r="D73" s="40" t="s">
        <v>78</v>
      </c>
      <c r="E73" s="41" t="s">
        <v>323</v>
      </c>
    </row>
    <row r="74" ht="15.75" customHeight="1">
      <c r="B74" s="17" t="s">
        <v>674</v>
      </c>
      <c r="C74" s="42">
        <v>80.0</v>
      </c>
      <c r="D74" s="40" t="s">
        <v>676</v>
      </c>
      <c r="E74" s="41"/>
    </row>
    <row r="75" ht="15.75" customHeight="1"/>
    <row r="76" ht="21.75" customHeight="1">
      <c r="A76" s="51">
        <v>6.0</v>
      </c>
      <c r="B76" s="52" t="s">
        <v>679</v>
      </c>
      <c r="C76" s="53"/>
      <c r="D76" s="53"/>
      <c r="E76" s="54"/>
      <c r="F76" s="55" t="s">
        <v>178</v>
      </c>
      <c r="G76" s="71" t="s">
        <v>47</v>
      </c>
      <c r="H76" s="59" t="str">
        <f>IF(G76="",IF(COUNTA(C78:C81)&gt;0,"⚠ 상태 미선택(입력값 있음)","상태 미선택 → 미수집 간주"),IF(G76="값 있음",IF(COUNTA(C78:C81)=0,"⚠ 값 있음인데 입력값 없음","✓ 정상"),IF(COUNTA(C78:C81)&gt;0,"⚠ 상태와 입력값 불일치","✓ 정상")))</f>
        <v>✓ 정상</v>
      </c>
      <c r="I76" s="54"/>
    </row>
    <row r="77" ht="24.0" customHeight="1">
      <c r="B77" s="60" t="s">
        <v>691</v>
      </c>
    </row>
    <row r="78" ht="15.75" customHeight="1">
      <c r="B78" s="17" t="s">
        <v>310</v>
      </c>
      <c r="C78" s="69" t="s">
        <v>693</v>
      </c>
      <c r="D78" s="40" t="s">
        <v>130</v>
      </c>
      <c r="E78" s="41" t="s">
        <v>694</v>
      </c>
    </row>
    <row r="79" ht="15.75" customHeight="1">
      <c r="B79" s="17" t="s">
        <v>696</v>
      </c>
      <c r="C79" s="42">
        <v>3.0</v>
      </c>
      <c r="D79" s="40" t="s">
        <v>78</v>
      </c>
      <c r="E79" s="41"/>
    </row>
    <row r="80" ht="15.75" customHeight="1">
      <c r="B80" s="17" t="s">
        <v>701</v>
      </c>
      <c r="C80" s="42">
        <v>2.0</v>
      </c>
      <c r="D80" s="40" t="s">
        <v>78</v>
      </c>
      <c r="E80" s="41"/>
    </row>
    <row r="81" ht="15.75" customHeight="1">
      <c r="B81" s="17" t="s">
        <v>341</v>
      </c>
      <c r="C81" s="69" t="s">
        <v>704</v>
      </c>
      <c r="D81" s="40" t="s">
        <v>130</v>
      </c>
      <c r="E81" s="41" t="s">
        <v>343</v>
      </c>
    </row>
    <row r="82" ht="15.75" customHeight="1"/>
    <row r="83" ht="21.75" customHeight="1">
      <c r="A83" s="76">
        <v>7.0</v>
      </c>
      <c r="B83" s="77" t="s">
        <v>708</v>
      </c>
      <c r="C83" s="53"/>
      <c r="D83" s="53"/>
      <c r="E83" s="54"/>
      <c r="F83" s="78" t="s">
        <v>178</v>
      </c>
      <c r="G83" s="71" t="s">
        <v>47</v>
      </c>
      <c r="H83" s="79" t="str">
        <f>IF(G83="",IF(COUNTA(C85:C88)&gt;0,"⚠ 상태 미선택(입력값 있음)","상태 미선택 → 미수집 간주"),IF(G83="값 있음",IF(COUNTA(C85:C88)=0,"⚠ 값 있음인데 입력값 없음","✓ 정상"),IF(COUNTA(C85:C88)&gt;0,"⚠ 상태와 입력값 불일치","✓ 정상")))</f>
        <v>✓ 정상</v>
      </c>
      <c r="I83" s="54"/>
    </row>
    <row r="84" ht="15.0" customHeight="1">
      <c r="B84" s="60" t="s">
        <v>720</v>
      </c>
    </row>
    <row r="85" ht="15.75" customHeight="1">
      <c r="B85" s="17" t="s">
        <v>310</v>
      </c>
      <c r="C85" s="42" t="s">
        <v>722</v>
      </c>
      <c r="D85" s="40" t="s">
        <v>130</v>
      </c>
      <c r="E85" s="41" t="s">
        <v>723</v>
      </c>
    </row>
    <row r="86" ht="15.75" customHeight="1">
      <c r="B86" s="17" t="s">
        <v>356</v>
      </c>
      <c r="C86" s="42">
        <v>4.0</v>
      </c>
      <c r="D86" s="40" t="s">
        <v>78</v>
      </c>
      <c r="E86" s="41"/>
    </row>
    <row r="87" ht="15.75" customHeight="1">
      <c r="B87" s="17" t="s">
        <v>360</v>
      </c>
      <c r="C87" s="42">
        <v>18.0</v>
      </c>
      <c r="D87" s="40" t="s">
        <v>78</v>
      </c>
      <c r="E87" s="41"/>
    </row>
    <row r="88" ht="15.75" customHeight="1">
      <c r="B88" s="17" t="s">
        <v>361</v>
      </c>
      <c r="C88" s="42">
        <v>6.0</v>
      </c>
      <c r="D88" s="40" t="s">
        <v>78</v>
      </c>
      <c r="E88" s="41"/>
    </row>
    <row r="89" ht="15.75" customHeight="1"/>
    <row r="90" ht="21.75" customHeight="1">
      <c r="A90" s="33" t="s">
        <v>728</v>
      </c>
      <c r="B90" s="8"/>
      <c r="C90" s="8"/>
      <c r="D90" s="8"/>
      <c r="E90" s="8"/>
      <c r="F90" s="8"/>
      <c r="G90" s="8"/>
      <c r="H90" s="8"/>
      <c r="I90" s="7"/>
    </row>
    <row r="91" ht="21.75" customHeight="1">
      <c r="A91" s="51">
        <v>8.0</v>
      </c>
      <c r="B91" s="52" t="s">
        <v>731</v>
      </c>
      <c r="C91" s="53"/>
      <c r="D91" s="53"/>
      <c r="E91" s="54"/>
      <c r="F91" s="55" t="s">
        <v>178</v>
      </c>
      <c r="G91" s="71" t="s">
        <v>47</v>
      </c>
      <c r="H91" s="59" t="str">
        <f>IF(G91="",IF(COUNTA(B95:H98)&gt;0,"⚠ 상태 미선택(입력값 있음)","상태 미선택 → 미수집 간주"),IF(G91="값 있음",IF(COUNTA(B95:H98)=0,"⚠ 값 있음인데 입력값 없음","✓ 정상"),IF(COUNTA(B95:H98)&gt;0,"⚠ 상태와 입력값 불일치","✓ 정상")))</f>
        <v>✓ 정상</v>
      </c>
      <c r="I91" s="54"/>
    </row>
    <row r="92" ht="24.0" customHeight="1">
      <c r="B92" s="60" t="s">
        <v>741</v>
      </c>
    </row>
    <row r="93" ht="15.75" customHeight="1">
      <c r="A93" s="62" t="s">
        <v>24</v>
      </c>
      <c r="B93" s="13" t="s">
        <v>377</v>
      </c>
      <c r="C93" s="13" t="s">
        <v>745</v>
      </c>
      <c r="D93" s="13" t="s">
        <v>379</v>
      </c>
      <c r="E93" s="13" t="s">
        <v>380</v>
      </c>
      <c r="F93" s="13" t="s">
        <v>381</v>
      </c>
      <c r="G93" s="13" t="s">
        <v>746</v>
      </c>
      <c r="H93" s="13" t="s">
        <v>383</v>
      </c>
    </row>
    <row r="94" ht="25.5" customHeight="1">
      <c r="A94" s="63" t="s">
        <v>111</v>
      </c>
      <c r="B94" s="64" t="s">
        <v>747</v>
      </c>
      <c r="C94" s="63" t="s">
        <v>749</v>
      </c>
      <c r="D94" s="63" t="s">
        <v>130</v>
      </c>
      <c r="E94" s="64" t="s">
        <v>158</v>
      </c>
      <c r="F94" s="64" t="s">
        <v>750</v>
      </c>
      <c r="G94" s="63" t="s">
        <v>78</v>
      </c>
      <c r="H94" s="63" t="s">
        <v>130</v>
      </c>
    </row>
    <row r="95" ht="15.75" customHeight="1">
      <c r="A95" s="65">
        <v>1.0</v>
      </c>
      <c r="B95" s="69" t="s">
        <v>497</v>
      </c>
      <c r="C95" s="69" t="s">
        <v>758</v>
      </c>
      <c r="D95" s="69" t="s">
        <v>760</v>
      </c>
      <c r="E95" s="39" t="s">
        <v>761</v>
      </c>
      <c r="F95" s="81" t="s">
        <v>763</v>
      </c>
      <c r="G95" s="42">
        <v>13.0</v>
      </c>
      <c r="H95" s="69" t="s">
        <v>769</v>
      </c>
    </row>
    <row r="96" ht="15.75" customHeight="1">
      <c r="A96" s="65">
        <v>2.0</v>
      </c>
      <c r="B96" s="69"/>
      <c r="C96" s="42"/>
      <c r="D96" s="42"/>
      <c r="E96" s="39"/>
      <c r="F96" s="39"/>
      <c r="G96" s="42"/>
      <c r="H96" s="42"/>
    </row>
    <row r="97" ht="15.75" customHeight="1">
      <c r="A97" s="65">
        <v>3.0</v>
      </c>
      <c r="B97" s="69"/>
      <c r="C97" s="42"/>
      <c r="D97" s="42"/>
      <c r="E97" s="39"/>
      <c r="F97" s="39"/>
      <c r="G97" s="42"/>
      <c r="H97" s="42"/>
    </row>
    <row r="98" ht="15.75" customHeight="1">
      <c r="A98" s="65">
        <v>4.0</v>
      </c>
      <c r="B98" s="69"/>
      <c r="C98" s="42"/>
      <c r="D98" s="42"/>
      <c r="E98" s="39"/>
      <c r="F98" s="39"/>
      <c r="G98" s="42"/>
      <c r="H98" s="42"/>
    </row>
    <row r="99" ht="15.75" customHeight="1"/>
    <row r="100" ht="21.75" customHeight="1">
      <c r="A100" s="51">
        <v>9.0</v>
      </c>
      <c r="B100" s="52" t="s">
        <v>777</v>
      </c>
      <c r="C100" s="53"/>
      <c r="D100" s="53"/>
      <c r="E100" s="54"/>
      <c r="F100" s="55" t="s">
        <v>178</v>
      </c>
      <c r="G100" s="71" t="s">
        <v>47</v>
      </c>
      <c r="H100" s="59" t="str">
        <f>IF(G100="",IF(COUNTA(B104:G106)&gt;0,"⚠ 상태 미선택(입력값 있음)","상태 미선택 → 미수집 간주"),IF(G100="값 있음",IF(COUNTA(B104:G106)=0,"⚠ 값 있음인데 입력값 없음","✓ 정상"),IF(COUNTA(B104:G106)&gt;0,"⚠ 상태와 입력값 불일치","✓ 정상")))</f>
        <v>✓ 정상</v>
      </c>
      <c r="I100" s="54"/>
    </row>
    <row r="101" ht="24.0" customHeight="1">
      <c r="B101" s="60" t="s">
        <v>782</v>
      </c>
    </row>
    <row r="102" ht="15.75" customHeight="1">
      <c r="A102" s="62" t="s">
        <v>24</v>
      </c>
      <c r="B102" s="13" t="s">
        <v>400</v>
      </c>
      <c r="C102" s="13" t="s">
        <v>401</v>
      </c>
      <c r="D102" s="13" t="s">
        <v>402</v>
      </c>
      <c r="E102" s="13" t="s">
        <v>403</v>
      </c>
      <c r="F102" s="13" t="s">
        <v>404</v>
      </c>
      <c r="G102" s="13" t="s">
        <v>785</v>
      </c>
    </row>
    <row r="103" ht="37.5" customHeight="1">
      <c r="A103" s="63" t="s">
        <v>111</v>
      </c>
      <c r="B103" s="64" t="s">
        <v>787</v>
      </c>
      <c r="C103" s="63" t="s">
        <v>130</v>
      </c>
      <c r="D103" s="64" t="s">
        <v>789</v>
      </c>
      <c r="E103" s="64" t="s">
        <v>791</v>
      </c>
      <c r="F103" s="64" t="s">
        <v>792</v>
      </c>
      <c r="G103" s="64" t="s">
        <v>158</v>
      </c>
    </row>
    <row r="104" ht="15.75" customHeight="1">
      <c r="A104" s="65">
        <v>1.0</v>
      </c>
      <c r="B104" s="69" t="s">
        <v>546</v>
      </c>
      <c r="C104" s="42" t="s">
        <v>795</v>
      </c>
      <c r="D104" s="69" t="s">
        <v>548</v>
      </c>
      <c r="E104" s="69" t="s">
        <v>543</v>
      </c>
      <c r="F104" s="69" t="s">
        <v>798</v>
      </c>
      <c r="G104" s="39" t="s">
        <v>501</v>
      </c>
    </row>
    <row r="105" ht="15.75" customHeight="1">
      <c r="A105" s="65">
        <v>2.0</v>
      </c>
      <c r="B105" s="69"/>
      <c r="C105" s="42"/>
      <c r="D105" s="69"/>
      <c r="E105" s="69"/>
      <c r="F105" s="69"/>
      <c r="G105" s="39"/>
    </row>
    <row r="106" ht="15.75" customHeight="1">
      <c r="A106" s="65">
        <v>3.0</v>
      </c>
      <c r="B106" s="69"/>
      <c r="C106" s="42"/>
      <c r="D106" s="69"/>
      <c r="E106" s="69"/>
      <c r="F106" s="69"/>
      <c r="G106" s="39"/>
    </row>
    <row r="107" ht="15.75" customHeight="1"/>
    <row r="108" ht="21.75" customHeight="1">
      <c r="A108" s="70">
        <v>10.0</v>
      </c>
      <c r="B108" s="80" t="s">
        <v>806</v>
      </c>
      <c r="C108" s="53"/>
      <c r="D108" s="53"/>
      <c r="E108" s="54"/>
      <c r="F108" s="73" t="s">
        <v>178</v>
      </c>
      <c r="G108" s="71" t="s">
        <v>49</v>
      </c>
      <c r="H108" s="74" t="str">
        <f>IF(G108="",IF(COUNTA(B112:E114)&gt;0,"⚠ 상태 미선택(입력값 있음)","상태 미선택 → 미수집 간주"),IF(G108="값 있음",IF(COUNTA(B112:E114)=0,"⚠ 값 있음인데 입력값 없음","✓ 정상"),IF(COUNTA(B112:E114)&gt;0,"⚠ 상태와 입력값 불일치","✓ 정상")))</f>
        <v>✓ 정상</v>
      </c>
      <c r="I108" s="54"/>
    </row>
    <row r="109" ht="24.0" customHeight="1">
      <c r="B109" s="60" t="s">
        <v>816</v>
      </c>
    </row>
    <row r="110" ht="15.75" customHeight="1">
      <c r="A110" s="62" t="s">
        <v>24</v>
      </c>
      <c r="B110" s="13" t="s">
        <v>215</v>
      </c>
      <c r="C110" s="13" t="s">
        <v>193</v>
      </c>
      <c r="D110" s="13" t="s">
        <v>818</v>
      </c>
      <c r="E110" s="13" t="s">
        <v>430</v>
      </c>
    </row>
    <row r="111" ht="25.5" customHeight="1">
      <c r="A111" s="63" t="s">
        <v>111</v>
      </c>
      <c r="B111" s="63" t="s">
        <v>130</v>
      </c>
      <c r="C111" s="64" t="s">
        <v>820</v>
      </c>
      <c r="D111" s="63" t="s">
        <v>78</v>
      </c>
      <c r="E111" s="63" t="s">
        <v>130</v>
      </c>
    </row>
    <row r="112" ht="15.75" customHeight="1">
      <c r="A112" s="65">
        <v>1.0</v>
      </c>
      <c r="B112" s="42"/>
      <c r="C112" s="39"/>
      <c r="D112" s="42"/>
      <c r="E112" s="42"/>
    </row>
    <row r="113" ht="15.75" customHeight="1">
      <c r="A113" s="65">
        <v>2.0</v>
      </c>
      <c r="B113" s="42"/>
      <c r="C113" s="39"/>
      <c r="D113" s="42"/>
      <c r="E113" s="42"/>
    </row>
    <row r="114" ht="15.75" customHeight="1">
      <c r="A114" s="65">
        <v>3.0</v>
      </c>
      <c r="B114" s="42"/>
      <c r="C114" s="39"/>
      <c r="D114" s="42"/>
      <c r="E114" s="42"/>
    </row>
    <row r="115" ht="15.75" customHeight="1"/>
    <row r="116" ht="21.75" customHeight="1">
      <c r="A116" s="33" t="s">
        <v>824</v>
      </c>
      <c r="B116" s="8"/>
      <c r="C116" s="8"/>
      <c r="D116" s="8"/>
      <c r="E116" s="8"/>
      <c r="F116" s="8"/>
      <c r="G116" s="8"/>
      <c r="H116" s="8"/>
      <c r="I116" s="7"/>
    </row>
    <row r="117" ht="21.75" customHeight="1">
      <c r="A117" s="51">
        <v>11.0</v>
      </c>
      <c r="B117" s="52" t="s">
        <v>828</v>
      </c>
      <c r="C117" s="53"/>
      <c r="D117" s="53"/>
      <c r="E117" s="54"/>
      <c r="F117" s="55" t="s">
        <v>178</v>
      </c>
      <c r="G117" s="71" t="s">
        <v>47</v>
      </c>
      <c r="H117" s="59" t="str">
        <f>IF(G117="",IF(COUNTA(B121:I123)&gt;0,"⚠ 상태 미선택(입력값 있음)","상태 미선택 → 미수집 간주"),IF(G117="값 있음",IF(COUNTA(B121:I123)=0,"⚠ 값 있음인데 입력값 없음","✓ 정상"),IF(COUNTA(B121:I123)&gt;0,"⚠ 상태와 입력값 불일치","✓ 정상")))</f>
        <v>✓ 정상</v>
      </c>
      <c r="I117" s="54"/>
    </row>
    <row r="118" ht="24.0" customHeight="1">
      <c r="B118" s="60" t="s">
        <v>835</v>
      </c>
    </row>
    <row r="119" ht="15.75" customHeight="1">
      <c r="A119" s="62" t="s">
        <v>24</v>
      </c>
      <c r="B119" s="13" t="s">
        <v>400</v>
      </c>
      <c r="C119" s="13" t="s">
        <v>450</v>
      </c>
      <c r="D119" s="13" t="s">
        <v>836</v>
      </c>
      <c r="E119" s="13" t="s">
        <v>380</v>
      </c>
      <c r="F119" s="13" t="s">
        <v>381</v>
      </c>
      <c r="G119" s="13" t="s">
        <v>837</v>
      </c>
      <c r="H119" s="13" t="s">
        <v>454</v>
      </c>
      <c r="I119" s="62" t="s">
        <v>838</v>
      </c>
    </row>
    <row r="120" ht="25.5" customHeight="1">
      <c r="A120" s="63" t="s">
        <v>111</v>
      </c>
      <c r="B120" s="64" t="s">
        <v>840</v>
      </c>
      <c r="C120" s="63" t="s">
        <v>130</v>
      </c>
      <c r="D120" s="63" t="s">
        <v>130</v>
      </c>
      <c r="E120" s="64" t="s">
        <v>158</v>
      </c>
      <c r="F120" s="64" t="s">
        <v>158</v>
      </c>
      <c r="G120" s="63" t="s">
        <v>78</v>
      </c>
      <c r="H120" s="64" t="s">
        <v>842</v>
      </c>
      <c r="I120" s="64" t="s">
        <v>462</v>
      </c>
    </row>
    <row r="121" ht="15.75" customHeight="1">
      <c r="A121" s="65">
        <v>1.0</v>
      </c>
      <c r="B121" s="69" t="s">
        <v>844</v>
      </c>
      <c r="C121" s="69" t="s">
        <v>845</v>
      </c>
      <c r="D121" s="69" t="s">
        <v>846</v>
      </c>
      <c r="E121" s="39" t="s">
        <v>847</v>
      </c>
      <c r="F121" s="39" t="s">
        <v>803</v>
      </c>
      <c r="G121" s="42">
        <v>2.0</v>
      </c>
      <c r="H121" s="69" t="s">
        <v>602</v>
      </c>
      <c r="I121" s="42" t="s">
        <v>249</v>
      </c>
    </row>
    <row r="122" ht="15.75" customHeight="1">
      <c r="A122" s="65">
        <v>2.0</v>
      </c>
      <c r="B122" s="69"/>
      <c r="C122" s="42"/>
      <c r="D122" s="42"/>
      <c r="E122" s="39"/>
      <c r="F122" s="39"/>
      <c r="G122" s="42"/>
      <c r="H122" s="69"/>
      <c r="I122" s="42"/>
    </row>
    <row r="123" ht="15.75" customHeight="1">
      <c r="A123" s="65">
        <v>3.0</v>
      </c>
      <c r="B123" s="69"/>
      <c r="C123" s="42"/>
      <c r="D123" s="42"/>
      <c r="E123" s="39"/>
      <c r="F123" s="39"/>
      <c r="G123" s="42"/>
      <c r="H123" s="69"/>
      <c r="I123" s="42"/>
    </row>
    <row r="124" ht="15.75" customHeight="1"/>
    <row r="125" ht="21.75" customHeight="1">
      <c r="A125" s="51">
        <v>12.0</v>
      </c>
      <c r="B125" s="52" t="s">
        <v>330</v>
      </c>
      <c r="C125" s="53"/>
      <c r="D125" s="53"/>
      <c r="E125" s="54"/>
      <c r="F125" s="55" t="s">
        <v>178</v>
      </c>
      <c r="G125" s="71" t="s">
        <v>47</v>
      </c>
      <c r="H125" s="59" t="str">
        <f>IF(G125="",IF(COUNTA(B129:F131)&gt;0,"⚠ 상태 미선택(입력값 있음)","상태 미선택 → 미수집 간주"),IF(G125="값 있음",IF(COUNTA(B129:F131)=0,"⚠ 값 있음인데 입력값 없음","✓ 정상"),IF(COUNTA(B129:F131)&gt;0,"⚠ 상태와 입력값 불일치","✓ 정상")))</f>
        <v>✓ 정상</v>
      </c>
      <c r="I125" s="54"/>
    </row>
    <row r="126" ht="24.0" customHeight="1">
      <c r="B126" s="60" t="s">
        <v>863</v>
      </c>
    </row>
    <row r="127" ht="15.75" customHeight="1">
      <c r="A127" s="62" t="s">
        <v>24</v>
      </c>
      <c r="B127" s="13" t="s">
        <v>480</v>
      </c>
      <c r="C127" s="13" t="s">
        <v>482</v>
      </c>
      <c r="D127" s="13" t="s">
        <v>865</v>
      </c>
      <c r="E127" s="13" t="s">
        <v>486</v>
      </c>
      <c r="F127" s="13" t="s">
        <v>487</v>
      </c>
    </row>
    <row r="128" ht="25.5" customHeight="1">
      <c r="A128" s="63" t="s">
        <v>111</v>
      </c>
      <c r="B128" s="63" t="s">
        <v>130</v>
      </c>
      <c r="C128" s="63" t="s">
        <v>130</v>
      </c>
      <c r="D128" s="63" t="s">
        <v>78</v>
      </c>
      <c r="E128" s="63" t="s">
        <v>78</v>
      </c>
      <c r="F128" s="64" t="s">
        <v>866</v>
      </c>
    </row>
    <row r="129" ht="15.75" customHeight="1">
      <c r="A129" s="65">
        <v>1.0</v>
      </c>
      <c r="B129" s="69" t="s">
        <v>867</v>
      </c>
      <c r="C129" s="69" t="s">
        <v>868</v>
      </c>
      <c r="D129" s="42">
        <v>3.0</v>
      </c>
      <c r="E129" s="42">
        <v>16.0</v>
      </c>
      <c r="F129" s="69" t="s">
        <v>623</v>
      </c>
    </row>
    <row r="130" ht="15.75" customHeight="1">
      <c r="A130" s="65">
        <v>2.0</v>
      </c>
      <c r="B130" s="42"/>
      <c r="C130" s="42"/>
      <c r="D130" s="42"/>
      <c r="E130" s="42"/>
      <c r="F130" s="69"/>
    </row>
    <row r="131" ht="15.75" customHeight="1">
      <c r="A131" s="65">
        <v>3.0</v>
      </c>
      <c r="B131" s="42"/>
      <c r="C131" s="42"/>
      <c r="D131" s="42"/>
      <c r="E131" s="42"/>
      <c r="F131" s="69"/>
    </row>
    <row r="132" ht="15.75" customHeight="1"/>
    <row r="133" ht="21.75" customHeight="1">
      <c r="A133" s="76">
        <v>13.0</v>
      </c>
      <c r="B133" s="77" t="s">
        <v>869</v>
      </c>
      <c r="C133" s="53"/>
      <c r="D133" s="53"/>
      <c r="E133" s="54"/>
      <c r="F133" s="78" t="s">
        <v>178</v>
      </c>
      <c r="G133" s="71" t="s">
        <v>47</v>
      </c>
      <c r="H133" s="79" t="str">
        <f>IF(G133="",IF(COUNTA(C135:C138)&gt;0,"⚠ 상태 미선택(입력값 있음)","상태 미선택 → 미수집 간주"),IF(G133="값 있음",IF(COUNTA(C135:C138)=0,"⚠ 값 있음인데 입력값 없음","✓ 정상"),IF(COUNTA(C135:C138)&gt;0,"⚠ 상태와 입력값 불일치","✓ 정상")))</f>
        <v>✓ 정상</v>
      </c>
      <c r="I133" s="54"/>
    </row>
    <row r="134" ht="24.0" customHeight="1">
      <c r="B134" s="60" t="s">
        <v>879</v>
      </c>
    </row>
    <row r="135" ht="15.75" customHeight="1">
      <c r="B135" s="17" t="s">
        <v>881</v>
      </c>
      <c r="C135" s="42">
        <v>2.0</v>
      </c>
      <c r="D135" s="40" t="s">
        <v>78</v>
      </c>
      <c r="E135" s="41"/>
    </row>
    <row r="136" ht="15.75" customHeight="1">
      <c r="B136" s="17" t="s">
        <v>521</v>
      </c>
      <c r="C136" s="42" t="s">
        <v>249</v>
      </c>
      <c r="D136" s="40" t="s">
        <v>147</v>
      </c>
      <c r="E136" s="50" t="s">
        <v>462</v>
      </c>
    </row>
    <row r="137" ht="15.75" customHeight="1">
      <c r="B137" s="17" t="s">
        <v>884</v>
      </c>
      <c r="C137" s="69" t="s">
        <v>885</v>
      </c>
      <c r="D137" s="40" t="s">
        <v>130</v>
      </c>
      <c r="E137" s="41"/>
    </row>
    <row r="138" ht="30.0" customHeight="1">
      <c r="B138" s="17" t="s">
        <v>524</v>
      </c>
      <c r="C138" s="69" t="s">
        <v>886</v>
      </c>
      <c r="D138" s="40" t="s">
        <v>525</v>
      </c>
      <c r="E138" s="50" t="s">
        <v>888</v>
      </c>
    </row>
    <row r="139" ht="15.75" customHeight="1"/>
    <row r="140" ht="21.75" customHeight="1">
      <c r="A140" s="33" t="s">
        <v>890</v>
      </c>
      <c r="B140" s="8"/>
      <c r="C140" s="8"/>
      <c r="D140" s="8"/>
      <c r="E140" s="8"/>
      <c r="F140" s="8"/>
      <c r="G140" s="8"/>
      <c r="H140" s="8"/>
      <c r="I140" s="7"/>
    </row>
    <row r="141" ht="21.75" customHeight="1">
      <c r="A141" s="51">
        <v>14.0</v>
      </c>
      <c r="B141" s="52" t="s">
        <v>894</v>
      </c>
      <c r="C141" s="53"/>
      <c r="D141" s="53"/>
      <c r="E141" s="54"/>
      <c r="F141" s="55" t="s">
        <v>178</v>
      </c>
      <c r="G141" s="71" t="s">
        <v>47</v>
      </c>
      <c r="H141" s="59" t="str">
        <f>IF(G141="",IF(COUNTA(B145:H149)&gt;0,"⚠ 상태 미선택(입력값 있음)","상태 미선택 → 미수집 간주"),IF(G141="값 있음",IF(COUNTA(B145:H149)=0,"⚠ 값 있음인데 입력값 없음","✓ 정상"),IF(COUNTA(B145:H149)&gt;0,"⚠ 상태와 입력값 불일치","✓ 정상")))</f>
        <v>✓ 정상</v>
      </c>
      <c r="I141" s="54"/>
    </row>
    <row r="142" ht="24.0" customHeight="1">
      <c r="B142" s="60" t="s">
        <v>907</v>
      </c>
    </row>
    <row r="143" ht="15.75" customHeight="1">
      <c r="A143" s="62" t="s">
        <v>24</v>
      </c>
      <c r="B143" s="13" t="s">
        <v>552</v>
      </c>
      <c r="C143" s="13" t="s">
        <v>553</v>
      </c>
      <c r="D143" s="13" t="s">
        <v>554</v>
      </c>
      <c r="E143" s="13" t="s">
        <v>555</v>
      </c>
      <c r="F143" s="13" t="s">
        <v>556</v>
      </c>
      <c r="G143" s="13" t="s">
        <v>557</v>
      </c>
      <c r="H143" s="13" t="s">
        <v>558</v>
      </c>
    </row>
    <row r="144" ht="25.5" customHeight="1">
      <c r="A144" s="63" t="s">
        <v>111</v>
      </c>
      <c r="B144" s="63" t="s">
        <v>130</v>
      </c>
      <c r="C144" s="63" t="s">
        <v>130</v>
      </c>
      <c r="D144" s="64" t="s">
        <v>912</v>
      </c>
      <c r="E144" s="64" t="s">
        <v>915</v>
      </c>
      <c r="F144" s="64" t="s">
        <v>916</v>
      </c>
      <c r="G144" s="63" t="s">
        <v>130</v>
      </c>
      <c r="H144" s="64" t="s">
        <v>158</v>
      </c>
    </row>
    <row r="145" ht="15.75" customHeight="1">
      <c r="A145" s="65">
        <v>1.0</v>
      </c>
      <c r="B145" s="69" t="s">
        <v>918</v>
      </c>
      <c r="C145" s="69" t="s">
        <v>86</v>
      </c>
      <c r="D145" s="69" t="s">
        <v>548</v>
      </c>
      <c r="E145" s="69" t="s">
        <v>923</v>
      </c>
      <c r="F145" s="69" t="s">
        <v>682</v>
      </c>
      <c r="G145" s="69" t="s">
        <v>924</v>
      </c>
      <c r="H145" s="39" t="s">
        <v>684</v>
      </c>
    </row>
    <row r="146" ht="15.75" customHeight="1">
      <c r="A146" s="65">
        <v>2.0</v>
      </c>
      <c r="B146" s="69" t="s">
        <v>926</v>
      </c>
      <c r="C146" s="69" t="s">
        <v>927</v>
      </c>
      <c r="D146" s="69" t="s">
        <v>687</v>
      </c>
      <c r="E146" s="69" t="s">
        <v>928</v>
      </c>
      <c r="F146" s="69" t="s">
        <v>682</v>
      </c>
      <c r="G146" s="69" t="s">
        <v>929</v>
      </c>
      <c r="H146" s="39" t="s">
        <v>509</v>
      </c>
    </row>
    <row r="147" ht="15.75" customHeight="1">
      <c r="A147" s="65">
        <v>3.0</v>
      </c>
      <c r="B147" s="42"/>
      <c r="C147" s="42"/>
      <c r="D147" s="69"/>
      <c r="E147" s="69"/>
      <c r="F147" s="69"/>
      <c r="G147" s="42"/>
      <c r="H147" s="39"/>
    </row>
    <row r="148" ht="15.75" customHeight="1">
      <c r="A148" s="65">
        <v>4.0</v>
      </c>
      <c r="B148" s="42"/>
      <c r="C148" s="42"/>
      <c r="D148" s="69"/>
      <c r="E148" s="69"/>
      <c r="F148" s="69"/>
      <c r="G148" s="42"/>
      <c r="H148" s="39"/>
    </row>
    <row r="149" ht="15.75" customHeight="1">
      <c r="A149" s="65">
        <v>5.0</v>
      </c>
      <c r="B149" s="42"/>
      <c r="C149" s="42"/>
      <c r="D149" s="69"/>
      <c r="E149" s="69"/>
      <c r="F149" s="69"/>
      <c r="G149" s="42"/>
      <c r="H149" s="39"/>
    </row>
    <row r="150" ht="15.75" customHeight="1"/>
    <row r="151" ht="21.75" customHeight="1">
      <c r="A151" s="51">
        <v>15.0</v>
      </c>
      <c r="B151" s="52" t="s">
        <v>374</v>
      </c>
      <c r="C151" s="53"/>
      <c r="D151" s="53"/>
      <c r="E151" s="54"/>
      <c r="F151" s="55" t="s">
        <v>178</v>
      </c>
      <c r="G151" s="71" t="s">
        <v>49</v>
      </c>
      <c r="H151" s="59" t="str">
        <f>IF(G151="",IF(COUNTA(B155:E156)&gt;0,"⚠ 상태 미선택(입력값 있음)","상태 미선택 → 미수집 간주"),IF(G151="값 있음",IF(COUNTA(B155:E156)=0,"⚠ 값 있음인데 입력값 없음","✓ 정상"),IF(COUNTA(B155:E156)&gt;0,"⚠ 상태와 입력값 불일치","✓ 정상")))</f>
        <v>✓ 정상</v>
      </c>
      <c r="I151" s="54"/>
    </row>
    <row r="152" ht="15.0" customHeight="1">
      <c r="B152" s="60" t="s">
        <v>949</v>
      </c>
    </row>
    <row r="153" ht="15.75" customHeight="1">
      <c r="A153" s="62" t="s">
        <v>24</v>
      </c>
      <c r="B153" s="13" t="s">
        <v>400</v>
      </c>
      <c r="C153" s="13" t="s">
        <v>951</v>
      </c>
      <c r="D153" s="13" t="s">
        <v>555</v>
      </c>
      <c r="E153" s="13" t="s">
        <v>558</v>
      </c>
    </row>
    <row r="154" ht="25.5" customHeight="1">
      <c r="A154" s="63" t="s">
        <v>111</v>
      </c>
      <c r="B154" s="64" t="s">
        <v>953</v>
      </c>
      <c r="C154" s="63" t="s">
        <v>130</v>
      </c>
      <c r="D154" s="63" t="s">
        <v>130</v>
      </c>
      <c r="E154" s="64" t="s">
        <v>158</v>
      </c>
    </row>
    <row r="155" ht="15.75" customHeight="1">
      <c r="A155" s="65">
        <v>1.0</v>
      </c>
      <c r="B155" s="42"/>
      <c r="C155" s="42"/>
      <c r="D155" s="42"/>
      <c r="E155" s="39"/>
    </row>
    <row r="156" ht="15.75" customHeight="1">
      <c r="A156" s="65">
        <v>2.0</v>
      </c>
      <c r="B156" s="42"/>
      <c r="C156" s="42"/>
      <c r="D156" s="42"/>
      <c r="E156" s="39"/>
    </row>
    <row r="157" ht="15.75" customHeight="1"/>
    <row r="158" ht="21.75" customHeight="1">
      <c r="A158" s="70">
        <v>16.0</v>
      </c>
      <c r="B158" s="72" t="s">
        <v>959</v>
      </c>
      <c r="C158" s="53"/>
      <c r="D158" s="53"/>
      <c r="E158" s="54"/>
      <c r="F158" s="73" t="s">
        <v>178</v>
      </c>
      <c r="G158" s="71" t="s">
        <v>49</v>
      </c>
      <c r="H158" s="74" t="str">
        <f>IF(G158="",IF(COUNTA(B162:G163)&gt;0,"⚠ 상태 미선택(입력값 있음)","상태 미선택 → 미수집 간주"),IF(G158="값 있음",IF(COUNTA(B162:G163)=0,"⚠ 값 있음인데 입력값 없음","✓ 정상"),IF(COUNTA(B162:G163)&gt;0,"⚠ 상태와 입력값 불일치","✓ 정상")))</f>
        <v>✓ 정상</v>
      </c>
      <c r="I158" s="54"/>
    </row>
    <row r="159" ht="24.0" customHeight="1">
      <c r="B159" s="60" t="s">
        <v>967</v>
      </c>
    </row>
    <row r="160" ht="15.75" customHeight="1">
      <c r="A160" s="62" t="s">
        <v>24</v>
      </c>
      <c r="B160" s="13" t="s">
        <v>400</v>
      </c>
      <c r="C160" s="13" t="s">
        <v>608</v>
      </c>
      <c r="D160" s="13" t="s">
        <v>403</v>
      </c>
      <c r="E160" s="13" t="s">
        <v>969</v>
      </c>
      <c r="F160" s="13" t="s">
        <v>558</v>
      </c>
      <c r="G160" s="13" t="s">
        <v>613</v>
      </c>
    </row>
    <row r="161" ht="25.5" customHeight="1">
      <c r="A161" s="63" t="s">
        <v>111</v>
      </c>
      <c r="B161" s="64" t="s">
        <v>971</v>
      </c>
      <c r="C161" s="63" t="s">
        <v>130</v>
      </c>
      <c r="D161" s="64" t="s">
        <v>973</v>
      </c>
      <c r="E161" s="63" t="s">
        <v>130</v>
      </c>
      <c r="F161" s="64" t="s">
        <v>158</v>
      </c>
      <c r="G161" s="64" t="s">
        <v>975</v>
      </c>
    </row>
    <row r="162" ht="15.75" customHeight="1">
      <c r="A162" s="65">
        <v>1.0</v>
      </c>
      <c r="B162" s="42"/>
      <c r="C162" s="42"/>
      <c r="D162" s="42"/>
      <c r="E162" s="42"/>
      <c r="F162" s="39"/>
      <c r="G162" s="42"/>
    </row>
    <row r="163" ht="15.75" customHeight="1">
      <c r="A163" s="65">
        <v>2.0</v>
      </c>
      <c r="B163" s="42"/>
      <c r="C163" s="42"/>
      <c r="D163" s="42"/>
      <c r="E163" s="42"/>
      <c r="F163" s="39"/>
      <c r="G163" s="42"/>
    </row>
    <row r="164" ht="15.75" customHeight="1"/>
    <row r="165" ht="21.75" customHeight="1">
      <c r="A165" s="33" t="s">
        <v>620</v>
      </c>
      <c r="B165" s="8"/>
      <c r="C165" s="8"/>
      <c r="D165" s="8"/>
      <c r="E165" s="8"/>
      <c r="F165" s="8"/>
      <c r="G165" s="8"/>
      <c r="H165" s="8"/>
      <c r="I165" s="7"/>
    </row>
    <row r="166" ht="21.75" customHeight="1">
      <c r="A166" s="51">
        <v>17.0</v>
      </c>
      <c r="B166" s="52" t="s">
        <v>981</v>
      </c>
      <c r="C166" s="53"/>
      <c r="D166" s="53"/>
      <c r="E166" s="54"/>
      <c r="F166" s="55" t="s">
        <v>178</v>
      </c>
      <c r="G166" s="71" t="s">
        <v>49</v>
      </c>
      <c r="H166" s="59" t="str">
        <f>IF(G166="",IF(COUNTA(B170:G172)&gt;0,"⚠ 상태 미선택(입력값 있음)","상태 미선택 → 미수집 간주"),IF(G166="값 있음",IF(COUNTA(B170:G172)=0,"⚠ 값 있음인데 입력값 없음","✓ 정상"),IF(COUNTA(B170:G172)&gt;0,"⚠ 상태와 입력값 불일치","✓ 정상")))</f>
        <v>✓ 정상</v>
      </c>
      <c r="I166" s="54"/>
    </row>
    <row r="167" ht="24.0" customHeight="1">
      <c r="B167" s="60" t="s">
        <v>994</v>
      </c>
    </row>
    <row r="168" ht="15.75" customHeight="1">
      <c r="A168" s="62" t="s">
        <v>24</v>
      </c>
      <c r="B168" s="13" t="s">
        <v>400</v>
      </c>
      <c r="C168" s="13" t="s">
        <v>633</v>
      </c>
      <c r="D168" s="13" t="s">
        <v>997</v>
      </c>
      <c r="E168" s="13" t="s">
        <v>999</v>
      </c>
      <c r="F168" s="13" t="s">
        <v>639</v>
      </c>
      <c r="G168" s="62" t="s">
        <v>1001</v>
      </c>
    </row>
    <row r="169" ht="37.5" customHeight="1">
      <c r="A169" s="63" t="s">
        <v>111</v>
      </c>
      <c r="B169" s="64" t="s">
        <v>1003</v>
      </c>
      <c r="C169" s="63" t="s">
        <v>130</v>
      </c>
      <c r="D169" s="63" t="s">
        <v>130</v>
      </c>
      <c r="E169" s="63" t="s">
        <v>78</v>
      </c>
      <c r="F169" s="64" t="s">
        <v>158</v>
      </c>
      <c r="G169" s="64" t="s">
        <v>462</v>
      </c>
    </row>
    <row r="170" ht="15.75" customHeight="1">
      <c r="A170" s="65">
        <v>1.0</v>
      </c>
      <c r="B170" s="42"/>
      <c r="C170" s="42"/>
      <c r="D170" s="42"/>
      <c r="E170" s="42"/>
      <c r="F170" s="39"/>
      <c r="G170" s="42"/>
    </row>
    <row r="171" ht="15.75" customHeight="1">
      <c r="A171" s="65">
        <v>2.0</v>
      </c>
      <c r="B171" s="42"/>
      <c r="C171" s="42"/>
      <c r="D171" s="42"/>
      <c r="E171" s="42"/>
      <c r="F171" s="39"/>
      <c r="G171" s="42"/>
    </row>
    <row r="172" ht="15.75" customHeight="1">
      <c r="A172" s="65">
        <v>3.0</v>
      </c>
      <c r="B172" s="42"/>
      <c r="C172" s="42"/>
      <c r="D172" s="42"/>
      <c r="E172" s="42"/>
      <c r="F172" s="39"/>
      <c r="G172" s="42"/>
    </row>
    <row r="173" ht="15.75" customHeight="1"/>
    <row r="174" ht="21.75" customHeight="1">
      <c r="A174" s="70">
        <v>18.0</v>
      </c>
      <c r="B174" s="72" t="s">
        <v>431</v>
      </c>
      <c r="C174" s="53"/>
      <c r="D174" s="53"/>
      <c r="E174" s="54"/>
      <c r="F174" s="73" t="s">
        <v>178</v>
      </c>
      <c r="G174" s="71" t="s">
        <v>47</v>
      </c>
      <c r="H174" s="74" t="str">
        <f>IF(G174="",IF(COUNTA(C176:C178)&gt;0,"⚠ 상태 미선택(입력값 있음)","상태 미선택 → 미수집 간주"),IF(G174="값 있음",IF(COUNTA(C176:C178)=0,"⚠ 값 있음인데 입력값 없음","✓ 정상"),IF(COUNTA(C176:C178)&gt;0,"⚠ 상태와 입력값 불일치","✓ 정상")))</f>
        <v>✓ 정상</v>
      </c>
      <c r="I174" s="54"/>
    </row>
    <row r="175" ht="24.0" customHeight="1">
      <c r="B175" s="60" t="s">
        <v>1022</v>
      </c>
    </row>
    <row r="176" ht="15.75" customHeight="1">
      <c r="B176" s="17" t="s">
        <v>660</v>
      </c>
      <c r="C176" s="42">
        <v>2.0</v>
      </c>
      <c r="D176" s="40" t="s">
        <v>78</v>
      </c>
      <c r="E176" s="41" t="s">
        <v>1023</v>
      </c>
    </row>
    <row r="177" ht="15.75" customHeight="1">
      <c r="B177" s="17" t="s">
        <v>667</v>
      </c>
      <c r="C177" s="42">
        <v>6.0</v>
      </c>
      <c r="D177" s="40" t="s">
        <v>78</v>
      </c>
      <c r="E177" s="41"/>
    </row>
    <row r="178" ht="15.75" customHeight="1">
      <c r="B178" s="17" t="s">
        <v>668</v>
      </c>
      <c r="C178" s="69" t="s">
        <v>776</v>
      </c>
      <c r="D178" s="40" t="s">
        <v>130</v>
      </c>
      <c r="E178" s="41" t="s">
        <v>1024</v>
      </c>
    </row>
    <row r="179" ht="15.75" customHeight="1"/>
    <row r="180" ht="21.75" customHeight="1">
      <c r="A180" s="33" t="s">
        <v>1025</v>
      </c>
      <c r="B180" s="8"/>
      <c r="C180" s="8"/>
      <c r="D180" s="8"/>
      <c r="E180" s="8"/>
      <c r="F180" s="8"/>
      <c r="G180" s="8"/>
      <c r="H180" s="8"/>
      <c r="I180" s="7"/>
    </row>
    <row r="181" ht="21.75" customHeight="1">
      <c r="A181" s="51">
        <v>19.0</v>
      </c>
      <c r="B181" s="75" t="s">
        <v>1027</v>
      </c>
      <c r="C181" s="53"/>
      <c r="D181" s="53"/>
      <c r="E181" s="54"/>
      <c r="F181" s="55" t="s">
        <v>178</v>
      </c>
      <c r="G181" s="71" t="s">
        <v>47</v>
      </c>
      <c r="H181" s="59" t="str">
        <f>IF(G181="",IF(COUNTA(B185:F188)&gt;0,"⚠ 상태 미선택(입력값 있음)","상태 미선택 → 미수집 간주"),IF(G181="값 있음",IF(COUNTA(B185:F188)=0,"⚠ 값 있음인데 입력값 없음","✓ 정상"),IF(COUNTA(B185:F188)&gt;0,"⚠ 상태와 입력값 불일치","✓ 정상")))</f>
        <v>✓ 정상</v>
      </c>
      <c r="I181" s="54"/>
    </row>
    <row r="182" ht="24.0" customHeight="1">
      <c r="B182" s="60" t="s">
        <v>1038</v>
      </c>
    </row>
    <row r="183" ht="15.75" customHeight="1">
      <c r="A183" s="62" t="s">
        <v>24</v>
      </c>
      <c r="B183" s="13" t="s">
        <v>20</v>
      </c>
      <c r="C183" s="13" t="s">
        <v>695</v>
      </c>
      <c r="D183" s="13" t="s">
        <v>1041</v>
      </c>
      <c r="E183" s="13" t="s">
        <v>698</v>
      </c>
      <c r="F183" s="13" t="s">
        <v>699</v>
      </c>
    </row>
    <row r="184" ht="25.5" customHeight="1">
      <c r="A184" s="63" t="s">
        <v>111</v>
      </c>
      <c r="B184" s="64" t="s">
        <v>1044</v>
      </c>
      <c r="C184" s="63" t="s">
        <v>130</v>
      </c>
      <c r="D184" s="63" t="s">
        <v>78</v>
      </c>
      <c r="E184" s="64" t="s">
        <v>158</v>
      </c>
      <c r="F184" s="64" t="s">
        <v>1046</v>
      </c>
    </row>
    <row r="185" ht="15.75" customHeight="1">
      <c r="A185" s="65">
        <v>1.0</v>
      </c>
      <c r="B185" s="69" t="s">
        <v>796</v>
      </c>
      <c r="C185" s="69" t="s">
        <v>1048</v>
      </c>
      <c r="D185" s="42">
        <v>45.0</v>
      </c>
      <c r="E185" s="39" t="s">
        <v>715</v>
      </c>
      <c r="F185" s="69" t="s">
        <v>800</v>
      </c>
    </row>
    <row r="186" ht="15.75" customHeight="1">
      <c r="A186" s="65">
        <v>2.0</v>
      </c>
      <c r="B186" s="42" t="s">
        <v>1052</v>
      </c>
      <c r="C186" s="69" t="s">
        <v>1054</v>
      </c>
      <c r="D186" s="42">
        <v>10.0</v>
      </c>
      <c r="E186" s="39" t="s">
        <v>1055</v>
      </c>
      <c r="F186" s="69" t="s">
        <v>800</v>
      </c>
    </row>
    <row r="187" ht="15.75" customHeight="1">
      <c r="A187" s="65">
        <v>3.0</v>
      </c>
      <c r="B187" s="42"/>
      <c r="C187" s="42"/>
      <c r="D187" s="42"/>
      <c r="E187" s="39"/>
      <c r="F187" s="69"/>
    </row>
    <row r="188" ht="15.75" customHeight="1">
      <c r="A188" s="65">
        <v>4.0</v>
      </c>
      <c r="B188" s="42"/>
      <c r="C188" s="42"/>
      <c r="D188" s="42"/>
      <c r="E188" s="39"/>
      <c r="F188" s="69"/>
    </row>
    <row r="189" ht="15.75" customHeight="1"/>
    <row r="190" ht="21.75" customHeight="1">
      <c r="A190" s="70">
        <v>20.0</v>
      </c>
      <c r="B190" s="80" t="s">
        <v>1056</v>
      </c>
      <c r="C190" s="53"/>
      <c r="D190" s="53"/>
      <c r="E190" s="54"/>
      <c r="F190" s="73" t="s">
        <v>178</v>
      </c>
      <c r="G190" s="71" t="s">
        <v>47</v>
      </c>
      <c r="H190" s="74" t="str">
        <f>IF(G190="",IF(COUNTA(B194:G196)&gt;0,"⚠ 상태 미선택(입력값 있음)","상태 미선택 → 미수집 간주"),IF(G190="값 있음",IF(COUNTA(B194:G196)=0,"⚠ 값 있음인데 입력값 없음","✓ 정상"),IF(COUNTA(B194:G196)&gt;0,"⚠ 상태와 입력값 불일치","✓ 정상")))</f>
        <v>✓ 정상</v>
      </c>
      <c r="I190" s="54"/>
    </row>
    <row r="191" ht="24.0" customHeight="1">
      <c r="B191" s="60" t="s">
        <v>1062</v>
      </c>
    </row>
    <row r="192" ht="15.75" customHeight="1">
      <c r="A192" s="62" t="s">
        <v>24</v>
      </c>
      <c r="B192" s="13" t="s">
        <v>400</v>
      </c>
      <c r="C192" s="13" t="s">
        <v>608</v>
      </c>
      <c r="D192" s="13" t="s">
        <v>557</v>
      </c>
      <c r="E192" s="13" t="s">
        <v>1063</v>
      </c>
      <c r="F192" s="13" t="s">
        <v>554</v>
      </c>
      <c r="G192" s="13" t="s">
        <v>558</v>
      </c>
    </row>
    <row r="193" ht="25.5" customHeight="1">
      <c r="A193" s="63" t="s">
        <v>111</v>
      </c>
      <c r="B193" s="64" t="s">
        <v>1065</v>
      </c>
      <c r="C193" s="63" t="s">
        <v>130</v>
      </c>
      <c r="D193" s="63" t="s">
        <v>130</v>
      </c>
      <c r="E193" s="63" t="s">
        <v>130</v>
      </c>
      <c r="F193" s="64" t="s">
        <v>1067</v>
      </c>
      <c r="G193" s="64" t="s">
        <v>158</v>
      </c>
    </row>
    <row r="194" ht="15.75" customHeight="1">
      <c r="A194" s="65">
        <v>1.0</v>
      </c>
      <c r="B194" s="42" t="s">
        <v>1069</v>
      </c>
      <c r="C194" s="69" t="s">
        <v>1070</v>
      </c>
      <c r="D194" s="42" t="s">
        <v>1072</v>
      </c>
      <c r="E194" s="69" t="s">
        <v>1073</v>
      </c>
      <c r="F194" s="69" t="s">
        <v>548</v>
      </c>
      <c r="G194" s="39" t="s">
        <v>834</v>
      </c>
    </row>
    <row r="195" ht="15.75" customHeight="1">
      <c r="A195" s="65">
        <v>2.0</v>
      </c>
      <c r="B195" s="42"/>
      <c r="C195" s="42"/>
      <c r="D195" s="42"/>
      <c r="E195" s="42"/>
      <c r="F195" s="69"/>
      <c r="G195" s="39"/>
    </row>
    <row r="196" ht="15.75" customHeight="1">
      <c r="A196" s="65">
        <v>3.0</v>
      </c>
      <c r="B196" s="42"/>
      <c r="C196" s="42"/>
      <c r="D196" s="42"/>
      <c r="E196" s="42"/>
      <c r="F196" s="69"/>
      <c r="G196" s="39"/>
    </row>
    <row r="197" ht="15.75" customHeight="1"/>
    <row r="198" ht="21.75" customHeight="1">
      <c r="A198" s="51">
        <v>21.0</v>
      </c>
      <c r="B198" s="52" t="s">
        <v>504</v>
      </c>
      <c r="C198" s="53"/>
      <c r="D198" s="53"/>
      <c r="E198" s="54"/>
      <c r="F198" s="55" t="s">
        <v>178</v>
      </c>
      <c r="G198" s="71" t="s">
        <v>47</v>
      </c>
      <c r="H198" s="59" t="str">
        <f>IF(G198="",IF(COUNTA(B202:D205)&gt;0,"⚠ 상태 미선택(입력값 있음)","상태 미선택 → 미수집 간주"),IF(G198="값 있음",IF(COUNTA(B202:D205)=0,"⚠ 값 있음인데 입력값 없음","✓ 정상"),IF(COUNTA(B202:D205)&gt;0,"⚠ 상태와 입력값 불일치","✓ 정상")))</f>
        <v>✓ 정상</v>
      </c>
      <c r="I198" s="54"/>
    </row>
    <row r="199" ht="24.0" customHeight="1">
      <c r="B199" s="60" t="s">
        <v>1082</v>
      </c>
    </row>
    <row r="200" ht="15.75" customHeight="1">
      <c r="A200" s="62" t="s">
        <v>24</v>
      </c>
      <c r="B200" s="13" t="s">
        <v>753</v>
      </c>
      <c r="C200" s="13" t="s">
        <v>755</v>
      </c>
      <c r="D200" s="13" t="s">
        <v>756</v>
      </c>
    </row>
    <row r="201" ht="15.0" customHeight="1">
      <c r="A201" s="63" t="s">
        <v>111</v>
      </c>
      <c r="B201" s="63" t="s">
        <v>759</v>
      </c>
      <c r="C201" s="64" t="s">
        <v>1083</v>
      </c>
      <c r="D201" s="63" t="s">
        <v>525</v>
      </c>
    </row>
    <row r="202" ht="36.0" customHeight="1">
      <c r="A202" s="65">
        <v>1.0</v>
      </c>
      <c r="B202" s="69" t="s">
        <v>856</v>
      </c>
      <c r="C202" s="69" t="s">
        <v>858</v>
      </c>
      <c r="D202" s="69" t="s">
        <v>1086</v>
      </c>
    </row>
    <row r="203" ht="36.0" customHeight="1">
      <c r="A203" s="65">
        <v>2.0</v>
      </c>
      <c r="B203" s="69" t="s">
        <v>853</v>
      </c>
      <c r="C203" s="69" t="s">
        <v>1089</v>
      </c>
      <c r="D203" s="69" t="s">
        <v>1091</v>
      </c>
    </row>
    <row r="204" ht="36.0" customHeight="1">
      <c r="A204" s="65">
        <v>3.0</v>
      </c>
      <c r="B204" s="42"/>
      <c r="C204" s="69"/>
      <c r="D204" s="42"/>
    </row>
    <row r="205" ht="36.0" customHeight="1">
      <c r="A205" s="65">
        <v>4.0</v>
      </c>
      <c r="B205" s="42"/>
      <c r="C205" s="69"/>
      <c r="D205" s="42"/>
    </row>
    <row r="206" ht="15.75" customHeight="1"/>
    <row r="207" ht="21.75" customHeight="1">
      <c r="A207" s="33" t="s">
        <v>1096</v>
      </c>
      <c r="B207" s="8"/>
      <c r="C207" s="8"/>
      <c r="D207" s="8"/>
      <c r="E207" s="8"/>
      <c r="F207" s="8"/>
      <c r="G207" s="8"/>
      <c r="H207" s="8"/>
      <c r="I207" s="7"/>
    </row>
    <row r="208" ht="21.75" customHeight="1">
      <c r="A208" s="51">
        <v>22.0</v>
      </c>
      <c r="B208" s="52" t="s">
        <v>1103</v>
      </c>
      <c r="C208" s="53"/>
      <c r="D208" s="53"/>
      <c r="E208" s="54"/>
      <c r="F208" s="55" t="s">
        <v>178</v>
      </c>
      <c r="G208" s="71" t="s">
        <v>47</v>
      </c>
      <c r="H208" s="59" t="str">
        <f>IF(G208="",IF(COUNTA(B212:I215)&gt;0,"⚠ 상태 미선택(입력값 있음)","상태 미선택 → 미수집 간주"),IF(G208="값 있음",IF(COUNTA(B212:I215)=0,"⚠ 값 있음인데 입력값 없음","✓ 정상"),IF(COUNTA(B212:I215)&gt;0,"⚠ 상태와 입력값 불일치","✓ 정상")))</f>
        <v>✓ 정상</v>
      </c>
      <c r="I208" s="54"/>
    </row>
    <row r="209" ht="24.0" customHeight="1">
      <c r="B209" s="60" t="s">
        <v>1105</v>
      </c>
    </row>
    <row r="210" ht="15.75" customHeight="1">
      <c r="A210" s="62" t="s">
        <v>24</v>
      </c>
      <c r="B210" s="13" t="s">
        <v>400</v>
      </c>
      <c r="C210" s="13" t="s">
        <v>809</v>
      </c>
      <c r="D210" s="13" t="s">
        <v>811</v>
      </c>
      <c r="E210" s="13" t="s">
        <v>380</v>
      </c>
      <c r="F210" s="13" t="s">
        <v>381</v>
      </c>
      <c r="G210" s="13" t="s">
        <v>1106</v>
      </c>
      <c r="H210" s="13" t="s">
        <v>1108</v>
      </c>
      <c r="I210" s="13" t="s">
        <v>1110</v>
      </c>
    </row>
    <row r="211" ht="25.5" customHeight="1">
      <c r="A211" s="63" t="s">
        <v>111</v>
      </c>
      <c r="B211" s="64" t="s">
        <v>1113</v>
      </c>
      <c r="C211" s="63" t="s">
        <v>130</v>
      </c>
      <c r="D211" s="64" t="s">
        <v>1117</v>
      </c>
      <c r="E211" s="64" t="s">
        <v>158</v>
      </c>
      <c r="F211" s="64" t="s">
        <v>1118</v>
      </c>
      <c r="G211" s="63" t="s">
        <v>78</v>
      </c>
      <c r="H211" s="63" t="s">
        <v>78</v>
      </c>
      <c r="I211" s="63" t="s">
        <v>130</v>
      </c>
    </row>
    <row r="212" ht="15.75" customHeight="1">
      <c r="A212" s="65">
        <v>1.0</v>
      </c>
      <c r="B212" s="69" t="s">
        <v>895</v>
      </c>
      <c r="C212" s="69" t="s">
        <v>1121</v>
      </c>
      <c r="D212" s="69" t="s">
        <v>1122</v>
      </c>
      <c r="E212" s="39" t="s">
        <v>892</v>
      </c>
      <c r="F212" s="39" t="s">
        <v>803</v>
      </c>
      <c r="G212" s="42">
        <v>12.0</v>
      </c>
      <c r="H212" s="42">
        <v>30.0</v>
      </c>
      <c r="I212" s="69" t="s">
        <v>1124</v>
      </c>
    </row>
    <row r="213" ht="15.75" customHeight="1">
      <c r="A213" s="65">
        <v>2.0</v>
      </c>
      <c r="B213" s="69" t="s">
        <v>895</v>
      </c>
      <c r="C213" s="69" t="s">
        <v>1121</v>
      </c>
      <c r="D213" s="69" t="s">
        <v>897</v>
      </c>
      <c r="E213" s="39" t="s">
        <v>241</v>
      </c>
      <c r="F213" s="39" t="s">
        <v>898</v>
      </c>
      <c r="G213" s="42">
        <v>12.0</v>
      </c>
      <c r="H213" s="42">
        <v>30.0</v>
      </c>
      <c r="I213" s="42"/>
    </row>
    <row r="214" ht="15.75" customHeight="1">
      <c r="A214" s="65">
        <v>3.0</v>
      </c>
      <c r="B214" s="69"/>
      <c r="C214" s="42"/>
      <c r="D214" s="69"/>
      <c r="E214" s="39"/>
      <c r="F214" s="39"/>
      <c r="G214" s="42"/>
      <c r="H214" s="42"/>
      <c r="I214" s="42"/>
    </row>
    <row r="215" ht="15.75" customHeight="1">
      <c r="A215" s="65">
        <v>4.0</v>
      </c>
      <c r="B215" s="69"/>
      <c r="C215" s="42"/>
      <c r="D215" s="69"/>
      <c r="E215" s="39"/>
      <c r="F215" s="39"/>
      <c r="G215" s="42"/>
      <c r="H215" s="42"/>
      <c r="I215" s="42"/>
    </row>
    <row r="216" ht="15.75" customHeight="1"/>
    <row r="217" ht="21.75" customHeight="1">
      <c r="A217" s="51">
        <v>23.0</v>
      </c>
      <c r="B217" s="52" t="s">
        <v>564</v>
      </c>
      <c r="C217" s="53"/>
      <c r="D217" s="53"/>
      <c r="E217" s="54"/>
      <c r="F217" s="55" t="s">
        <v>178</v>
      </c>
      <c r="G217" s="71" t="s">
        <v>47</v>
      </c>
      <c r="H217" s="59" t="str">
        <f>IF(G217="",IF(COUNTA(C219,B222:E225)&gt;0,"⚠ 상태 미선택(입력값 있음)","상태 미선택 → 미수집 간주"),IF(G217="값 있음",IF(COUNTA(C219,B222:E225)=0,"⚠ 값 있음인데 입력값 없음","✓ 정상"),IF(COUNTA(C219,B222:E225)&gt;0,"⚠ 상태와 입력값 불일치","✓ 정상")))</f>
        <v>✓ 정상</v>
      </c>
      <c r="I217" s="54"/>
    </row>
    <row r="218" ht="24.0" customHeight="1">
      <c r="B218" s="60" t="s">
        <v>1143</v>
      </c>
    </row>
    <row r="219" ht="15.75" customHeight="1">
      <c r="B219" s="17" t="s">
        <v>1144</v>
      </c>
      <c r="C219" s="42">
        <v>36.0</v>
      </c>
      <c r="D219" s="40" t="s">
        <v>78</v>
      </c>
      <c r="E219" s="50" t="s">
        <v>1145</v>
      </c>
    </row>
    <row r="220" ht="15.75" customHeight="1">
      <c r="A220" s="62" t="s">
        <v>24</v>
      </c>
      <c r="B220" s="13" t="s">
        <v>20</v>
      </c>
      <c r="C220" s="13" t="s">
        <v>1146</v>
      </c>
      <c r="D220" s="13" t="s">
        <v>1147</v>
      </c>
      <c r="E220" s="13" t="s">
        <v>558</v>
      </c>
    </row>
    <row r="221" ht="25.5" customHeight="1">
      <c r="A221" s="63" t="s">
        <v>111</v>
      </c>
      <c r="B221" s="64" t="s">
        <v>1148</v>
      </c>
      <c r="C221" s="63" t="s">
        <v>130</v>
      </c>
      <c r="D221" s="63" t="s">
        <v>78</v>
      </c>
      <c r="E221" s="64" t="s">
        <v>158</v>
      </c>
    </row>
    <row r="222" ht="15.75" customHeight="1">
      <c r="A222" s="65">
        <v>1.0</v>
      </c>
      <c r="B222" s="69" t="s">
        <v>1149</v>
      </c>
      <c r="C222" s="69" t="s">
        <v>1150</v>
      </c>
      <c r="D222" s="42">
        <v>20.0</v>
      </c>
      <c r="E222" s="39" t="s">
        <v>1151</v>
      </c>
    </row>
    <row r="223" ht="15.75" customHeight="1">
      <c r="A223" s="65">
        <v>2.0</v>
      </c>
      <c r="B223" s="69" t="s">
        <v>548</v>
      </c>
      <c r="C223" s="69" t="s">
        <v>1152</v>
      </c>
      <c r="D223" s="42">
        <v>16.0</v>
      </c>
      <c r="E223" s="39" t="s">
        <v>1153</v>
      </c>
    </row>
    <row r="224" ht="15.75" customHeight="1">
      <c r="A224" s="65">
        <v>3.0</v>
      </c>
      <c r="B224" s="69"/>
      <c r="C224" s="42"/>
      <c r="D224" s="42"/>
      <c r="E224" s="39"/>
    </row>
    <row r="225" ht="15.75" customHeight="1">
      <c r="A225" s="65">
        <v>4.0</v>
      </c>
      <c r="B225" s="69"/>
      <c r="C225" s="42"/>
      <c r="D225" s="42"/>
      <c r="E225" s="39"/>
    </row>
    <row r="226" ht="15.75" customHeight="1"/>
    <row r="227" ht="21.75" customHeight="1">
      <c r="A227" s="76">
        <v>24.0</v>
      </c>
      <c r="B227" s="77" t="s">
        <v>1156</v>
      </c>
      <c r="C227" s="53"/>
      <c r="D227" s="53"/>
      <c r="E227" s="54"/>
      <c r="F227" s="78" t="s">
        <v>178</v>
      </c>
      <c r="G227" s="71" t="s">
        <v>47</v>
      </c>
      <c r="H227" s="79" t="str">
        <f>IF(G227="",IF(COUNTA(B231:E233)&gt;0,"⚠ 상태 미선택(입력값 있음)","상태 미선택 → 미수집 간주"),IF(G227="값 있음",IF(COUNTA(B231:E233)=0,"⚠ 값 있음인데 입력값 없음","✓ 정상"),IF(COUNTA(B231:E233)&gt;0,"⚠ 상태와 입력값 불일치","✓ 정상")))</f>
        <v>✓ 정상</v>
      </c>
      <c r="I227" s="54"/>
    </row>
    <row r="228" ht="15.0" customHeight="1">
      <c r="B228" s="60" t="s">
        <v>1163</v>
      </c>
    </row>
    <row r="229" ht="15.75" customHeight="1">
      <c r="A229" s="62" t="s">
        <v>24</v>
      </c>
      <c r="B229" s="13" t="s">
        <v>400</v>
      </c>
      <c r="C229" s="13" t="s">
        <v>871</v>
      </c>
      <c r="D229" s="13" t="s">
        <v>1164</v>
      </c>
      <c r="E229" s="13" t="s">
        <v>1165</v>
      </c>
    </row>
    <row r="230" ht="25.5" customHeight="1">
      <c r="A230" s="63" t="s">
        <v>111</v>
      </c>
      <c r="B230" s="64" t="s">
        <v>1166</v>
      </c>
      <c r="C230" s="63" t="s">
        <v>130</v>
      </c>
      <c r="D230" s="63" t="s">
        <v>130</v>
      </c>
      <c r="E230" s="63" t="s">
        <v>78</v>
      </c>
    </row>
    <row r="231" ht="15.75" customHeight="1">
      <c r="A231" s="65">
        <v>1.0</v>
      </c>
      <c r="B231" s="69" t="s">
        <v>946</v>
      </c>
      <c r="C231" s="69" t="s">
        <v>1167</v>
      </c>
      <c r="D231" s="69" t="s">
        <v>1168</v>
      </c>
      <c r="E231" s="42">
        <v>3.0</v>
      </c>
    </row>
    <row r="232" ht="15.75" customHeight="1">
      <c r="A232" s="65">
        <v>2.0</v>
      </c>
      <c r="B232" s="69"/>
      <c r="C232" s="42"/>
      <c r="D232" s="42"/>
      <c r="E232" s="42"/>
    </row>
    <row r="233" ht="15.75" customHeight="1">
      <c r="A233" s="65">
        <v>3.0</v>
      </c>
      <c r="B233" s="69"/>
      <c r="C233" s="42"/>
      <c r="D233" s="42"/>
      <c r="E233" s="42"/>
    </row>
    <row r="234" ht="15.75" customHeight="1"/>
    <row r="235" ht="21.75" customHeight="1">
      <c r="A235" s="76">
        <v>25.0</v>
      </c>
      <c r="B235" s="77" t="s">
        <v>611</v>
      </c>
      <c r="C235" s="53"/>
      <c r="D235" s="53"/>
      <c r="E235" s="54"/>
      <c r="F235" s="78" t="s">
        <v>178</v>
      </c>
      <c r="G235" s="71" t="s">
        <v>47</v>
      </c>
      <c r="H235" s="79" t="str">
        <f>IF(G235="",IF(COUNTA(B239:G242)&gt;0,"⚠ 상태 미선택(입력값 있음)","상태 미선택 → 미수집 간주"),IF(G235="값 있음",IF(COUNTA(B239:G242)=0,"⚠ 값 있음인데 입력값 없음","✓ 정상"),IF(COUNTA(B239:G242)&gt;0,"⚠ 상태와 입력값 불일치","✓ 정상")))</f>
        <v>✓ 정상</v>
      </c>
      <c r="I235" s="54"/>
    </row>
    <row r="236" ht="24.0" customHeight="1">
      <c r="B236" s="60" t="s">
        <v>1174</v>
      </c>
    </row>
    <row r="237" ht="15.75" customHeight="1">
      <c r="A237" s="62" t="s">
        <v>24</v>
      </c>
      <c r="B237" s="13" t="s">
        <v>215</v>
      </c>
      <c r="C237" s="13" t="s">
        <v>193</v>
      </c>
      <c r="D237" s="13" t="s">
        <v>901</v>
      </c>
      <c r="E237" s="13" t="s">
        <v>902</v>
      </c>
      <c r="F237" s="13" t="s">
        <v>1175</v>
      </c>
      <c r="G237" s="13" t="s">
        <v>904</v>
      </c>
    </row>
    <row r="238" ht="25.5" customHeight="1">
      <c r="A238" s="63" t="s">
        <v>111</v>
      </c>
      <c r="B238" s="63" t="s">
        <v>130</v>
      </c>
      <c r="C238" s="64" t="s">
        <v>1176</v>
      </c>
      <c r="D238" s="63" t="s">
        <v>78</v>
      </c>
      <c r="E238" s="63" t="s">
        <v>78</v>
      </c>
      <c r="F238" s="63" t="s">
        <v>78</v>
      </c>
      <c r="G238" s="63" t="s">
        <v>130</v>
      </c>
    </row>
    <row r="239" ht="15.75" customHeight="1">
      <c r="A239" s="65">
        <v>1.0</v>
      </c>
      <c r="B239" s="69" t="s">
        <v>581</v>
      </c>
      <c r="C239" s="39" t="s">
        <v>306</v>
      </c>
      <c r="D239" s="42">
        <v>4.2</v>
      </c>
      <c r="E239" s="42">
        <v>5.0</v>
      </c>
      <c r="F239" s="42">
        <v>4.0</v>
      </c>
      <c r="G239" s="69" t="s">
        <v>1177</v>
      </c>
    </row>
    <row r="240" ht="15.75" customHeight="1">
      <c r="A240" s="65">
        <v>2.0</v>
      </c>
      <c r="B240" s="42"/>
      <c r="C240" s="39"/>
      <c r="D240" s="42"/>
      <c r="E240" s="42"/>
      <c r="F240" s="42"/>
      <c r="G240" s="42"/>
    </row>
    <row r="241" ht="15.75" customHeight="1">
      <c r="A241" s="65">
        <v>3.0</v>
      </c>
      <c r="B241" s="42"/>
      <c r="C241" s="39"/>
      <c r="D241" s="42"/>
      <c r="E241" s="42"/>
      <c r="F241" s="42"/>
      <c r="G241" s="42"/>
    </row>
    <row r="242" ht="15.75" customHeight="1">
      <c r="A242" s="65">
        <v>4.0</v>
      </c>
      <c r="B242" s="42"/>
      <c r="C242" s="39"/>
      <c r="D242" s="42"/>
      <c r="E242" s="42"/>
      <c r="F242" s="42"/>
      <c r="G242" s="42"/>
    </row>
    <row r="243" ht="15.75" customHeight="1"/>
    <row r="244" ht="21.75" customHeight="1">
      <c r="A244" s="33" t="s">
        <v>1179</v>
      </c>
      <c r="B244" s="8"/>
      <c r="C244" s="8"/>
      <c r="D244" s="8"/>
      <c r="E244" s="8"/>
      <c r="F244" s="8"/>
      <c r="G244" s="8"/>
      <c r="H244" s="8"/>
      <c r="I244" s="7"/>
    </row>
    <row r="245" ht="21.75" customHeight="1">
      <c r="A245" s="51">
        <v>26.0</v>
      </c>
      <c r="B245" s="52" t="s">
        <v>1181</v>
      </c>
      <c r="C245" s="53"/>
      <c r="D245" s="53"/>
      <c r="E245" s="54"/>
      <c r="F245" s="55" t="s">
        <v>178</v>
      </c>
      <c r="G245" s="71" t="s">
        <v>47</v>
      </c>
      <c r="H245" s="59" t="str">
        <f>IF(G245="",IF(COUNTA(B249:F252)&gt;0,"⚠ 상태 미선택(입력값 있음)","상태 미선택 → 미수집 간주"),IF(G245="값 있음",IF(COUNTA(B249:F252)=0,"⚠ 값 있음인데 입력값 없음","✓ 정상"),IF(COUNTA(B249:F252)&gt;0,"⚠ 상태와 입력값 불일치","✓ 정상")))</f>
        <v>✓ 정상</v>
      </c>
      <c r="I245" s="54"/>
    </row>
    <row r="246" ht="24.0" customHeight="1">
      <c r="B246" s="60" t="s">
        <v>1188</v>
      </c>
    </row>
    <row r="247" ht="15.75" customHeight="1">
      <c r="A247" s="62" t="s">
        <v>24</v>
      </c>
      <c r="B247" s="13" t="s">
        <v>931</v>
      </c>
      <c r="C247" s="13" t="s">
        <v>932</v>
      </c>
      <c r="D247" s="13" t="s">
        <v>1190</v>
      </c>
      <c r="E247" s="13" t="s">
        <v>934</v>
      </c>
      <c r="F247" s="13" t="s">
        <v>935</v>
      </c>
    </row>
    <row r="248" ht="37.5" customHeight="1">
      <c r="A248" s="63" t="s">
        <v>111</v>
      </c>
      <c r="B248" s="64" t="s">
        <v>1192</v>
      </c>
      <c r="C248" s="63" t="s">
        <v>78</v>
      </c>
      <c r="D248" s="63" t="s">
        <v>1194</v>
      </c>
      <c r="E248" s="64" t="s">
        <v>165</v>
      </c>
      <c r="F248" s="64" t="s">
        <v>165</v>
      </c>
    </row>
    <row r="249" ht="15.75" customHeight="1">
      <c r="A249" s="65">
        <v>1.0</v>
      </c>
      <c r="B249" s="42" t="s">
        <v>985</v>
      </c>
      <c r="C249" s="42">
        <v>780.0</v>
      </c>
      <c r="D249" s="42"/>
      <c r="E249" s="39" t="s">
        <v>1196</v>
      </c>
      <c r="F249" s="39" t="s">
        <v>1197</v>
      </c>
    </row>
    <row r="250" ht="15.75" customHeight="1">
      <c r="A250" s="65">
        <v>2.0</v>
      </c>
      <c r="B250" s="42"/>
      <c r="C250" s="42"/>
      <c r="D250" s="42"/>
      <c r="E250" s="39"/>
      <c r="F250" s="39"/>
    </row>
    <row r="251" ht="15.75" customHeight="1">
      <c r="A251" s="65">
        <v>3.0</v>
      </c>
      <c r="B251" s="42"/>
      <c r="C251" s="42"/>
      <c r="D251" s="42"/>
      <c r="E251" s="39"/>
      <c r="F251" s="39"/>
    </row>
    <row r="252" ht="15.75" customHeight="1">
      <c r="A252" s="65">
        <v>4.0</v>
      </c>
      <c r="B252" s="42"/>
      <c r="C252" s="42"/>
      <c r="D252" s="42"/>
      <c r="E252" s="39"/>
      <c r="F252" s="39"/>
    </row>
    <row r="253" ht="15.75" customHeight="1"/>
    <row r="254" ht="21.75" customHeight="1">
      <c r="A254" s="51">
        <v>27.0</v>
      </c>
      <c r="B254" s="52" t="s">
        <v>1201</v>
      </c>
      <c r="C254" s="53"/>
      <c r="D254" s="53"/>
      <c r="E254" s="54"/>
      <c r="F254" s="55" t="s">
        <v>178</v>
      </c>
      <c r="G254" s="71" t="s">
        <v>47</v>
      </c>
      <c r="H254" s="59" t="str">
        <f>IF(G254="",IF(COUNTA(B258:E262)&gt;0,"⚠ 상태 미선택(입력값 있음)","상태 미선택 → 미수집 간주"),IF(G254="값 있음",IF(COUNTA(B258:E262)=0,"⚠ 값 있음인데 입력값 없음","✓ 정상"),IF(COUNTA(B258:E262)&gt;0,"⚠ 상태와 입력값 불일치","✓ 정상")))</f>
        <v>✓ 정상</v>
      </c>
      <c r="I254" s="54"/>
    </row>
    <row r="255" ht="24.0" customHeight="1">
      <c r="B255" s="60" t="s">
        <v>1202</v>
      </c>
    </row>
    <row r="256" ht="15.75" customHeight="1">
      <c r="A256" s="62" t="s">
        <v>24</v>
      </c>
      <c r="B256" s="13" t="s">
        <v>954</v>
      </c>
      <c r="C256" s="13" t="s">
        <v>1205</v>
      </c>
      <c r="D256" s="13" t="s">
        <v>956</v>
      </c>
      <c r="E256" s="13" t="s">
        <v>957</v>
      </c>
    </row>
    <row r="257" ht="15.0" customHeight="1">
      <c r="A257" s="63" t="s">
        <v>111</v>
      </c>
      <c r="B257" s="63" t="s">
        <v>130</v>
      </c>
      <c r="C257" s="63" t="s">
        <v>130</v>
      </c>
      <c r="D257" s="63" t="s">
        <v>130</v>
      </c>
      <c r="E257" s="64" t="s">
        <v>165</v>
      </c>
    </row>
    <row r="258" ht="15.75" customHeight="1">
      <c r="A258" s="65">
        <v>1.0</v>
      </c>
      <c r="B258" s="69" t="s">
        <v>1207</v>
      </c>
      <c r="C258" s="69" t="s">
        <v>1209</v>
      </c>
      <c r="D258" s="69" t="s">
        <v>1210</v>
      </c>
      <c r="E258" s="39" t="s">
        <v>1211</v>
      </c>
    </row>
    <row r="259" ht="15.75" customHeight="1">
      <c r="A259" s="65">
        <v>2.0</v>
      </c>
      <c r="B259" s="69" t="s">
        <v>1017</v>
      </c>
      <c r="C259" s="42" t="s">
        <v>1213</v>
      </c>
      <c r="D259" s="69" t="s">
        <v>1019</v>
      </c>
      <c r="E259" s="39" t="s">
        <v>1215</v>
      </c>
    </row>
    <row r="260" ht="15.75" customHeight="1">
      <c r="A260" s="65">
        <v>3.0</v>
      </c>
      <c r="B260" s="42"/>
      <c r="C260" s="42"/>
      <c r="D260" s="42"/>
      <c r="E260" s="39"/>
    </row>
    <row r="261" ht="15.75" customHeight="1">
      <c r="A261" s="65">
        <v>4.0</v>
      </c>
      <c r="B261" s="42"/>
      <c r="C261" s="42"/>
      <c r="D261" s="42"/>
      <c r="E261" s="39"/>
    </row>
    <row r="262" ht="15.75" customHeight="1">
      <c r="A262" s="65">
        <v>5.0</v>
      </c>
      <c r="B262" s="42"/>
      <c r="C262" s="42"/>
      <c r="D262" s="42"/>
      <c r="E262" s="39"/>
    </row>
    <row r="263" ht="15.75" customHeight="1"/>
    <row r="264" ht="21.75" customHeight="1">
      <c r="A264" s="70">
        <v>28.0</v>
      </c>
      <c r="B264" s="72" t="s">
        <v>1218</v>
      </c>
      <c r="C264" s="53"/>
      <c r="D264" s="53"/>
      <c r="E264" s="54"/>
      <c r="F264" s="73" t="s">
        <v>178</v>
      </c>
      <c r="G264" s="71" t="s">
        <v>49</v>
      </c>
      <c r="H264" s="74" t="str">
        <f>IF(G264="",IF(COUNTA(B268:D269)&gt;0,"⚠ 상태 미선택(입력값 있음)","상태 미선택 → 미수집 간주"),IF(G264="값 있음",IF(COUNTA(B268:D269)=0,"⚠ 값 있음인데 입력값 없음","✓ 정상"),IF(COUNTA(B268:D269)&gt;0,"⚠ 상태와 입력값 불일치","✓ 정상")))</f>
        <v>✓ 정상</v>
      </c>
      <c r="I264" s="54"/>
    </row>
    <row r="265" ht="15.0" customHeight="1">
      <c r="B265" s="60" t="s">
        <v>1221</v>
      </c>
    </row>
    <row r="266" ht="15.75" customHeight="1">
      <c r="A266" s="62" t="s">
        <v>24</v>
      </c>
      <c r="B266" s="13" t="s">
        <v>931</v>
      </c>
      <c r="C266" s="13" t="s">
        <v>972</v>
      </c>
      <c r="D266" s="13" t="s">
        <v>974</v>
      </c>
    </row>
    <row r="267" ht="25.5" customHeight="1">
      <c r="A267" s="63" t="s">
        <v>111</v>
      </c>
      <c r="B267" s="63" t="s">
        <v>130</v>
      </c>
      <c r="C267" s="64" t="s">
        <v>1222</v>
      </c>
      <c r="D267" s="64" t="s">
        <v>977</v>
      </c>
    </row>
    <row r="268" ht="15.75" customHeight="1">
      <c r="A268" s="65">
        <v>1.0</v>
      </c>
      <c r="B268" s="42"/>
      <c r="C268" s="42"/>
      <c r="D268" s="39"/>
    </row>
    <row r="269" ht="15.75" customHeight="1">
      <c r="A269" s="65">
        <v>2.0</v>
      </c>
      <c r="B269" s="42"/>
      <c r="C269" s="42"/>
      <c r="D269" s="39"/>
    </row>
    <row r="270" ht="15.75" customHeight="1"/>
    <row r="271" ht="21.75" customHeight="1">
      <c r="A271" s="70">
        <v>29.0</v>
      </c>
      <c r="B271" s="80" t="s">
        <v>1223</v>
      </c>
      <c r="C271" s="53"/>
      <c r="D271" s="53"/>
      <c r="E271" s="54"/>
      <c r="F271" s="73" t="s">
        <v>178</v>
      </c>
      <c r="G271" s="71" t="s">
        <v>47</v>
      </c>
      <c r="H271" s="74" t="str">
        <f>IF(G271="",IF(COUNTA(C273:C277)&gt;0,"⚠ 상태 미선택(입력값 있음)","상태 미선택 → 미수집 간주"),IF(G271="값 있음",IF(COUNTA(C273:C277)=0,"⚠ 값 있음인데 입력값 없음","✓ 정상"),IF(COUNTA(C273:C277)&gt;0,"⚠ 상태와 입력값 불일치","✓ 정상")))</f>
        <v>✓ 정상</v>
      </c>
      <c r="I271" s="54"/>
    </row>
    <row r="272" ht="24.0" customHeight="1">
      <c r="B272" s="60" t="s">
        <v>1226</v>
      </c>
    </row>
    <row r="273" ht="15.75" customHeight="1">
      <c r="B273" s="17" t="s">
        <v>993</v>
      </c>
      <c r="C273" s="69" t="s">
        <v>1042</v>
      </c>
      <c r="D273" s="40" t="s">
        <v>147</v>
      </c>
      <c r="E273" s="50" t="s">
        <v>1228</v>
      </c>
    </row>
    <row r="274" ht="15.75" customHeight="1">
      <c r="B274" s="17" t="s">
        <v>998</v>
      </c>
      <c r="C274" s="69" t="s">
        <v>1231</v>
      </c>
      <c r="D274" s="40" t="s">
        <v>147</v>
      </c>
      <c r="E274" s="50" t="s">
        <v>1232</v>
      </c>
    </row>
    <row r="275" ht="15.75" customHeight="1">
      <c r="B275" s="17" t="s">
        <v>1002</v>
      </c>
      <c r="C275" s="69" t="s">
        <v>1042</v>
      </c>
      <c r="D275" s="40" t="s">
        <v>147</v>
      </c>
      <c r="E275" s="50" t="s">
        <v>1234</v>
      </c>
    </row>
    <row r="276" ht="15.75" customHeight="1">
      <c r="B276" s="9" t="s">
        <v>1237</v>
      </c>
      <c r="C276" s="69" t="s">
        <v>763</v>
      </c>
      <c r="D276" s="40" t="s">
        <v>147</v>
      </c>
      <c r="E276" s="50" t="s">
        <v>1238</v>
      </c>
    </row>
    <row r="277" ht="15.75" customHeight="1">
      <c r="B277" s="17" t="s">
        <v>1007</v>
      </c>
      <c r="C277" s="69" t="s">
        <v>1042</v>
      </c>
      <c r="D277" s="40" t="s">
        <v>147</v>
      </c>
      <c r="E277" s="50" t="s">
        <v>1239</v>
      </c>
    </row>
    <row r="278" ht="15.75" customHeight="1"/>
    <row r="279" ht="21.75" customHeight="1">
      <c r="A279" s="70">
        <v>30.0</v>
      </c>
      <c r="B279" s="72" t="s">
        <v>743</v>
      </c>
      <c r="C279" s="53"/>
      <c r="D279" s="53"/>
      <c r="E279" s="54"/>
      <c r="F279" s="73" t="s">
        <v>178</v>
      </c>
      <c r="G279" s="71" t="s">
        <v>47</v>
      </c>
      <c r="H279" s="74" t="str">
        <f>IF(G279="",IF(COUNTA(C281:C283)&gt;0,"⚠ 상태 미선택(입력값 있음)","상태 미선택 → 미수집 간주"),IF(G279="값 있음",IF(COUNTA(C281:C283)=0,"⚠ 값 있음인데 입력값 없음","✓ 정상"),IF(COUNTA(C281:C283)&gt;0,"⚠ 상태와 입력값 불일치","✓ 정상")))</f>
        <v>✓ 정상</v>
      </c>
      <c r="I279" s="54"/>
    </row>
    <row r="280" ht="15.0" customHeight="1">
      <c r="B280" s="60" t="s">
        <v>1248</v>
      </c>
    </row>
    <row r="281" ht="15.75" customHeight="1">
      <c r="B281" s="17" t="s">
        <v>1249</v>
      </c>
      <c r="C281" s="42">
        <v>94.0</v>
      </c>
      <c r="D281" s="40" t="s">
        <v>78</v>
      </c>
      <c r="E281" s="41"/>
    </row>
    <row r="282" ht="15.75" customHeight="1">
      <c r="B282" s="17" t="s">
        <v>1252</v>
      </c>
      <c r="C282" s="42">
        <v>90.0</v>
      </c>
      <c r="D282" s="40" t="s">
        <v>78</v>
      </c>
      <c r="E282" s="41" t="s">
        <v>1254</v>
      </c>
    </row>
    <row r="283" ht="15.75" customHeight="1">
      <c r="B283" s="17" t="s">
        <v>1037</v>
      </c>
      <c r="C283" s="39" t="s">
        <v>1075</v>
      </c>
      <c r="D283" s="49" t="s">
        <v>165</v>
      </c>
      <c r="E283" s="41"/>
    </row>
    <row r="284" ht="15.75" customHeight="1"/>
    <row r="285" ht="21.75" customHeight="1">
      <c r="A285" s="33" t="s">
        <v>1255</v>
      </c>
      <c r="B285" s="8"/>
      <c r="C285" s="8"/>
      <c r="D285" s="8"/>
      <c r="E285" s="8"/>
      <c r="F285" s="8"/>
      <c r="G285" s="8"/>
      <c r="H285" s="8"/>
      <c r="I285" s="7"/>
    </row>
    <row r="286" ht="21.75" customHeight="1">
      <c r="A286" s="70">
        <v>31.0</v>
      </c>
      <c r="B286" s="80" t="s">
        <v>1258</v>
      </c>
      <c r="C286" s="53"/>
      <c r="D286" s="53"/>
      <c r="E286" s="54"/>
      <c r="F286" s="73" t="s">
        <v>178</v>
      </c>
      <c r="G286" s="71" t="s">
        <v>47</v>
      </c>
      <c r="H286" s="74" t="str">
        <f>IF(G286="",IF(COUNTA(C288,B291:D296)&gt;0,"⚠ 상태 미선택(입력값 있음)","상태 미선택 → 미수집 간주"),IF(G286="값 있음",IF(COUNTA(C288,B291:D296)=0,"⚠ 값 있음인데 입력값 없음","✓ 정상"),IF(COUNTA(C288,B291:D296)&gt;0,"⚠ 상태와 입력값 불일치","✓ 정상")))</f>
        <v>✓ 정상</v>
      </c>
      <c r="I286" s="54"/>
    </row>
    <row r="287" ht="24.0" customHeight="1">
      <c r="B287" s="60" t="s">
        <v>1271</v>
      </c>
    </row>
    <row r="288" ht="15.75" customHeight="1">
      <c r="B288" s="17" t="s">
        <v>1058</v>
      </c>
      <c r="C288" s="39" t="s">
        <v>1274</v>
      </c>
      <c r="D288" s="49" t="s">
        <v>165</v>
      </c>
      <c r="E288" s="41"/>
    </row>
    <row r="289" ht="15.75" customHeight="1">
      <c r="A289" s="62" t="s">
        <v>24</v>
      </c>
      <c r="B289" s="13" t="s">
        <v>1059</v>
      </c>
      <c r="C289" s="13" t="s">
        <v>1060</v>
      </c>
      <c r="D289" s="13" t="s">
        <v>902</v>
      </c>
    </row>
    <row r="290" ht="15.0" customHeight="1">
      <c r="A290" s="63" t="s">
        <v>111</v>
      </c>
      <c r="B290" s="63" t="s">
        <v>1061</v>
      </c>
      <c r="C290" s="63" t="s">
        <v>78</v>
      </c>
      <c r="D290" s="63" t="s">
        <v>78</v>
      </c>
    </row>
    <row r="291" ht="15.75" customHeight="1">
      <c r="A291" s="65">
        <v>1.0</v>
      </c>
      <c r="B291" s="69" t="s">
        <v>1097</v>
      </c>
      <c r="C291" s="42">
        <v>3.8</v>
      </c>
      <c r="D291" s="42">
        <v>5.0</v>
      </c>
    </row>
    <row r="292" ht="15.75" customHeight="1">
      <c r="A292" s="65">
        <v>2.0</v>
      </c>
      <c r="B292" s="69" t="s">
        <v>1099</v>
      </c>
      <c r="C292" s="42">
        <v>3.5</v>
      </c>
      <c r="D292" s="42">
        <v>5.0</v>
      </c>
    </row>
    <row r="293" ht="15.75" customHeight="1">
      <c r="A293" s="65">
        <v>3.0</v>
      </c>
      <c r="B293" s="69" t="s">
        <v>1101</v>
      </c>
      <c r="C293" s="42">
        <v>4.3</v>
      </c>
      <c r="D293" s="42">
        <v>5.0</v>
      </c>
    </row>
    <row r="294" ht="15.75" customHeight="1">
      <c r="A294" s="65">
        <v>4.0</v>
      </c>
      <c r="B294" s="69" t="s">
        <v>1102</v>
      </c>
      <c r="C294" s="42">
        <v>4.0</v>
      </c>
      <c r="D294" s="42">
        <v>5.0</v>
      </c>
    </row>
    <row r="295" ht="15.75" customHeight="1">
      <c r="A295" s="65">
        <v>5.0</v>
      </c>
      <c r="B295" s="69" t="s">
        <v>418</v>
      </c>
      <c r="C295" s="42">
        <v>3.0</v>
      </c>
      <c r="D295" s="42">
        <v>5.0</v>
      </c>
    </row>
    <row r="296" ht="15.75" customHeight="1">
      <c r="A296" s="65">
        <v>6.0</v>
      </c>
      <c r="B296" s="69" t="s">
        <v>1104</v>
      </c>
      <c r="C296" s="42">
        <v>4.1</v>
      </c>
      <c r="D296" s="42">
        <v>5.0</v>
      </c>
    </row>
    <row r="297" ht="15.75" customHeight="1"/>
    <row r="298" ht="21.75" customHeight="1">
      <c r="A298" s="70">
        <v>32.0</v>
      </c>
      <c r="B298" s="72" t="s">
        <v>786</v>
      </c>
      <c r="C298" s="53"/>
      <c r="D298" s="53"/>
      <c r="E298" s="54"/>
      <c r="F298" s="73" t="s">
        <v>178</v>
      </c>
      <c r="G298" s="71" t="s">
        <v>47</v>
      </c>
      <c r="H298" s="74" t="str">
        <f>IF(G298="",IF(COUNTA(C300:C303)&gt;0,"⚠ 상태 미선택(입력값 있음)","상태 미선택 → 미수집 간주"),IF(G298="값 있음",IF(COUNTA(C300:C303)=0,"⚠ 값 있음인데 입력값 없음","✓ 정상"),IF(COUNTA(C300:C303)&gt;0,"⚠ 상태와 입력값 불일치","✓ 정상")))</f>
        <v>✓ 정상</v>
      </c>
      <c r="I298" s="54"/>
    </row>
    <row r="299" ht="15.0" customHeight="1">
      <c r="B299" s="60" t="s">
        <v>1294</v>
      </c>
    </row>
    <row r="300" ht="15.75" customHeight="1">
      <c r="B300" s="17" t="s">
        <v>1058</v>
      </c>
      <c r="C300" s="39" t="s">
        <v>1274</v>
      </c>
      <c r="D300" s="49" t="s">
        <v>165</v>
      </c>
      <c r="E300" s="41"/>
    </row>
    <row r="301" ht="15.75" customHeight="1">
      <c r="B301" s="17" t="s">
        <v>1077</v>
      </c>
      <c r="C301" s="42">
        <v>72.0</v>
      </c>
      <c r="D301" s="40" t="s">
        <v>78</v>
      </c>
      <c r="E301" s="41"/>
    </row>
    <row r="302" ht="15.75" customHeight="1">
      <c r="B302" s="17" t="s">
        <v>902</v>
      </c>
      <c r="C302" s="42">
        <v>100.0</v>
      </c>
      <c r="D302" s="40" t="s">
        <v>78</v>
      </c>
      <c r="E302" s="41"/>
    </row>
    <row r="303" ht="30.0" customHeight="1">
      <c r="B303" s="17" t="s">
        <v>1079</v>
      </c>
      <c r="C303" s="69" t="s">
        <v>1298</v>
      </c>
      <c r="D303" s="40" t="s">
        <v>130</v>
      </c>
      <c r="E303" s="41" t="s">
        <v>1080</v>
      </c>
    </row>
    <row r="304" ht="15.75" customHeight="1"/>
    <row r="305" ht="21.75" customHeight="1">
      <c r="A305" s="76">
        <v>33.0</v>
      </c>
      <c r="B305" s="77" t="s">
        <v>1302</v>
      </c>
      <c r="C305" s="53"/>
      <c r="D305" s="53"/>
      <c r="E305" s="54"/>
      <c r="F305" s="78" t="s">
        <v>178</v>
      </c>
      <c r="G305" s="71" t="s">
        <v>47</v>
      </c>
      <c r="H305" s="79" t="str">
        <f>IF(G305="",IF(COUNTA(B309:G311)&gt;0,"⚠ 상태 미선택(입력값 있음)","상태 미선택 → 미수집 간주"),IF(G305="값 있음",IF(COUNTA(B309:G311)=0,"⚠ 값 있음인데 입력값 없음","✓ 정상"),IF(COUNTA(B309:G311)&gt;0,"⚠ 상태와 입력값 불일치","✓ 정상")))</f>
        <v>✓ 정상</v>
      </c>
      <c r="I305" s="54"/>
    </row>
    <row r="306" ht="24.0" customHeight="1">
      <c r="B306" s="60" t="s">
        <v>1326</v>
      </c>
    </row>
    <row r="307" ht="15.75" customHeight="1">
      <c r="A307" s="62" t="s">
        <v>24</v>
      </c>
      <c r="B307" s="13" t="s">
        <v>1327</v>
      </c>
      <c r="C307" s="13" t="s">
        <v>1090</v>
      </c>
      <c r="D307" s="13" t="s">
        <v>1328</v>
      </c>
      <c r="E307" s="13" t="s">
        <v>1329</v>
      </c>
      <c r="F307" s="13" t="s">
        <v>1330</v>
      </c>
      <c r="G307" s="13" t="s">
        <v>1331</v>
      </c>
    </row>
    <row r="308" ht="15.0" customHeight="1">
      <c r="A308" s="63" t="s">
        <v>111</v>
      </c>
      <c r="B308" s="63" t="s">
        <v>1332</v>
      </c>
      <c r="C308" s="63" t="s">
        <v>130</v>
      </c>
      <c r="D308" s="63" t="s">
        <v>525</v>
      </c>
      <c r="E308" s="63" t="s">
        <v>525</v>
      </c>
      <c r="F308" s="63" t="s">
        <v>525</v>
      </c>
      <c r="G308" s="63" t="s">
        <v>1333</v>
      </c>
    </row>
    <row r="309" ht="60.0" customHeight="1">
      <c r="A309" s="65">
        <v>1.0</v>
      </c>
      <c r="B309" s="42">
        <v>22.0</v>
      </c>
      <c r="C309" s="69" t="s">
        <v>1334</v>
      </c>
      <c r="D309" s="69" t="s">
        <v>1335</v>
      </c>
      <c r="E309" s="69" t="s">
        <v>1336</v>
      </c>
      <c r="F309" s="69" t="s">
        <v>1337</v>
      </c>
      <c r="G309" s="69" t="s">
        <v>1339</v>
      </c>
    </row>
    <row r="310" ht="60.0" customHeight="1">
      <c r="A310" s="65">
        <v>2.0</v>
      </c>
      <c r="B310" s="42"/>
      <c r="C310" s="42"/>
      <c r="D310" s="42"/>
      <c r="E310" s="42"/>
      <c r="F310" s="42"/>
      <c r="G310" s="42"/>
    </row>
    <row r="311" ht="60.0" customHeight="1">
      <c r="A311" s="65">
        <v>3.0</v>
      </c>
      <c r="B311" s="42"/>
      <c r="C311" s="42"/>
      <c r="D311" s="42"/>
      <c r="E311" s="42"/>
      <c r="F311" s="42"/>
      <c r="G311" s="42"/>
    </row>
    <row r="312" ht="15.75" customHeight="1"/>
    <row r="313" ht="21.75" customHeight="1">
      <c r="A313" s="76">
        <v>34.0</v>
      </c>
      <c r="B313" s="77" t="s">
        <v>826</v>
      </c>
      <c r="C313" s="53"/>
      <c r="D313" s="53"/>
      <c r="E313" s="54"/>
      <c r="F313" s="78" t="s">
        <v>178</v>
      </c>
      <c r="G313" s="71" t="s">
        <v>950</v>
      </c>
      <c r="H313" s="79" t="str">
        <f>IF(G313="",IF(COUNTA(B317:F318)&gt;0,"⚠ 상태 미선택(입력값 있음)","상태 미선택 → 미수집 간주"),IF(G313="값 있음",IF(COUNTA(B317:F318)=0,"⚠ 값 있음인데 입력값 없음","✓ 정상"),IF(COUNTA(B317:F318)&gt;0,"⚠ 상태와 입력값 불일치","✓ 정상")))</f>
        <v>✓ 정상</v>
      </c>
      <c r="I313" s="54"/>
    </row>
    <row r="314" ht="15.0" customHeight="1">
      <c r="B314" s="60" t="s">
        <v>1360</v>
      </c>
    </row>
    <row r="315" ht="15.75" customHeight="1">
      <c r="A315" s="62" t="s">
        <v>24</v>
      </c>
      <c r="B315" s="13" t="s">
        <v>1362</v>
      </c>
      <c r="C315" s="13" t="s">
        <v>1112</v>
      </c>
      <c r="D315" s="13" t="s">
        <v>1114</v>
      </c>
      <c r="E315" s="13" t="s">
        <v>1115</v>
      </c>
      <c r="F315" s="13" t="s">
        <v>1116</v>
      </c>
    </row>
    <row r="316" ht="15.0" customHeight="1">
      <c r="A316" s="63" t="s">
        <v>111</v>
      </c>
      <c r="B316" s="63" t="s">
        <v>130</v>
      </c>
      <c r="C316" s="64" t="s">
        <v>1365</v>
      </c>
      <c r="D316" s="63" t="s">
        <v>130</v>
      </c>
      <c r="E316" s="63" t="s">
        <v>525</v>
      </c>
      <c r="F316" s="64" t="s">
        <v>165</v>
      </c>
    </row>
    <row r="317" ht="36.0" customHeight="1">
      <c r="A317" s="65">
        <v>1.0</v>
      </c>
      <c r="B317" s="42"/>
      <c r="C317" s="42"/>
      <c r="D317" s="42"/>
      <c r="E317" s="42"/>
      <c r="F317" s="39"/>
    </row>
    <row r="318" ht="36.0" customHeight="1">
      <c r="A318" s="65">
        <v>2.0</v>
      </c>
      <c r="B318" s="42"/>
      <c r="C318" s="42"/>
      <c r="D318" s="42"/>
      <c r="E318" s="42"/>
      <c r="F318" s="39"/>
    </row>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4">
    <mergeCell ref="A1:I1"/>
    <mergeCell ref="A2:I2"/>
    <mergeCell ref="F3:I3"/>
    <mergeCell ref="A5:I5"/>
    <mergeCell ref="E6:I6"/>
    <mergeCell ref="E7:I7"/>
    <mergeCell ref="E8:I8"/>
    <mergeCell ref="E9:I9"/>
    <mergeCell ref="E10:I10"/>
    <mergeCell ref="E11:I11"/>
    <mergeCell ref="E12:I12"/>
    <mergeCell ref="E13:I13"/>
    <mergeCell ref="E14:I14"/>
    <mergeCell ref="E15:I15"/>
    <mergeCell ref="E16:I16"/>
    <mergeCell ref="E17:I17"/>
    <mergeCell ref="E18:I18"/>
    <mergeCell ref="E19:I19"/>
    <mergeCell ref="E20:I20"/>
    <mergeCell ref="A22:I22"/>
    <mergeCell ref="H23:I23"/>
    <mergeCell ref="B23:E23"/>
    <mergeCell ref="B24:I24"/>
    <mergeCell ref="E25:I25"/>
    <mergeCell ref="E26:I26"/>
    <mergeCell ref="E27:I27"/>
    <mergeCell ref="H39:I39"/>
    <mergeCell ref="B40:I40"/>
    <mergeCell ref="B39:E39"/>
    <mergeCell ref="B49:E49"/>
    <mergeCell ref="H49:I49"/>
    <mergeCell ref="B50:I50"/>
    <mergeCell ref="E51:I51"/>
    <mergeCell ref="E52:I52"/>
    <mergeCell ref="H60:I60"/>
    <mergeCell ref="B60:E60"/>
    <mergeCell ref="B61:I61"/>
    <mergeCell ref="E62:I62"/>
    <mergeCell ref="E63:I63"/>
    <mergeCell ref="E64:I64"/>
    <mergeCell ref="A66:I66"/>
    <mergeCell ref="H67:I67"/>
    <mergeCell ref="B67:E67"/>
    <mergeCell ref="B68:I68"/>
    <mergeCell ref="E69:I69"/>
    <mergeCell ref="E70:I70"/>
    <mergeCell ref="E71:I71"/>
    <mergeCell ref="E72:I72"/>
    <mergeCell ref="E73:I73"/>
    <mergeCell ref="E74:I74"/>
    <mergeCell ref="B76:E76"/>
    <mergeCell ref="H76:I76"/>
    <mergeCell ref="B77:I77"/>
    <mergeCell ref="E78:I78"/>
    <mergeCell ref="E79:I79"/>
    <mergeCell ref="E80:I80"/>
    <mergeCell ref="E81:I81"/>
    <mergeCell ref="B83:E83"/>
    <mergeCell ref="H83:I83"/>
    <mergeCell ref="B84:I84"/>
    <mergeCell ref="E85:I85"/>
    <mergeCell ref="E86:I86"/>
    <mergeCell ref="E87:I87"/>
    <mergeCell ref="E88:I88"/>
    <mergeCell ref="A90:I90"/>
    <mergeCell ref="B91:E91"/>
    <mergeCell ref="H91:I91"/>
    <mergeCell ref="B92:I92"/>
    <mergeCell ref="H100:I100"/>
    <mergeCell ref="B101:I101"/>
    <mergeCell ref="B100:E100"/>
    <mergeCell ref="B108:E108"/>
    <mergeCell ref="H108:I108"/>
    <mergeCell ref="B109:I109"/>
    <mergeCell ref="A116:I116"/>
    <mergeCell ref="H117:I117"/>
    <mergeCell ref="B118:I118"/>
    <mergeCell ref="B117:E117"/>
    <mergeCell ref="B125:E125"/>
    <mergeCell ref="H125:I125"/>
    <mergeCell ref="B126:I126"/>
    <mergeCell ref="B133:E133"/>
    <mergeCell ref="H133:I133"/>
    <mergeCell ref="B134:I134"/>
    <mergeCell ref="E135:I135"/>
    <mergeCell ref="E136:I136"/>
    <mergeCell ref="E137:I137"/>
    <mergeCell ref="E138:I138"/>
    <mergeCell ref="A140:I140"/>
    <mergeCell ref="H141:I141"/>
    <mergeCell ref="B142:I142"/>
    <mergeCell ref="B141:E141"/>
    <mergeCell ref="B151:E151"/>
    <mergeCell ref="H151:I151"/>
    <mergeCell ref="B152:I152"/>
    <mergeCell ref="B158:E158"/>
    <mergeCell ref="H158:I158"/>
    <mergeCell ref="B159:I159"/>
    <mergeCell ref="B264:E264"/>
    <mergeCell ref="B265:I265"/>
    <mergeCell ref="B271:E271"/>
    <mergeCell ref="H271:I271"/>
    <mergeCell ref="B272:I272"/>
    <mergeCell ref="E273:I273"/>
    <mergeCell ref="E274:I274"/>
    <mergeCell ref="E275:I275"/>
    <mergeCell ref="E276:I276"/>
    <mergeCell ref="E277:I277"/>
    <mergeCell ref="B279:E279"/>
    <mergeCell ref="H279:I279"/>
    <mergeCell ref="B280:I280"/>
    <mergeCell ref="E281:I281"/>
    <mergeCell ref="B305:E305"/>
    <mergeCell ref="H305:I305"/>
    <mergeCell ref="B306:I306"/>
    <mergeCell ref="B313:E313"/>
    <mergeCell ref="H313:I313"/>
    <mergeCell ref="B314:I314"/>
    <mergeCell ref="B298:E298"/>
    <mergeCell ref="H298:I298"/>
    <mergeCell ref="B299:I299"/>
    <mergeCell ref="E300:I300"/>
    <mergeCell ref="E301:I301"/>
    <mergeCell ref="E302:I302"/>
    <mergeCell ref="E303:I303"/>
    <mergeCell ref="A165:I165"/>
    <mergeCell ref="B166:E166"/>
    <mergeCell ref="H166:I166"/>
    <mergeCell ref="B167:I167"/>
    <mergeCell ref="B174:E174"/>
    <mergeCell ref="H174:I174"/>
    <mergeCell ref="B175:I175"/>
    <mergeCell ref="E176:I176"/>
    <mergeCell ref="E177:I177"/>
    <mergeCell ref="E178:I178"/>
    <mergeCell ref="A180:I180"/>
    <mergeCell ref="B181:E181"/>
    <mergeCell ref="H181:I181"/>
    <mergeCell ref="B182:I182"/>
    <mergeCell ref="B190:E190"/>
    <mergeCell ref="H190:I190"/>
    <mergeCell ref="B191:I191"/>
    <mergeCell ref="B198:E198"/>
    <mergeCell ref="H198:I198"/>
    <mergeCell ref="B199:I199"/>
    <mergeCell ref="A207:I207"/>
    <mergeCell ref="B208:E208"/>
    <mergeCell ref="H208:I208"/>
    <mergeCell ref="B209:I209"/>
    <mergeCell ref="B217:E217"/>
    <mergeCell ref="H217:I217"/>
    <mergeCell ref="B218:I218"/>
    <mergeCell ref="E219:I219"/>
    <mergeCell ref="B227:E227"/>
    <mergeCell ref="H227:I227"/>
    <mergeCell ref="B228:I228"/>
    <mergeCell ref="B235:E235"/>
    <mergeCell ref="H235:I235"/>
    <mergeCell ref="B236:I236"/>
    <mergeCell ref="A244:I244"/>
    <mergeCell ref="B245:E245"/>
    <mergeCell ref="H245:I245"/>
    <mergeCell ref="B246:I246"/>
    <mergeCell ref="B254:E254"/>
    <mergeCell ref="H254:I254"/>
    <mergeCell ref="B255:I255"/>
    <mergeCell ref="H264:I264"/>
    <mergeCell ref="E282:I282"/>
    <mergeCell ref="E283:I283"/>
    <mergeCell ref="A285:I285"/>
    <mergeCell ref="B286:E286"/>
    <mergeCell ref="H286:I286"/>
    <mergeCell ref="B287:I287"/>
    <mergeCell ref="E288:I288"/>
  </mergeCells>
  <conditionalFormatting sqref="H5:H1000">
    <cfRule type="expression" dxfId="5" priority="1">
      <formula>LEFT(H5,1)="✓"</formula>
    </cfRule>
  </conditionalFormatting>
  <conditionalFormatting sqref="H5:H1000">
    <cfRule type="expression" dxfId="6" priority="2">
      <formula>LEFT(H5,2)="상태"</formula>
    </cfRule>
  </conditionalFormatting>
  <dataValidations>
    <dataValidation type="list" allowBlank="1" showInputMessage="1" showErrorMessage="1" prompt="허용값 아님 - 목록에서 선택해 주세요: 논문,보고서,학술발표자료" sqref="B104:B106">
      <formula1>"논문,보고서,학술발표자료"</formula1>
    </dataValidation>
    <dataValidation type="list" allowBlank="1" showInputMessage="1" showErrorMessage="1" prompt="허용값 아님 - 목록에서 선택해 주세요: 신청,이수중,이수완료" sqref="D55:D58">
      <formula1>"신청,이수중,이수완료"</formula1>
    </dataValidation>
    <dataValidation type="list" allowBlank="1" showInputMessage="1" showErrorMessage="1" prompt="허용값 아님 - 목록에서 선택해 주세요: 교과,비교과,3품(AI)" sqref="B185:B188">
      <formula1>"교과,비교과,3품(AI)"</formula1>
    </dataValidation>
    <dataValidation type="list" allowBlank="1" showInputMessage="1" showErrorMessage="1" prompt="허용값 아님 - 목록에서 선택해 주세요: 참가,입선,장려,우수,최우수,대상" sqref="E145:E149">
      <formula1>"참가,입선,장려,우수,최우수,대상"</formula1>
    </dataValidation>
    <dataValidation type="list" allowBlank="1" showInputMessage="1" showErrorMessage="1" prompt="허용값 아님 - 목록에서 선택해 주세요: TOEIC,TOEFL iBT,TOEIC Speaking,OPIc,HSK,JPT,JLPT,DELF/DALF,DELE,기타" sqref="B249:B252">
      <formula1>"TOEIC,TOEFL iBT,TOEIC Speaking,OPIc,HSK,JPT,JLPT,DELF/DALF,DELE,기타"</formula1>
    </dataValidation>
    <dataValidation type="list" allowBlank="1" showInputMessage="1" showErrorMessage="1" prompt="허용값 아님 - 목록에서 선택해 주세요: Y,N" sqref="C17 C20 I121:I123 C136 G170:G172">
      <formula1>"Y,N"</formula1>
    </dataValidation>
    <dataValidation type="list" allowBlank="1" showInputMessage="1" showErrorMessage="1" prompt="허용값 아님 - 목록에서 선택해 주세요: 지도교수,수업 담당교수" sqref="C317:C318">
      <formula1>"지도교수,수업 담당교수"</formula1>
    </dataValidation>
    <dataValidation type="list" allowBlank="1" showInputMessage="1" showErrorMessage="1" prompt="허용값 아님 - 목록에서 선택해 주세요: 튜터,튜티,멘토,멘티,스터디,학습공동체" sqref="B231:B233">
      <formula1>"튜터,튜티,멘토,멘티,스터디,학습공동체"</formula1>
    </dataValidation>
    <dataValidation type="list" allowBlank="1" showInputMessage="1" showErrorMessage="1" prompt="허용값 아님 - 목록에서 선택해 주세요: 학부,석사,박사,석박통합" sqref="C13">
      <formula1>"학부,석사,박사,석박통합"</formula1>
    </dataValidation>
    <dataValidation type="list" allowBlank="1" showInputMessage="1" showErrorMessage="1" prompt="허용값 아님 - 목록에서 선택해 주세요: 출원,등록" sqref="D162:D163">
      <formula1>"출원,등록"</formula1>
    </dataValidation>
    <dataValidation type="list" allowBlank="1" showInputMessage="1" showErrorMessage="1" prompt="허용값 아님 - 목록에서 선택해 주세요: 특허,실용신안,디자인,SW등록" sqref="B162:B163">
      <formula1>"특허,실용신안,디자인,SW등록"</formula1>
    </dataValidation>
    <dataValidation type="list" allowBlank="1" showInputMessage="1" showErrorMessage="1" prompt="허용값 아님 - 목록에서 선택해 주세요: 값 있음,활동 없음,미수집,해당 없음" sqref="G23 G39 G49 G60 G67 G76 G83 G91 G100 G108 G117 G125 G133 G141 G151 G158 G166 G174 G181 G190 G198 G208 G217 G227 G235 G245 G254 G264 G271 G279 G286 G298 G305 G313">
      <formula1>"값 있음,활동 없음,미수집,해당 없음"</formula1>
    </dataValidation>
    <dataValidation type="list" allowBlank="1" showInputMessage="1" showErrorMessage="1" prompt="허용값 아님 - 목록에서 선택해 주세요: 주전공,복수전공,부전공,연계전공,융합전공,심화전공" sqref="B55:B58">
      <formula1>"주전공,복수전공,부전공,연계전공,융합전공,심화전공"</formula1>
    </dataValidation>
    <dataValidation type="list" allowBlank="1" showInputMessage="1" showErrorMessage="1" prompt="허용값 아님 - 목록에서 선택해 주세요: 교내,교외(국내),국외,유학생 봉사" sqref="B222:B225">
      <formula1>"교내,교외(국내),국외,유학생 봉사"</formula1>
    </dataValidation>
    <dataValidation type="list" allowBlank="1" showInputMessage="1" showErrorMessage="1" prompt="허용값 아님 - 목록에서 선택해 주세요: 이수중,이수완료,미이수,포기" sqref="C64">
      <formula1>"이수중,이수완료,미이수,포기"</formula1>
    </dataValidation>
    <dataValidation type="list" allowBlank="1" showInputMessage="1" showErrorMessage="1" prompt="허용값 아님 - 목록에서 선택해 주세요: 관련,일부 관련,무관" sqref="H121:H123">
      <formula1>"관련,일부 관련,무관"</formula1>
    </dataValidation>
    <dataValidation type="list" allowBlank="1" showInputMessage="1" showErrorMessage="1" prompt="허용값 아님 - 목록에서 선택해 주세요: 시스템 연동,학생 직접 입력,혼합" sqref="C19">
      <formula1>"시스템 연동,학생 직접 입력,혼합"</formula1>
    </dataValidation>
    <dataValidation type="list" allowBlank="1" showInputMessage="1" showErrorMessage="1" prompt="허용값 아님 - 목록에서 선택해 주세요: 국제학술지,국내학술지,국제학술대회,국내학술대회,교내" sqref="D104:D106">
      <formula1>"국제학술지,국내학술지,국제학술대회,국내학술대회,교내"</formula1>
    </dataValidation>
    <dataValidation type="list" allowBlank="1" showInputMessage="1" showErrorMessage="1" prompt="허용값 아님 - 목록에서 선택해 주세요: 게재,게재승인,투고,작성중" sqref="E104:E106">
      <formula1>"게재,게재승인,투고,작성중"</formula1>
    </dataValidation>
    <dataValidation type="list" allowBlank="1" showInputMessage="1" showErrorMessage="1" prompt="허용값 아님 - 목록에서 선택해 주세요: 이수,수강중,미이수" sqref="F185:F188">
      <formula1>"이수,수강중,미이수"</formula1>
    </dataValidation>
    <dataValidation type="list" allowBlank="1" showInputMessage="1" showErrorMessage="1" prompt="허용값 아님 - 목록에서 선택해 주세요: 신입학,편입학,재입학" sqref="C14">
      <formula1>"신입학,편입학,재입학"</formula1>
    </dataValidation>
    <dataValidation type="list" allowBlank="1" showInputMessage="1" showErrorMessage="1" prompt="허용값 아님 - 목록에서 선택해 주세요: 창업교과목,창업경진대회,사업자등록,창업동아리" sqref="B155:B156">
      <formula1>"창업교과목,창업경진대회,사업자등록,창업동아리"</formula1>
    </dataValidation>
    <dataValidation type="list" allowBlank="1" showInputMessage="1" showErrorMessage="1" prompt="허용값 아님 - 목록에서 선택해 주세요: 고용보험,재직·경력증명,없음" sqref="F129:F131">
      <formula1>"고용보험,재직·경력증명,없음"</formula1>
    </dataValidation>
    <dataValidation type="list" allowBlank="1" showInputMessage="1" showErrorMessage="1" prompt="허용값 아님 - 목록에서 선택해 주세요: 발표형,토론형,과제·보고서형,PBL형" sqref="D43:D47">
      <formula1>"발표형,토론형,과제·보고서형,PBL형"</formula1>
    </dataValidation>
    <dataValidation type="list" allowBlank="1" showInputMessage="1" showErrorMessage="1" prompt="허용값 아님 - 목록에서 선택해 주세요: A+,A0,B+,B0,C+,C0,D+,D0,F,P" sqref="E43:E47">
      <formula1>"A+,A0,B+,B0,C+,C0,D+,D0,F,P"</formula1>
    </dataValidation>
    <dataValidation type="list" allowBlank="1" showInputMessage="1" showErrorMessage="1" prompt="허용값 아님 - 목록에서 선택해 주세요: 교환학생,어학연수,해외봉사,국제연구,국제문화체험,해외학습" sqref="B170:B172">
      <formula1>"교환학생,어학연수,해외봉사,국제연구,국제문화체험,해외학습"</formula1>
    </dataValidation>
    <dataValidation type="list" allowBlank="1" showInputMessage="1" showErrorMessage="1" prompt="허용값 아님 - 목록에서 선택해 주세요: 대상,비대상" sqref="C62">
      <formula1>"대상,비대상"</formula1>
    </dataValidation>
    <dataValidation type="list" allowBlank="1" showInputMessage="1" showErrorMessage="1" prompt="허용값 아님 - 목록에서 선택해 주세요: 기초,활용,능숙" sqref="C202:C205">
      <formula1>"기초,활용,능숙"</formula1>
    </dataValidation>
    <dataValidation type="list" allowBlank="1" showInputMessage="1" showErrorMessage="1" prompt="허용값 아님 - 목록에서 선택해 주세요: 학부연구생,URP,학회,연구실 인턴,팀연구프로젝트" sqref="B95:B98">
      <formula1>"학부연구생,URP,학회,연구실 인턴,팀연구프로젝트"</formula1>
    </dataValidation>
    <dataValidation type="list" allowBlank="1" showInputMessage="1" showErrorMessage="1" prompt="허용값 아님 - 목록에서 선택해 주세요: AI캡스톤,AI대회,AI공모전,AI프로젝트" sqref="B194:B196">
      <formula1>"AI캡스톤,AI대회,AI공모전,AI프로젝트"</formula1>
    </dataValidation>
    <dataValidation type="list" allowBlank="1" showInputMessage="1" showErrorMessage="1" prompt="허용값 아님 - 목록에서 선택해 주세요: 재학,휴학,수료" sqref="C16">
      <formula1>"재학,휴학,수료"</formula1>
    </dataValidation>
    <dataValidation type="list" allowBlank="1" showInputMessage="1" showErrorMessage="1" prompt="허용값 아님 - 목록에서 선택해 주세요: 동아리,학생회,학회,기타단체" sqref="B212:B215">
      <formula1>"동아리,학생회,학회,기타단체"</formula1>
    </dataValidation>
    <dataValidation type="list" allowBlank="1" showInputMessage="1" showErrorMessage="1" prompt="허용값 아님 - 목록에서 선택해 주세요: 교내,지역,전국,국제" sqref="D145:D149 F194:F196">
      <formula1>"교내,지역,전국,국제"</formula1>
    </dataValidation>
    <dataValidation type="list" allowBlank="1" showInputMessage="1" showErrorMessage="1" prompt="허용값 아님 - 목록에서 선택해 주세요: 인턴십,현장실습,연구체험,문제해결프로젝트" sqref="B121:B123">
      <formula1>"인턴십,현장실습,연구체험,문제해결프로젝트"</formula1>
    </dataValidation>
    <dataValidation type="list" allowBlank="1" showInputMessage="1" showErrorMessage="1" prompt="허용값 아님 - 목록에서 선택해 주세요: 개인,팀" sqref="F145:F149">
      <formula1>"개인,팀"</formula1>
    </dataValidation>
    <dataValidation type="list" allowBlank="1" showInputMessage="1" showErrorMessage="1" prompt="허용값 아님 - 목록에서 선택해 주세요: 단독,공동" sqref="G162:G163">
      <formula1>"단독,공동"</formula1>
    </dataValidation>
    <dataValidation type="list" allowBlank="1" showInputMessage="1" showErrorMessage="1" prompt="허용값 아님 - 목록에서 선택해 주세요: 회장,부회장,부장,총무,부원" sqref="D212:D215">
      <formula1>"회장,부회장,부장,총무,부원"</formula1>
    </dataValidation>
    <dataValidation type="list" allowBlank="1" showInputMessage="1" showErrorMessage="1" prompt="허용값 아님 - 목록에서 선택해 주세요: 단독,제1저자,공동저자" sqref="F104:F106">
      <formula1>"단독,제1저자,공동저자"</formula1>
    </dataValidation>
    <dataValidation type="list" allowBlank="1" showInputMessage="1" showErrorMessage="1" prompt="허용값 아님 - 목록에서 선택해 주세요: 취득,진행중,미취득" sqref="C273:C277">
      <formula1>"취득,진행중,미취득"</formula1>
    </dataValidation>
    <dataValidation type="list" allowBlank="1" showInputMessage="1" showErrorMessage="1" prompt="허용값 아님 - 목록에서 선택해 주세요: 응시,1차 합격,2차 합격,최종 합격" sqref="C268:C269">
      <formula1>"응시,1차 합격,2차 합격,최종 합격"</formula1>
    </dataValidation>
  </dataValidations>
  <printOptions/>
  <pageMargins bottom="1.0" footer="0.0" header="0.0" left="0.75" right="0.75" top="1.0"/>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9BD5"/>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6.0"/>
    <col customWidth="1" min="2" max="2" width="22.0"/>
    <col customWidth="1" min="3" max="3" width="20.0"/>
    <col customWidth="1" min="4" max="5" width="17.0"/>
    <col customWidth="1" min="6" max="7" width="15.0"/>
    <col customWidth="1" min="8" max="8" width="17.0"/>
    <col customWidth="1" min="9" max="9" width="30.0"/>
    <col customWidth="1" min="10" max="26" width="8.71"/>
  </cols>
  <sheetData>
    <row r="1" ht="25.5" customHeight="1">
      <c r="A1" s="66" t="s">
        <v>1169</v>
      </c>
    </row>
    <row r="2" ht="30.0" customHeight="1">
      <c r="A2" s="16" t="s">
        <v>1170</v>
      </c>
    </row>
    <row r="3" ht="15.0" customHeight="1">
      <c r="A3" s="23" t="s">
        <v>73</v>
      </c>
      <c r="B3" s="25" t="s">
        <v>67</v>
      </c>
      <c r="C3" s="27" t="s">
        <v>89</v>
      </c>
      <c r="D3" s="28" t="s">
        <v>1171</v>
      </c>
      <c r="E3" s="30" t="s">
        <v>100</v>
      </c>
      <c r="F3" s="16" t="s">
        <v>1172</v>
      </c>
    </row>
    <row r="5" ht="21.75" customHeight="1">
      <c r="A5" s="33" t="s">
        <v>1173</v>
      </c>
      <c r="B5" s="8"/>
      <c r="C5" s="8"/>
      <c r="D5" s="8"/>
      <c r="E5" s="8"/>
      <c r="F5" s="8"/>
      <c r="G5" s="8"/>
      <c r="H5" s="8"/>
      <c r="I5" s="7"/>
    </row>
    <row r="6" ht="15.0" customHeight="1">
      <c r="B6" s="13" t="s">
        <v>107</v>
      </c>
      <c r="C6" s="13" t="s">
        <v>108</v>
      </c>
      <c r="D6" s="13" t="s">
        <v>111</v>
      </c>
      <c r="E6" s="36" t="s">
        <v>112</v>
      </c>
      <c r="F6" s="37"/>
      <c r="G6" s="37"/>
      <c r="H6" s="37"/>
      <c r="I6" s="38"/>
    </row>
    <row r="7">
      <c r="B7" s="17" t="s">
        <v>36</v>
      </c>
      <c r="C7" s="39" t="s">
        <v>175</v>
      </c>
      <c r="D7" s="40" t="s">
        <v>1178</v>
      </c>
      <c r="E7" s="41" t="s">
        <v>123</v>
      </c>
    </row>
    <row r="8">
      <c r="B8" s="17" t="s">
        <v>37</v>
      </c>
      <c r="C8" s="69" t="s">
        <v>53</v>
      </c>
      <c r="D8" s="40" t="s">
        <v>130</v>
      </c>
      <c r="E8" s="41"/>
    </row>
    <row r="9">
      <c r="B9" s="17" t="s">
        <v>38</v>
      </c>
      <c r="C9" s="69" t="s">
        <v>176</v>
      </c>
      <c r="D9" s="40" t="s">
        <v>130</v>
      </c>
      <c r="E9" s="41" t="s">
        <v>1180</v>
      </c>
    </row>
    <row r="10">
      <c r="B10" s="17" t="s">
        <v>1182</v>
      </c>
      <c r="C10" s="69" t="s">
        <v>177</v>
      </c>
      <c r="D10" s="40" t="s">
        <v>130</v>
      </c>
      <c r="E10" s="41" t="s">
        <v>1183</v>
      </c>
    </row>
    <row r="11">
      <c r="B11" s="17" t="s">
        <v>40</v>
      </c>
      <c r="C11" s="42">
        <v>3.0</v>
      </c>
      <c r="D11" s="40" t="s">
        <v>1184</v>
      </c>
      <c r="E11" s="41" t="s">
        <v>1185</v>
      </c>
    </row>
    <row r="12">
      <c r="B12" s="17" t="s">
        <v>139</v>
      </c>
      <c r="C12" s="42">
        <v>4.0</v>
      </c>
      <c r="D12" s="40" t="s">
        <v>78</v>
      </c>
      <c r="E12" s="41" t="s">
        <v>1186</v>
      </c>
    </row>
    <row r="13">
      <c r="B13" s="17" t="s">
        <v>143</v>
      </c>
      <c r="C13" s="69" t="s">
        <v>98</v>
      </c>
      <c r="D13" s="40" t="s">
        <v>147</v>
      </c>
      <c r="E13" s="41" t="s">
        <v>148</v>
      </c>
    </row>
    <row r="14">
      <c r="B14" s="17" t="s">
        <v>149</v>
      </c>
      <c r="C14" s="69" t="s">
        <v>239</v>
      </c>
      <c r="D14" s="40" t="s">
        <v>147</v>
      </c>
      <c r="E14" s="41" t="s">
        <v>151</v>
      </c>
    </row>
    <row r="15">
      <c r="B15" s="17" t="s">
        <v>155</v>
      </c>
      <c r="C15" s="39" t="s">
        <v>892</v>
      </c>
      <c r="D15" s="49" t="s">
        <v>158</v>
      </c>
      <c r="E15" s="41" t="s">
        <v>1187</v>
      </c>
    </row>
    <row r="16">
      <c r="B16" s="17" t="s">
        <v>161</v>
      </c>
      <c r="C16" s="69" t="s">
        <v>248</v>
      </c>
      <c r="D16" s="40" t="s">
        <v>147</v>
      </c>
      <c r="E16" s="41"/>
    </row>
    <row r="17">
      <c r="B17" s="17" t="s">
        <v>162</v>
      </c>
      <c r="C17" s="42" t="s">
        <v>1189</v>
      </c>
      <c r="D17" s="40" t="s">
        <v>147</v>
      </c>
      <c r="E17" s="50" t="s">
        <v>1191</v>
      </c>
    </row>
    <row r="18">
      <c r="B18" s="17" t="s">
        <v>164</v>
      </c>
      <c r="C18" s="39" t="s">
        <v>252</v>
      </c>
      <c r="D18" s="49" t="s">
        <v>165</v>
      </c>
      <c r="E18" s="41" t="s">
        <v>1193</v>
      </c>
    </row>
    <row r="19">
      <c r="B19" s="17" t="s">
        <v>167</v>
      </c>
      <c r="C19" s="69" t="s">
        <v>260</v>
      </c>
      <c r="D19" s="40" t="s">
        <v>147</v>
      </c>
      <c r="E19" s="41"/>
    </row>
    <row r="20">
      <c r="B20" s="17" t="s">
        <v>1195</v>
      </c>
      <c r="C20" s="42" t="s">
        <v>249</v>
      </c>
      <c r="D20" s="40" t="s">
        <v>147</v>
      </c>
      <c r="E20" s="50" t="s">
        <v>1198</v>
      </c>
    </row>
    <row r="21" ht="15.75" customHeight="1"/>
    <row r="22" ht="21.75" customHeight="1">
      <c r="A22" s="33" t="s">
        <v>1199</v>
      </c>
      <c r="B22" s="8"/>
      <c r="C22" s="8"/>
      <c r="D22" s="8"/>
      <c r="E22" s="8"/>
      <c r="F22" s="8"/>
      <c r="G22" s="8"/>
      <c r="H22" s="8"/>
      <c r="I22" s="7"/>
    </row>
    <row r="23" ht="21.75" customHeight="1">
      <c r="A23" s="51">
        <v>1.0</v>
      </c>
      <c r="B23" s="52" t="s">
        <v>1200</v>
      </c>
      <c r="C23" s="53"/>
      <c r="D23" s="53"/>
      <c r="E23" s="54"/>
      <c r="F23" s="55" t="s">
        <v>178</v>
      </c>
      <c r="G23" s="71" t="s">
        <v>47</v>
      </c>
      <c r="H23" s="59" t="str">
        <f>IF(G23="",IF(COUNTA(C25:C27,B30:G37)&gt;0,"⚠ 상태 미선택(입력값 있음)","상태 미선택 → 미수집 간주"),IF(G23="값 있음",IF(COUNTA(C25:C27,B30:G37)=0,"⚠ 값 있음인데 입력값 없음","✓ 정상"),IF(COUNTA(C25:C27,B30:G37)&gt;0,"⚠ 상태와 입력값 불일치","✓ 정상")))</f>
        <v>✓ 정상</v>
      </c>
      <c r="I23" s="54"/>
    </row>
    <row r="24" ht="24.0" customHeight="1">
      <c r="B24" s="60" t="s">
        <v>1203</v>
      </c>
    </row>
    <row r="25" ht="15.75" customHeight="1">
      <c r="B25" s="17" t="s">
        <v>1204</v>
      </c>
      <c r="C25" s="42">
        <v>3.52</v>
      </c>
      <c r="D25" s="40" t="s">
        <v>1206</v>
      </c>
      <c r="E25" s="41" t="s">
        <v>1208</v>
      </c>
    </row>
    <row r="26" ht="15.75" customHeight="1">
      <c r="B26" s="17" t="s">
        <v>1212</v>
      </c>
      <c r="C26" s="42"/>
      <c r="D26" s="40" t="s">
        <v>1214</v>
      </c>
      <c r="E26" s="41" t="s">
        <v>1216</v>
      </c>
    </row>
    <row r="27" ht="15.75" customHeight="1">
      <c r="B27" s="17" t="s">
        <v>191</v>
      </c>
      <c r="C27" s="42">
        <v>4.5</v>
      </c>
      <c r="D27" s="40" t="s">
        <v>78</v>
      </c>
      <c r="E27" s="41" t="s">
        <v>1217</v>
      </c>
    </row>
    <row r="28" ht="15.75" customHeight="1">
      <c r="A28" s="62" t="s">
        <v>24</v>
      </c>
      <c r="B28" s="13" t="s">
        <v>193</v>
      </c>
      <c r="C28" s="13" t="s">
        <v>194</v>
      </c>
      <c r="D28" s="13" t="s">
        <v>195</v>
      </c>
      <c r="E28" s="13" t="s">
        <v>196</v>
      </c>
      <c r="F28" s="13" t="s">
        <v>197</v>
      </c>
      <c r="G28" s="13" t="s">
        <v>198</v>
      </c>
    </row>
    <row r="29" ht="25.5" customHeight="1">
      <c r="A29" s="63" t="s">
        <v>111</v>
      </c>
      <c r="B29" s="64" t="s">
        <v>1219</v>
      </c>
      <c r="C29" s="63" t="s">
        <v>78</v>
      </c>
      <c r="D29" s="63" t="s">
        <v>78</v>
      </c>
      <c r="E29" s="63" t="s">
        <v>78</v>
      </c>
      <c r="F29" s="63" t="s">
        <v>78</v>
      </c>
      <c r="G29" s="63" t="s">
        <v>1220</v>
      </c>
    </row>
    <row r="30" ht="15.75" customHeight="1">
      <c r="A30" s="65">
        <v>1.0</v>
      </c>
      <c r="B30" s="39" t="s">
        <v>303</v>
      </c>
      <c r="C30" s="42">
        <v>18.0</v>
      </c>
      <c r="D30" s="42">
        <v>18.0</v>
      </c>
      <c r="E30" s="42">
        <v>3.3</v>
      </c>
      <c r="F30" s="42"/>
      <c r="G30" s="42"/>
    </row>
    <row r="31" ht="15.75" customHeight="1">
      <c r="A31" s="65">
        <v>2.0</v>
      </c>
      <c r="B31" s="39" t="s">
        <v>304</v>
      </c>
      <c r="C31" s="42">
        <v>18.0</v>
      </c>
      <c r="D31" s="42">
        <v>18.0</v>
      </c>
      <c r="E31" s="42">
        <v>3.48</v>
      </c>
      <c r="F31" s="42"/>
      <c r="G31" s="42"/>
    </row>
    <row r="32" ht="15.75" customHeight="1">
      <c r="A32" s="65">
        <v>3.0</v>
      </c>
      <c r="B32" s="39" t="s">
        <v>305</v>
      </c>
      <c r="C32" s="42">
        <v>18.0</v>
      </c>
      <c r="D32" s="42">
        <v>18.0</v>
      </c>
      <c r="E32" s="42">
        <v>3.61</v>
      </c>
      <c r="F32" s="42"/>
      <c r="G32" s="42"/>
    </row>
    <row r="33" ht="15.75" customHeight="1">
      <c r="A33" s="65">
        <v>4.0</v>
      </c>
      <c r="B33" s="39" t="s">
        <v>306</v>
      </c>
      <c r="C33" s="42">
        <v>18.0</v>
      </c>
      <c r="D33" s="42">
        <v>18.0</v>
      </c>
      <c r="E33" s="42">
        <v>3.7</v>
      </c>
      <c r="F33" s="42"/>
      <c r="G33" s="42"/>
    </row>
    <row r="34" ht="15.75" customHeight="1">
      <c r="A34" s="65">
        <v>5.0</v>
      </c>
      <c r="B34" s="39"/>
      <c r="C34" s="42"/>
      <c r="D34" s="42"/>
      <c r="E34" s="42"/>
      <c r="F34" s="42"/>
      <c r="G34" s="42"/>
    </row>
    <row r="35" ht="15.75" customHeight="1">
      <c r="A35" s="65">
        <v>6.0</v>
      </c>
      <c r="B35" s="39"/>
      <c r="C35" s="42"/>
      <c r="D35" s="42"/>
      <c r="E35" s="42"/>
      <c r="F35" s="42"/>
      <c r="G35" s="42"/>
    </row>
    <row r="36" ht="15.75" customHeight="1">
      <c r="A36" s="65">
        <v>7.0</v>
      </c>
      <c r="B36" s="39"/>
      <c r="C36" s="42"/>
      <c r="D36" s="42"/>
      <c r="E36" s="42"/>
      <c r="F36" s="42"/>
      <c r="G36" s="42"/>
    </row>
    <row r="37" ht="15.75" customHeight="1">
      <c r="A37" s="65">
        <v>8.0</v>
      </c>
      <c r="B37" s="39"/>
      <c r="C37" s="42"/>
      <c r="D37" s="42"/>
      <c r="E37" s="42"/>
      <c r="F37" s="42"/>
      <c r="G37" s="42"/>
    </row>
    <row r="38" ht="15.75" customHeight="1"/>
    <row r="39" ht="21.75" customHeight="1">
      <c r="A39" s="51">
        <v>2.0</v>
      </c>
      <c r="B39" s="52" t="s">
        <v>127</v>
      </c>
      <c r="C39" s="53"/>
      <c r="D39" s="53"/>
      <c r="E39" s="54"/>
      <c r="F39" s="55" t="s">
        <v>178</v>
      </c>
      <c r="G39" s="71" t="s">
        <v>47</v>
      </c>
      <c r="H39" s="59" t="str">
        <f>IF(G39="",IF(COUNTA(B43:G47)&gt;0,"⚠ 상태 미선택(입력값 있음)","상태 미선택 → 미수집 간주"),IF(G39="값 있음",IF(COUNTA(B43:G47)=0,"⚠ 값 있음인데 입력값 없음","✓ 정상"),IF(COUNTA(B43:G47)&gt;0,"⚠ 상태와 입력값 불일치","✓ 정상")))</f>
        <v>✓ 정상</v>
      </c>
      <c r="I39" s="54"/>
    </row>
    <row r="40" ht="24.0" customHeight="1">
      <c r="B40" s="60" t="s">
        <v>1230</v>
      </c>
    </row>
    <row r="41" ht="15.75" customHeight="1">
      <c r="A41" s="62" t="s">
        <v>24</v>
      </c>
      <c r="B41" s="13" t="s">
        <v>215</v>
      </c>
      <c r="C41" s="13" t="s">
        <v>193</v>
      </c>
      <c r="D41" s="13" t="s">
        <v>216</v>
      </c>
      <c r="E41" s="13" t="s">
        <v>217</v>
      </c>
      <c r="F41" s="13" t="s">
        <v>1235</v>
      </c>
      <c r="G41" s="13" t="s">
        <v>198</v>
      </c>
    </row>
    <row r="42" ht="37.5" customHeight="1">
      <c r="A42" s="63" t="s">
        <v>111</v>
      </c>
      <c r="B42" s="63" t="s">
        <v>130</v>
      </c>
      <c r="C42" s="64" t="s">
        <v>1236</v>
      </c>
      <c r="D42" s="64" t="s">
        <v>1240</v>
      </c>
      <c r="E42" s="64" t="s">
        <v>222</v>
      </c>
      <c r="F42" s="63" t="s">
        <v>1241</v>
      </c>
      <c r="G42" s="63" t="s">
        <v>130</v>
      </c>
    </row>
    <row r="43" ht="15.75" customHeight="1">
      <c r="A43" s="65">
        <v>1.0</v>
      </c>
      <c r="B43" s="69" t="s">
        <v>1242</v>
      </c>
      <c r="C43" s="39" t="s">
        <v>305</v>
      </c>
      <c r="D43" s="69" t="s">
        <v>338</v>
      </c>
      <c r="E43" s="42" t="s">
        <v>345</v>
      </c>
      <c r="F43" s="42">
        <v>91.0</v>
      </c>
      <c r="G43" s="42"/>
    </row>
    <row r="44" ht="15.75" customHeight="1">
      <c r="A44" s="65">
        <v>2.0</v>
      </c>
      <c r="B44" s="69" t="s">
        <v>1244</v>
      </c>
      <c r="C44" s="39" t="s">
        <v>306</v>
      </c>
      <c r="D44" s="69" t="s">
        <v>344</v>
      </c>
      <c r="E44" s="42" t="s">
        <v>580</v>
      </c>
      <c r="F44" s="42"/>
      <c r="G44" s="42"/>
    </row>
    <row r="45" ht="15.75" customHeight="1">
      <c r="A45" s="65">
        <v>3.0</v>
      </c>
      <c r="B45" s="42"/>
      <c r="C45" s="39"/>
      <c r="D45" s="69"/>
      <c r="E45" s="42"/>
      <c r="F45" s="42"/>
      <c r="G45" s="42"/>
    </row>
    <row r="46" ht="15.75" customHeight="1">
      <c r="A46" s="65">
        <v>4.0</v>
      </c>
      <c r="B46" s="42"/>
      <c r="C46" s="39"/>
      <c r="D46" s="69"/>
      <c r="E46" s="42"/>
      <c r="F46" s="42"/>
      <c r="G46" s="42"/>
    </row>
    <row r="47" ht="15.75" customHeight="1">
      <c r="A47" s="65">
        <v>5.0</v>
      </c>
      <c r="B47" s="42"/>
      <c r="C47" s="39"/>
      <c r="D47" s="69"/>
      <c r="E47" s="42"/>
      <c r="F47" s="42"/>
      <c r="G47" s="42"/>
    </row>
    <row r="48" ht="15.75" customHeight="1"/>
    <row r="49" ht="21.75" customHeight="1">
      <c r="A49" s="51">
        <v>3.0</v>
      </c>
      <c r="B49" s="52" t="s">
        <v>1250</v>
      </c>
      <c r="C49" s="53"/>
      <c r="D49" s="53"/>
      <c r="E49" s="54"/>
      <c r="F49" s="55" t="s">
        <v>178</v>
      </c>
      <c r="G49" s="71" t="s">
        <v>47</v>
      </c>
      <c r="H49" s="59" t="str">
        <f>IF(G49="",IF(COUNTA(C51:C52,B55:E58)&gt;0,"⚠ 상태 미선택(입력값 있음)","상태 미선택 → 미수집 간주"),IF(G49="값 있음",IF(COUNTA(C51:C52,B55:E58)=0,"⚠ 값 있음인데 입력값 없음","✓ 정상"),IF(COUNTA(C51:C52,B55:E58)&gt;0,"⚠ 상태와 입력값 불일치","✓ 정상")))</f>
        <v>✓ 정상</v>
      </c>
      <c r="I49" s="54"/>
    </row>
    <row r="50" ht="24.0" customHeight="1">
      <c r="B50" s="60" t="s">
        <v>1261</v>
      </c>
    </row>
    <row r="51" ht="15.75" customHeight="1">
      <c r="B51" s="17" t="s">
        <v>253</v>
      </c>
      <c r="C51" s="42">
        <v>72.0</v>
      </c>
      <c r="D51" s="40" t="s">
        <v>78</v>
      </c>
      <c r="E51" s="41" t="s">
        <v>1264</v>
      </c>
    </row>
    <row r="52" ht="15.75" customHeight="1">
      <c r="B52" s="17" t="s">
        <v>259</v>
      </c>
      <c r="C52" s="42">
        <v>0.0</v>
      </c>
      <c r="D52" s="40" t="s">
        <v>78</v>
      </c>
      <c r="E52" s="41" t="s">
        <v>1265</v>
      </c>
    </row>
    <row r="53" ht="15.75" customHeight="1">
      <c r="A53" s="62" t="s">
        <v>24</v>
      </c>
      <c r="B53" s="13" t="s">
        <v>263</v>
      </c>
      <c r="C53" s="13" t="s">
        <v>264</v>
      </c>
      <c r="D53" s="13" t="s">
        <v>265</v>
      </c>
      <c r="E53" s="13" t="s">
        <v>266</v>
      </c>
    </row>
    <row r="54" ht="25.5" customHeight="1">
      <c r="A54" s="63" t="s">
        <v>111</v>
      </c>
      <c r="B54" s="64" t="s">
        <v>1268</v>
      </c>
      <c r="C54" s="63" t="s">
        <v>130</v>
      </c>
      <c r="D54" s="64" t="s">
        <v>1270</v>
      </c>
      <c r="E54" s="63" t="s">
        <v>78</v>
      </c>
    </row>
    <row r="55" ht="15.75" customHeight="1">
      <c r="A55" s="65">
        <v>1.0</v>
      </c>
      <c r="B55" s="69" t="s">
        <v>369</v>
      </c>
      <c r="C55" s="69" t="s">
        <v>1272</v>
      </c>
      <c r="D55" s="69" t="s">
        <v>370</v>
      </c>
      <c r="E55" s="42">
        <v>54.0</v>
      </c>
    </row>
    <row r="56" ht="15.75" customHeight="1">
      <c r="A56" s="65">
        <v>2.0</v>
      </c>
      <c r="B56" s="69"/>
      <c r="C56" s="42"/>
      <c r="D56" s="69"/>
      <c r="E56" s="42"/>
    </row>
    <row r="57" ht="15.75" customHeight="1">
      <c r="A57" s="65">
        <v>3.0</v>
      </c>
      <c r="B57" s="69"/>
      <c r="C57" s="42"/>
      <c r="D57" s="69"/>
      <c r="E57" s="42"/>
    </row>
    <row r="58" ht="15.75" customHeight="1">
      <c r="A58" s="65">
        <v>4.0</v>
      </c>
      <c r="B58" s="69"/>
      <c r="C58" s="42"/>
      <c r="D58" s="69"/>
      <c r="E58" s="42"/>
    </row>
    <row r="59" ht="15.75" customHeight="1"/>
    <row r="60" ht="21.75" customHeight="1">
      <c r="A60" s="70">
        <v>4.0</v>
      </c>
      <c r="B60" s="72" t="s">
        <v>180</v>
      </c>
      <c r="C60" s="53"/>
      <c r="D60" s="53"/>
      <c r="E60" s="54"/>
      <c r="F60" s="73" t="s">
        <v>178</v>
      </c>
      <c r="G60" s="71" t="s">
        <v>51</v>
      </c>
      <c r="H60" s="74" t="str">
        <f>IF(G60="",IF(COUNTA(C62:C64)&gt;0,"⚠ 상태 미선택(입력값 있음)","상태 미선택 → 미수집 간주"),IF(G60="값 있음",IF(COUNTA(C62:C64)=0,"⚠ 값 있음인데 입력값 없음","✓ 정상"),IF(COUNTA(C62:C64)&gt;0,"⚠ 상태와 입력값 불일치","✓ 정상")))</f>
        <v>✓ 정상</v>
      </c>
      <c r="I60" s="54"/>
    </row>
    <row r="61" ht="24.0" customHeight="1">
      <c r="B61" s="60" t="s">
        <v>1286</v>
      </c>
    </row>
    <row r="62" ht="15.75" customHeight="1">
      <c r="B62" s="17" t="s">
        <v>280</v>
      </c>
      <c r="C62" s="42"/>
      <c r="D62" s="40" t="s">
        <v>147</v>
      </c>
      <c r="E62" s="41" t="s">
        <v>1287</v>
      </c>
    </row>
    <row r="63" ht="15.75" customHeight="1">
      <c r="B63" s="17" t="s">
        <v>285</v>
      </c>
      <c r="C63" s="42"/>
      <c r="D63" s="40" t="s">
        <v>130</v>
      </c>
      <c r="E63" s="41" t="s">
        <v>1290</v>
      </c>
    </row>
    <row r="64" ht="15.75" customHeight="1">
      <c r="B64" s="17" t="s">
        <v>265</v>
      </c>
      <c r="C64" s="42"/>
      <c r="D64" s="40" t="s">
        <v>147</v>
      </c>
      <c r="E64" s="50" t="s">
        <v>1291</v>
      </c>
    </row>
    <row r="65" ht="15.75" customHeight="1"/>
    <row r="66" ht="21.75" customHeight="1">
      <c r="A66" s="33" t="s">
        <v>1292</v>
      </c>
      <c r="B66" s="8"/>
      <c r="C66" s="8"/>
      <c r="D66" s="8"/>
      <c r="E66" s="8"/>
      <c r="F66" s="8"/>
      <c r="G66" s="8"/>
      <c r="H66" s="8"/>
      <c r="I66" s="7"/>
    </row>
    <row r="67" ht="21.75" customHeight="1">
      <c r="A67" s="51">
        <v>5.0</v>
      </c>
      <c r="B67" s="75" t="s">
        <v>1293</v>
      </c>
      <c r="C67" s="53"/>
      <c r="D67" s="53"/>
      <c r="E67" s="54"/>
      <c r="F67" s="55" t="s">
        <v>178</v>
      </c>
      <c r="G67" s="71" t="s">
        <v>950</v>
      </c>
      <c r="H67" s="59" t="str">
        <f>IF(G67="",IF(COUNTA(C69:C74)&gt;0,"⚠ 상태 미선택(입력값 있음)","상태 미선택 → 미수집 간주"),IF(G67="값 있음",IF(COUNTA(C69:C74)=0,"⚠ 값 있음인데 입력값 없음","✓ 정상"),IF(COUNTA(C69:C74)&gt;0,"⚠ 상태와 입력값 불일치","✓ 정상")))</f>
        <v>✓ 정상</v>
      </c>
      <c r="I67" s="54"/>
    </row>
    <row r="68" ht="24.0" customHeight="1">
      <c r="B68" s="60" t="s">
        <v>1306</v>
      </c>
    </row>
    <row r="69" ht="15.75" customHeight="1">
      <c r="B69" s="17" t="s">
        <v>310</v>
      </c>
      <c r="C69" s="42"/>
      <c r="D69" s="40" t="s">
        <v>130</v>
      </c>
      <c r="E69" s="41" t="s">
        <v>1311</v>
      </c>
    </row>
    <row r="70" ht="15.75" customHeight="1">
      <c r="B70" s="17" t="s">
        <v>1313</v>
      </c>
      <c r="C70" s="42"/>
      <c r="D70" s="40" t="s">
        <v>1314</v>
      </c>
      <c r="E70" s="50" t="s">
        <v>1315</v>
      </c>
    </row>
    <row r="71" ht="15.75" customHeight="1">
      <c r="B71" s="17" t="s">
        <v>1316</v>
      </c>
      <c r="C71" s="42"/>
      <c r="D71" s="40" t="s">
        <v>1317</v>
      </c>
      <c r="E71" s="50" t="s">
        <v>1318</v>
      </c>
    </row>
    <row r="72" ht="15.75" customHeight="1">
      <c r="B72" s="17" t="s">
        <v>320</v>
      </c>
      <c r="C72" s="42"/>
      <c r="D72" s="40" t="s">
        <v>78</v>
      </c>
      <c r="E72" s="41" t="s">
        <v>1320</v>
      </c>
    </row>
    <row r="73" ht="15.75" customHeight="1">
      <c r="B73" s="17" t="s">
        <v>1322</v>
      </c>
      <c r="C73" s="42"/>
      <c r="D73" s="40" t="s">
        <v>78</v>
      </c>
      <c r="E73" s="41" t="s">
        <v>323</v>
      </c>
    </row>
    <row r="74" ht="15.75" customHeight="1">
      <c r="B74" s="17" t="s">
        <v>1323</v>
      </c>
      <c r="C74" s="42"/>
      <c r="D74" s="40" t="s">
        <v>1324</v>
      </c>
      <c r="E74" s="41"/>
    </row>
    <row r="75" ht="15.75" customHeight="1"/>
    <row r="76" ht="21.75" customHeight="1">
      <c r="A76" s="51">
        <v>6.0</v>
      </c>
      <c r="B76" s="52" t="s">
        <v>1325</v>
      </c>
      <c r="C76" s="53"/>
      <c r="D76" s="53"/>
      <c r="E76" s="54"/>
      <c r="F76" s="55" t="s">
        <v>178</v>
      </c>
      <c r="G76" s="71" t="s">
        <v>950</v>
      </c>
      <c r="H76" s="59" t="str">
        <f>IF(G76="",IF(COUNTA(C78:C81)&gt;0,"⚠ 상태 미선택(입력값 있음)","상태 미선택 → 미수집 간주"),IF(G76="값 있음",IF(COUNTA(C78:C81)=0,"⚠ 값 있음인데 입력값 없음","✓ 정상"),IF(COUNTA(C78:C81)&gt;0,"⚠ 상태와 입력값 불일치","✓ 정상")))</f>
        <v>✓ 정상</v>
      </c>
      <c r="I76" s="54"/>
    </row>
    <row r="77" ht="24.0" customHeight="1">
      <c r="B77" s="60" t="s">
        <v>1341</v>
      </c>
    </row>
    <row r="78" ht="15.75" customHeight="1">
      <c r="B78" s="17" t="s">
        <v>310</v>
      </c>
      <c r="C78" s="42"/>
      <c r="D78" s="40" t="s">
        <v>130</v>
      </c>
      <c r="E78" s="41" t="s">
        <v>1344</v>
      </c>
    </row>
    <row r="79" ht="15.75" customHeight="1">
      <c r="B79" s="17" t="s">
        <v>1346</v>
      </c>
      <c r="C79" s="42"/>
      <c r="D79" s="40" t="s">
        <v>78</v>
      </c>
      <c r="E79" s="41"/>
    </row>
    <row r="80" ht="15.75" customHeight="1">
      <c r="B80" s="17" t="s">
        <v>1349</v>
      </c>
      <c r="C80" s="42"/>
      <c r="D80" s="40" t="s">
        <v>78</v>
      </c>
      <c r="E80" s="41"/>
    </row>
    <row r="81" ht="15.75" customHeight="1">
      <c r="B81" s="17" t="s">
        <v>341</v>
      </c>
      <c r="C81" s="42"/>
      <c r="D81" s="40" t="s">
        <v>130</v>
      </c>
      <c r="E81" s="41" t="s">
        <v>343</v>
      </c>
    </row>
    <row r="82" ht="15.75" customHeight="1"/>
    <row r="83" ht="21.75" customHeight="1">
      <c r="A83" s="76">
        <v>7.0</v>
      </c>
      <c r="B83" s="77" t="s">
        <v>1351</v>
      </c>
      <c r="C83" s="53"/>
      <c r="D83" s="53"/>
      <c r="E83" s="54"/>
      <c r="F83" s="78" t="s">
        <v>178</v>
      </c>
      <c r="G83" s="71" t="s">
        <v>950</v>
      </c>
      <c r="H83" s="79" t="str">
        <f>IF(G83="",IF(COUNTA(C85:C88)&gt;0,"⚠ 상태 미선택(입력값 있음)","상태 미선택 → 미수집 간주"),IF(G83="값 있음",IF(COUNTA(C85:C88)=0,"⚠ 값 있음인데 입력값 없음","✓ 정상"),IF(COUNTA(C85:C88)&gt;0,"⚠ 상태와 입력값 불일치","✓ 정상")))</f>
        <v>✓ 정상</v>
      </c>
      <c r="I83" s="54"/>
    </row>
    <row r="84" ht="15.0" customHeight="1">
      <c r="B84" s="60" t="s">
        <v>1366</v>
      </c>
    </row>
    <row r="85" ht="15.75" customHeight="1">
      <c r="B85" s="17" t="s">
        <v>310</v>
      </c>
      <c r="C85" s="42"/>
      <c r="D85" s="40" t="s">
        <v>130</v>
      </c>
      <c r="E85" s="41" t="s">
        <v>1367</v>
      </c>
    </row>
    <row r="86" ht="15.75" customHeight="1">
      <c r="B86" s="17" t="s">
        <v>356</v>
      </c>
      <c r="C86" s="42"/>
      <c r="D86" s="40" t="s">
        <v>78</v>
      </c>
      <c r="E86" s="41"/>
    </row>
    <row r="87" ht="15.75" customHeight="1">
      <c r="B87" s="17" t="s">
        <v>360</v>
      </c>
      <c r="C87" s="42"/>
      <c r="D87" s="40" t="s">
        <v>78</v>
      </c>
      <c r="E87" s="41"/>
    </row>
    <row r="88" ht="15.75" customHeight="1">
      <c r="B88" s="17" t="s">
        <v>361</v>
      </c>
      <c r="C88" s="42"/>
      <c r="D88" s="40" t="s">
        <v>78</v>
      </c>
      <c r="E88" s="41"/>
    </row>
    <row r="89" ht="15.75" customHeight="1"/>
    <row r="90" ht="21.75" customHeight="1">
      <c r="A90" s="33" t="s">
        <v>1368</v>
      </c>
      <c r="B90" s="8"/>
      <c r="C90" s="8"/>
      <c r="D90" s="8"/>
      <c r="E90" s="8"/>
      <c r="F90" s="8"/>
      <c r="G90" s="8"/>
      <c r="H90" s="8"/>
      <c r="I90" s="7"/>
    </row>
    <row r="91" ht="21.75" customHeight="1">
      <c r="A91" s="51">
        <v>8.0</v>
      </c>
      <c r="B91" s="52" t="s">
        <v>1370</v>
      </c>
      <c r="C91" s="53"/>
      <c r="D91" s="53"/>
      <c r="E91" s="54"/>
      <c r="F91" s="55" t="s">
        <v>178</v>
      </c>
      <c r="G91" s="71" t="s">
        <v>49</v>
      </c>
      <c r="H91" s="59" t="str">
        <f>IF(G91="",IF(COUNTA(B95:H98)&gt;0,"⚠ 상태 미선택(입력값 있음)","상태 미선택 → 미수집 간주"),IF(G91="값 있음",IF(COUNTA(B95:H98)=0,"⚠ 값 있음인데 입력값 없음","✓ 정상"),IF(COUNTA(B95:H98)&gt;0,"⚠ 상태와 입력값 불일치","✓ 정상")))</f>
        <v>✓ 정상</v>
      </c>
      <c r="I91" s="54"/>
    </row>
    <row r="92" ht="24.0" customHeight="1">
      <c r="B92" s="60" t="s">
        <v>1378</v>
      </c>
    </row>
    <row r="93" ht="15.75" customHeight="1">
      <c r="A93" s="62" t="s">
        <v>24</v>
      </c>
      <c r="B93" s="13" t="s">
        <v>377</v>
      </c>
      <c r="C93" s="13" t="s">
        <v>1381</v>
      </c>
      <c r="D93" s="13" t="s">
        <v>379</v>
      </c>
      <c r="E93" s="13" t="s">
        <v>380</v>
      </c>
      <c r="F93" s="13" t="s">
        <v>381</v>
      </c>
      <c r="G93" s="13" t="s">
        <v>1382</v>
      </c>
      <c r="H93" s="13" t="s">
        <v>383</v>
      </c>
    </row>
    <row r="94" ht="25.5" customHeight="1">
      <c r="A94" s="63" t="s">
        <v>111</v>
      </c>
      <c r="B94" s="64" t="s">
        <v>1385</v>
      </c>
      <c r="C94" s="63" t="s">
        <v>1386</v>
      </c>
      <c r="D94" s="63" t="s">
        <v>130</v>
      </c>
      <c r="E94" s="64" t="s">
        <v>158</v>
      </c>
      <c r="F94" s="64" t="s">
        <v>1388</v>
      </c>
      <c r="G94" s="63" t="s">
        <v>78</v>
      </c>
      <c r="H94" s="63" t="s">
        <v>130</v>
      </c>
    </row>
    <row r="95" ht="15.75" customHeight="1">
      <c r="A95" s="65">
        <v>1.0</v>
      </c>
      <c r="B95" s="42"/>
      <c r="C95" s="42"/>
      <c r="D95" s="42"/>
      <c r="E95" s="39"/>
      <c r="F95" s="39"/>
      <c r="G95" s="42"/>
      <c r="H95" s="42"/>
    </row>
    <row r="96" ht="15.75" customHeight="1">
      <c r="A96" s="65">
        <v>2.0</v>
      </c>
      <c r="B96" s="42"/>
      <c r="C96" s="42"/>
      <c r="D96" s="42"/>
      <c r="E96" s="39"/>
      <c r="F96" s="39"/>
      <c r="G96" s="42"/>
      <c r="H96" s="42"/>
    </row>
    <row r="97" ht="15.75" customHeight="1">
      <c r="A97" s="65">
        <v>3.0</v>
      </c>
      <c r="B97" s="42"/>
      <c r="C97" s="42"/>
      <c r="D97" s="42"/>
      <c r="E97" s="39"/>
      <c r="F97" s="39"/>
      <c r="G97" s="42"/>
      <c r="H97" s="42"/>
    </row>
    <row r="98" ht="15.75" customHeight="1">
      <c r="A98" s="65">
        <v>4.0</v>
      </c>
      <c r="B98" s="42"/>
      <c r="C98" s="42"/>
      <c r="D98" s="42"/>
      <c r="E98" s="39"/>
      <c r="F98" s="39"/>
      <c r="G98" s="42"/>
      <c r="H98" s="42"/>
    </row>
    <row r="99" ht="15.75" customHeight="1"/>
    <row r="100" ht="21.75" customHeight="1">
      <c r="A100" s="51">
        <v>9.0</v>
      </c>
      <c r="B100" s="52" t="s">
        <v>1390</v>
      </c>
      <c r="C100" s="53"/>
      <c r="D100" s="53"/>
      <c r="E100" s="54"/>
      <c r="F100" s="55" t="s">
        <v>178</v>
      </c>
      <c r="G100" s="71" t="s">
        <v>49</v>
      </c>
      <c r="H100" s="59" t="str">
        <f>IF(G100="",IF(COUNTA(B104:G106)&gt;0,"⚠ 상태 미선택(입력값 있음)","상태 미선택 → 미수집 간주"),IF(G100="값 있음",IF(COUNTA(B104:G106)=0,"⚠ 값 있음인데 입력값 없음","✓ 정상"),IF(COUNTA(B104:G106)&gt;0,"⚠ 상태와 입력값 불일치","✓ 정상")))</f>
        <v>✓ 정상</v>
      </c>
      <c r="I100" s="54"/>
    </row>
    <row r="101" ht="24.0" customHeight="1">
      <c r="B101" s="60" t="s">
        <v>1403</v>
      </c>
    </row>
    <row r="102" ht="15.75" customHeight="1">
      <c r="A102" s="62" t="s">
        <v>24</v>
      </c>
      <c r="B102" s="13" t="s">
        <v>400</v>
      </c>
      <c r="C102" s="13" t="s">
        <v>401</v>
      </c>
      <c r="D102" s="13" t="s">
        <v>402</v>
      </c>
      <c r="E102" s="13" t="s">
        <v>403</v>
      </c>
      <c r="F102" s="13" t="s">
        <v>404</v>
      </c>
      <c r="G102" s="13" t="s">
        <v>1405</v>
      </c>
    </row>
    <row r="103" ht="37.5" customHeight="1">
      <c r="A103" s="63" t="s">
        <v>111</v>
      </c>
      <c r="B103" s="64" t="s">
        <v>1407</v>
      </c>
      <c r="C103" s="63" t="s">
        <v>130</v>
      </c>
      <c r="D103" s="64" t="s">
        <v>1408</v>
      </c>
      <c r="E103" s="64" t="s">
        <v>1409</v>
      </c>
      <c r="F103" s="64" t="s">
        <v>1410</v>
      </c>
      <c r="G103" s="64" t="s">
        <v>158</v>
      </c>
    </row>
    <row r="104" ht="15.75" customHeight="1">
      <c r="A104" s="65">
        <v>1.0</v>
      </c>
      <c r="B104" s="42"/>
      <c r="C104" s="42"/>
      <c r="D104" s="42"/>
      <c r="E104" s="42"/>
      <c r="F104" s="42"/>
      <c r="G104" s="39"/>
    </row>
    <row r="105" ht="15.75" customHeight="1">
      <c r="A105" s="65">
        <v>2.0</v>
      </c>
      <c r="B105" s="42"/>
      <c r="C105" s="42"/>
      <c r="D105" s="42"/>
      <c r="E105" s="42"/>
      <c r="F105" s="42"/>
      <c r="G105" s="39"/>
    </row>
    <row r="106" ht="15.75" customHeight="1">
      <c r="A106" s="65">
        <v>3.0</v>
      </c>
      <c r="B106" s="42"/>
      <c r="C106" s="42"/>
      <c r="D106" s="42"/>
      <c r="E106" s="42"/>
      <c r="F106" s="42"/>
      <c r="G106" s="39"/>
    </row>
    <row r="107" ht="15.75" customHeight="1"/>
    <row r="108" ht="21.75" customHeight="1">
      <c r="A108" s="70">
        <v>10.0</v>
      </c>
      <c r="B108" s="80" t="s">
        <v>1413</v>
      </c>
      <c r="C108" s="53"/>
      <c r="D108" s="53"/>
      <c r="E108" s="54"/>
      <c r="F108" s="73" t="s">
        <v>178</v>
      </c>
      <c r="G108" s="71" t="s">
        <v>49</v>
      </c>
      <c r="H108" s="74" t="str">
        <f>IF(G108="",IF(COUNTA(B112:E114)&gt;0,"⚠ 상태 미선택(입력값 있음)","상태 미선택 → 미수집 간주"),IF(G108="값 있음",IF(COUNTA(B112:E114)=0,"⚠ 값 있음인데 입력값 없음","✓ 정상"),IF(COUNTA(B112:E114)&gt;0,"⚠ 상태와 입력값 불일치","✓ 정상")))</f>
        <v>✓ 정상</v>
      </c>
      <c r="I108" s="54"/>
    </row>
    <row r="109" ht="24.0" customHeight="1">
      <c r="B109" s="60" t="s">
        <v>1432</v>
      </c>
    </row>
    <row r="110" ht="15.75" customHeight="1">
      <c r="A110" s="62" t="s">
        <v>24</v>
      </c>
      <c r="B110" s="13" t="s">
        <v>215</v>
      </c>
      <c r="C110" s="13" t="s">
        <v>193</v>
      </c>
      <c r="D110" s="13" t="s">
        <v>1433</v>
      </c>
      <c r="E110" s="13" t="s">
        <v>430</v>
      </c>
    </row>
    <row r="111" ht="25.5" customHeight="1">
      <c r="A111" s="63" t="s">
        <v>111</v>
      </c>
      <c r="B111" s="63" t="s">
        <v>130</v>
      </c>
      <c r="C111" s="64" t="s">
        <v>1435</v>
      </c>
      <c r="D111" s="63" t="s">
        <v>78</v>
      </c>
      <c r="E111" s="63" t="s">
        <v>130</v>
      </c>
    </row>
    <row r="112" ht="15.75" customHeight="1">
      <c r="A112" s="65">
        <v>1.0</v>
      </c>
      <c r="B112" s="42"/>
      <c r="C112" s="39"/>
      <c r="D112" s="42"/>
      <c r="E112" s="42"/>
    </row>
    <row r="113" ht="15.75" customHeight="1">
      <c r="A113" s="65">
        <v>2.0</v>
      </c>
      <c r="B113" s="42"/>
      <c r="C113" s="39"/>
      <c r="D113" s="42"/>
      <c r="E113" s="42"/>
    </row>
    <row r="114" ht="15.75" customHeight="1">
      <c r="A114" s="65">
        <v>3.0</v>
      </c>
      <c r="B114" s="42"/>
      <c r="C114" s="39"/>
      <c r="D114" s="42"/>
      <c r="E114" s="42"/>
    </row>
    <row r="115" ht="15.75" customHeight="1"/>
    <row r="116" ht="21.75" customHeight="1">
      <c r="A116" s="33" t="s">
        <v>1442</v>
      </c>
      <c r="B116" s="8"/>
      <c r="C116" s="8"/>
      <c r="D116" s="8"/>
      <c r="E116" s="8"/>
      <c r="F116" s="8"/>
      <c r="G116" s="8"/>
      <c r="H116" s="8"/>
      <c r="I116" s="7"/>
    </row>
    <row r="117" ht="21.75" customHeight="1">
      <c r="A117" s="51">
        <v>11.0</v>
      </c>
      <c r="B117" s="52" t="s">
        <v>1445</v>
      </c>
      <c r="C117" s="53"/>
      <c r="D117" s="53"/>
      <c r="E117" s="54"/>
      <c r="F117" s="55" t="s">
        <v>178</v>
      </c>
      <c r="G117" s="71" t="s">
        <v>47</v>
      </c>
      <c r="H117" s="59" t="str">
        <f>IF(G117="",IF(COUNTA(B121:I123)&gt;0,"⚠ 상태 미선택(입력값 있음)","상태 미선택 → 미수집 간주"),IF(G117="값 있음",IF(COUNTA(B121:I123)=0,"⚠ 값 있음인데 입력값 없음","✓ 정상"),IF(COUNTA(B121:I123)&gt;0,"⚠ 상태와 입력값 불일치","✓ 정상")))</f>
        <v>✓ 정상</v>
      </c>
      <c r="I117" s="54"/>
    </row>
    <row r="118" ht="24.0" customHeight="1">
      <c r="B118" s="60" t="s">
        <v>1451</v>
      </c>
    </row>
    <row r="119" ht="15.75" customHeight="1">
      <c r="A119" s="62" t="s">
        <v>24</v>
      </c>
      <c r="B119" s="13" t="s">
        <v>400</v>
      </c>
      <c r="C119" s="13" t="s">
        <v>450</v>
      </c>
      <c r="D119" s="13" t="s">
        <v>1452</v>
      </c>
      <c r="E119" s="13" t="s">
        <v>380</v>
      </c>
      <c r="F119" s="13" t="s">
        <v>381</v>
      </c>
      <c r="G119" s="13" t="s">
        <v>1453</v>
      </c>
      <c r="H119" s="13" t="s">
        <v>454</v>
      </c>
      <c r="I119" s="62" t="s">
        <v>1454</v>
      </c>
    </row>
    <row r="120" ht="25.5" customHeight="1">
      <c r="A120" s="63" t="s">
        <v>111</v>
      </c>
      <c r="B120" s="64" t="s">
        <v>1455</v>
      </c>
      <c r="C120" s="63" t="s">
        <v>130</v>
      </c>
      <c r="D120" s="63" t="s">
        <v>130</v>
      </c>
      <c r="E120" s="64" t="s">
        <v>158</v>
      </c>
      <c r="F120" s="64" t="s">
        <v>158</v>
      </c>
      <c r="G120" s="63" t="s">
        <v>78</v>
      </c>
      <c r="H120" s="64" t="s">
        <v>1456</v>
      </c>
      <c r="I120" s="64" t="s">
        <v>462</v>
      </c>
    </row>
    <row r="121" ht="15.75" customHeight="1">
      <c r="A121" s="65">
        <v>1.0</v>
      </c>
      <c r="B121" s="69" t="s">
        <v>844</v>
      </c>
      <c r="C121" s="69" t="s">
        <v>1457</v>
      </c>
      <c r="D121" s="69" t="s">
        <v>1458</v>
      </c>
      <c r="E121" s="39" t="s">
        <v>1055</v>
      </c>
      <c r="F121" s="39" t="s">
        <v>501</v>
      </c>
      <c r="G121" s="42">
        <v>2.0</v>
      </c>
      <c r="H121" s="69" t="s">
        <v>602</v>
      </c>
      <c r="I121" s="42" t="s">
        <v>249</v>
      </c>
    </row>
    <row r="122" ht="15.75" customHeight="1">
      <c r="A122" s="65">
        <v>2.0</v>
      </c>
      <c r="B122" s="69"/>
      <c r="C122" s="42"/>
      <c r="D122" s="42"/>
      <c r="E122" s="39"/>
      <c r="F122" s="39"/>
      <c r="G122" s="42"/>
      <c r="H122" s="69"/>
      <c r="I122" s="42"/>
    </row>
    <row r="123" ht="15.75" customHeight="1">
      <c r="A123" s="65">
        <v>3.0</v>
      </c>
      <c r="B123" s="69"/>
      <c r="C123" s="42"/>
      <c r="D123" s="42"/>
      <c r="E123" s="39"/>
      <c r="F123" s="39"/>
      <c r="G123" s="42"/>
      <c r="H123" s="69"/>
      <c r="I123" s="42"/>
    </row>
    <row r="124" ht="15.75" customHeight="1"/>
    <row r="125" ht="21.75" customHeight="1">
      <c r="A125" s="51">
        <v>12.0</v>
      </c>
      <c r="B125" s="52" t="s">
        <v>330</v>
      </c>
      <c r="C125" s="53"/>
      <c r="D125" s="53"/>
      <c r="E125" s="54"/>
      <c r="F125" s="55" t="s">
        <v>178</v>
      </c>
      <c r="G125" s="71" t="s">
        <v>47</v>
      </c>
      <c r="H125" s="59" t="str">
        <f>IF(G125="",IF(COUNTA(B129:F131)&gt;0,"⚠ 상태 미선택(입력값 있음)","상태 미선택 → 미수집 간주"),IF(G125="값 있음",IF(COUNTA(B129:F131)=0,"⚠ 값 있음인데 입력값 없음","✓ 정상"),IF(COUNTA(B129:F131)&gt;0,"⚠ 상태와 입력값 불일치","✓ 정상")))</f>
        <v>✓ 정상</v>
      </c>
      <c r="I125" s="54"/>
    </row>
    <row r="126" ht="24.0" customHeight="1">
      <c r="B126" s="60" t="s">
        <v>1465</v>
      </c>
    </row>
    <row r="127" ht="15.75" customHeight="1">
      <c r="A127" s="62" t="s">
        <v>24</v>
      </c>
      <c r="B127" s="13" t="s">
        <v>480</v>
      </c>
      <c r="C127" s="13" t="s">
        <v>482</v>
      </c>
      <c r="D127" s="13" t="s">
        <v>1468</v>
      </c>
      <c r="E127" s="13" t="s">
        <v>486</v>
      </c>
      <c r="F127" s="13" t="s">
        <v>487</v>
      </c>
    </row>
    <row r="128" ht="25.5" customHeight="1">
      <c r="A128" s="63" t="s">
        <v>111</v>
      </c>
      <c r="B128" s="63" t="s">
        <v>130</v>
      </c>
      <c r="C128" s="63" t="s">
        <v>130</v>
      </c>
      <c r="D128" s="63" t="s">
        <v>78</v>
      </c>
      <c r="E128" s="63" t="s">
        <v>78</v>
      </c>
      <c r="F128" s="64" t="s">
        <v>1471</v>
      </c>
    </row>
    <row r="129" ht="15.75" customHeight="1">
      <c r="A129" s="65">
        <v>1.0</v>
      </c>
      <c r="B129" s="69" t="s">
        <v>1472</v>
      </c>
      <c r="C129" s="69" t="s">
        <v>1473</v>
      </c>
      <c r="D129" s="42">
        <v>8.0</v>
      </c>
      <c r="E129" s="42">
        <v>15.0</v>
      </c>
      <c r="F129" s="69" t="s">
        <v>1474</v>
      </c>
    </row>
    <row r="130" ht="15.75" customHeight="1">
      <c r="A130" s="65">
        <v>2.0</v>
      </c>
      <c r="B130" s="69" t="s">
        <v>1475</v>
      </c>
      <c r="C130" s="69" t="s">
        <v>1476</v>
      </c>
      <c r="D130" s="42">
        <v>5.0</v>
      </c>
      <c r="E130" s="42">
        <v>10.0</v>
      </c>
      <c r="F130" s="69" t="s">
        <v>1478</v>
      </c>
    </row>
    <row r="131" ht="15.75" customHeight="1">
      <c r="A131" s="65">
        <v>3.0</v>
      </c>
      <c r="B131" s="42"/>
      <c r="C131" s="42"/>
      <c r="D131" s="42"/>
      <c r="E131" s="42"/>
      <c r="F131" s="69"/>
    </row>
    <row r="132" ht="15.75" customHeight="1"/>
    <row r="133" ht="21.75" customHeight="1">
      <c r="A133" s="76">
        <v>13.0</v>
      </c>
      <c r="B133" s="77" t="s">
        <v>1479</v>
      </c>
      <c r="C133" s="53"/>
      <c r="D133" s="53"/>
      <c r="E133" s="54"/>
      <c r="F133" s="78" t="s">
        <v>178</v>
      </c>
      <c r="G133" s="71" t="s">
        <v>47</v>
      </c>
      <c r="H133" s="79" t="str">
        <f>IF(G133="",IF(COUNTA(C135:C138)&gt;0,"⚠ 상태 미선택(입력값 있음)","상태 미선택 → 미수집 간주"),IF(G133="값 있음",IF(COUNTA(C135:C138)=0,"⚠ 값 있음인데 입력값 없음","✓ 정상"),IF(COUNTA(C135:C138)&gt;0,"⚠ 상태와 입력값 불일치","✓ 정상")))</f>
        <v>✓ 정상</v>
      </c>
      <c r="I133" s="54"/>
    </row>
    <row r="134" ht="24.0" customHeight="1">
      <c r="B134" s="60" t="s">
        <v>1486</v>
      </c>
    </row>
    <row r="135" ht="15.75" customHeight="1">
      <c r="B135" s="17" t="s">
        <v>1488</v>
      </c>
      <c r="C135" s="42">
        <v>1.0</v>
      </c>
      <c r="D135" s="40" t="s">
        <v>78</v>
      </c>
      <c r="E135" s="41"/>
    </row>
    <row r="136" ht="15.75" customHeight="1">
      <c r="B136" s="17" t="s">
        <v>521</v>
      </c>
      <c r="C136" s="42" t="s">
        <v>1189</v>
      </c>
      <c r="D136" s="40" t="s">
        <v>147</v>
      </c>
      <c r="E136" s="50" t="s">
        <v>462</v>
      </c>
    </row>
    <row r="137" ht="15.75" customHeight="1">
      <c r="B137" s="17" t="s">
        <v>1490</v>
      </c>
      <c r="C137" s="69" t="s">
        <v>1491</v>
      </c>
      <c r="D137" s="40" t="s">
        <v>130</v>
      </c>
      <c r="E137" s="41"/>
    </row>
    <row r="138" ht="30.0" customHeight="1">
      <c r="B138" s="17" t="s">
        <v>524</v>
      </c>
      <c r="C138" s="42"/>
      <c r="D138" s="40" t="s">
        <v>525</v>
      </c>
      <c r="E138" s="50" t="s">
        <v>1493</v>
      </c>
    </row>
    <row r="139" ht="15.75" customHeight="1"/>
    <row r="140" ht="21.75" customHeight="1">
      <c r="A140" s="33" t="s">
        <v>1494</v>
      </c>
      <c r="B140" s="8"/>
      <c r="C140" s="8"/>
      <c r="D140" s="8"/>
      <c r="E140" s="8"/>
      <c r="F140" s="8"/>
      <c r="G140" s="8"/>
      <c r="H140" s="8"/>
      <c r="I140" s="7"/>
    </row>
    <row r="141" ht="21.75" customHeight="1">
      <c r="A141" s="51">
        <v>14.0</v>
      </c>
      <c r="B141" s="52" t="s">
        <v>1496</v>
      </c>
      <c r="C141" s="53"/>
      <c r="D141" s="53"/>
      <c r="E141" s="54"/>
      <c r="F141" s="55" t="s">
        <v>178</v>
      </c>
      <c r="G141" s="71" t="s">
        <v>47</v>
      </c>
      <c r="H141" s="59" t="str">
        <f>IF(G141="",IF(COUNTA(B145:H149)&gt;0,"⚠ 상태 미선택(입력값 있음)","상태 미선택 → 미수집 간주"),IF(G141="값 있음",IF(COUNTA(B145:H149)=0,"⚠ 값 있음인데 입력값 없음","✓ 정상"),IF(COUNTA(B145:H149)&gt;0,"⚠ 상태와 입력값 불일치","✓ 정상")))</f>
        <v>✓ 정상</v>
      </c>
      <c r="I141" s="54"/>
    </row>
    <row r="142" ht="24.0" customHeight="1">
      <c r="B142" s="60" t="s">
        <v>1509</v>
      </c>
    </row>
    <row r="143" ht="15.75" customHeight="1">
      <c r="A143" s="62" t="s">
        <v>24</v>
      </c>
      <c r="B143" s="13" t="s">
        <v>552</v>
      </c>
      <c r="C143" s="13" t="s">
        <v>553</v>
      </c>
      <c r="D143" s="13" t="s">
        <v>554</v>
      </c>
      <c r="E143" s="13" t="s">
        <v>555</v>
      </c>
      <c r="F143" s="13" t="s">
        <v>556</v>
      </c>
      <c r="G143" s="13" t="s">
        <v>557</v>
      </c>
      <c r="H143" s="13" t="s">
        <v>558</v>
      </c>
    </row>
    <row r="144" ht="25.5" customHeight="1">
      <c r="A144" s="63" t="s">
        <v>111</v>
      </c>
      <c r="B144" s="63" t="s">
        <v>130</v>
      </c>
      <c r="C144" s="63" t="s">
        <v>130</v>
      </c>
      <c r="D144" s="64" t="s">
        <v>1515</v>
      </c>
      <c r="E144" s="64" t="s">
        <v>1516</v>
      </c>
      <c r="F144" s="64" t="s">
        <v>1517</v>
      </c>
      <c r="G144" s="63" t="s">
        <v>130</v>
      </c>
      <c r="H144" s="64" t="s">
        <v>158</v>
      </c>
    </row>
    <row r="145" ht="15.75" customHeight="1">
      <c r="A145" s="65">
        <v>1.0</v>
      </c>
      <c r="B145" s="69" t="s">
        <v>1518</v>
      </c>
      <c r="C145" s="69" t="s">
        <v>1520</v>
      </c>
      <c r="D145" s="69" t="s">
        <v>687</v>
      </c>
      <c r="E145" s="69" t="s">
        <v>928</v>
      </c>
      <c r="F145" s="69" t="s">
        <v>682</v>
      </c>
      <c r="G145" s="69" t="s">
        <v>1522</v>
      </c>
      <c r="H145" s="39" t="s">
        <v>761</v>
      </c>
    </row>
    <row r="146" ht="15.75" customHeight="1">
      <c r="A146" s="65">
        <v>2.0</v>
      </c>
      <c r="B146" s="42"/>
      <c r="C146" s="42"/>
      <c r="D146" s="69"/>
      <c r="E146" s="69"/>
      <c r="F146" s="69"/>
      <c r="G146" s="42"/>
      <c r="H146" s="39"/>
    </row>
    <row r="147" ht="15.75" customHeight="1">
      <c r="A147" s="65">
        <v>3.0</v>
      </c>
      <c r="B147" s="42"/>
      <c r="C147" s="42"/>
      <c r="D147" s="69"/>
      <c r="E147" s="69"/>
      <c r="F147" s="69"/>
      <c r="G147" s="42"/>
      <c r="H147" s="39"/>
    </row>
    <row r="148" ht="15.75" customHeight="1">
      <c r="A148" s="65">
        <v>4.0</v>
      </c>
      <c r="B148" s="42"/>
      <c r="C148" s="42"/>
      <c r="D148" s="69"/>
      <c r="E148" s="69"/>
      <c r="F148" s="69"/>
      <c r="G148" s="42"/>
      <c r="H148" s="39"/>
    </row>
    <row r="149" ht="15.75" customHeight="1">
      <c r="A149" s="65">
        <v>5.0</v>
      </c>
      <c r="B149" s="42"/>
      <c r="C149" s="42"/>
      <c r="D149" s="69"/>
      <c r="E149" s="69"/>
      <c r="F149" s="69"/>
      <c r="G149" s="42"/>
      <c r="H149" s="39"/>
    </row>
    <row r="150" ht="15.75" customHeight="1"/>
    <row r="151" ht="21.75" customHeight="1">
      <c r="A151" s="51">
        <v>15.0</v>
      </c>
      <c r="B151" s="52" t="s">
        <v>374</v>
      </c>
      <c r="C151" s="53"/>
      <c r="D151" s="53"/>
      <c r="E151" s="54"/>
      <c r="F151" s="55" t="s">
        <v>178</v>
      </c>
      <c r="G151" s="71" t="s">
        <v>49</v>
      </c>
      <c r="H151" s="59" t="str">
        <f>IF(G151="",IF(COUNTA(B155:E156)&gt;0,"⚠ 상태 미선택(입력값 있음)","상태 미선택 → 미수집 간주"),IF(G151="값 있음",IF(COUNTA(B155:E156)=0,"⚠ 값 있음인데 입력값 없음","✓ 정상"),IF(COUNTA(B155:E156)&gt;0,"⚠ 상태와 입력값 불일치","✓ 정상")))</f>
        <v>✓ 정상</v>
      </c>
      <c r="I151" s="54"/>
    </row>
    <row r="152" ht="15.0" customHeight="1">
      <c r="B152" s="60" t="s">
        <v>1540</v>
      </c>
    </row>
    <row r="153" ht="15.75" customHeight="1">
      <c r="A153" s="62" t="s">
        <v>24</v>
      </c>
      <c r="B153" s="13" t="s">
        <v>400</v>
      </c>
      <c r="C153" s="13" t="s">
        <v>1541</v>
      </c>
      <c r="D153" s="13" t="s">
        <v>555</v>
      </c>
      <c r="E153" s="13" t="s">
        <v>558</v>
      </c>
    </row>
    <row r="154" ht="25.5" customHeight="1">
      <c r="A154" s="63" t="s">
        <v>111</v>
      </c>
      <c r="B154" s="64" t="s">
        <v>1543</v>
      </c>
      <c r="C154" s="63" t="s">
        <v>130</v>
      </c>
      <c r="D154" s="63" t="s">
        <v>130</v>
      </c>
      <c r="E154" s="64" t="s">
        <v>158</v>
      </c>
    </row>
    <row r="155" ht="15.75" customHeight="1">
      <c r="A155" s="65">
        <v>1.0</v>
      </c>
      <c r="B155" s="42"/>
      <c r="C155" s="42"/>
      <c r="D155" s="42"/>
      <c r="E155" s="39"/>
    </row>
    <row r="156" ht="15.75" customHeight="1">
      <c r="A156" s="65">
        <v>2.0</v>
      </c>
      <c r="B156" s="42"/>
      <c r="C156" s="42"/>
      <c r="D156" s="42"/>
      <c r="E156" s="39"/>
    </row>
    <row r="157" ht="15.75" customHeight="1"/>
    <row r="158" ht="21.75" customHeight="1">
      <c r="A158" s="70">
        <v>16.0</v>
      </c>
      <c r="B158" s="72" t="s">
        <v>1545</v>
      </c>
      <c r="C158" s="53"/>
      <c r="D158" s="53"/>
      <c r="E158" s="54"/>
      <c r="F158" s="73" t="s">
        <v>178</v>
      </c>
      <c r="G158" s="71" t="s">
        <v>49</v>
      </c>
      <c r="H158" s="74" t="str">
        <f>IF(G158="",IF(COUNTA(B162:G163)&gt;0,"⚠ 상태 미선택(입력값 있음)","상태 미선택 → 미수집 간주"),IF(G158="값 있음",IF(COUNTA(B162:G163)=0,"⚠ 값 있음인데 입력값 없음","✓ 정상"),IF(COUNTA(B162:G163)&gt;0,"⚠ 상태와 입력값 불일치","✓ 정상")))</f>
        <v>✓ 정상</v>
      </c>
      <c r="I158" s="54"/>
    </row>
    <row r="159" ht="24.0" customHeight="1">
      <c r="B159" s="60" t="s">
        <v>1559</v>
      </c>
    </row>
    <row r="160" ht="15.75" customHeight="1">
      <c r="A160" s="62" t="s">
        <v>24</v>
      </c>
      <c r="B160" s="13" t="s">
        <v>400</v>
      </c>
      <c r="C160" s="13" t="s">
        <v>608</v>
      </c>
      <c r="D160" s="13" t="s">
        <v>403</v>
      </c>
      <c r="E160" s="13" t="s">
        <v>1561</v>
      </c>
      <c r="F160" s="13" t="s">
        <v>558</v>
      </c>
      <c r="G160" s="13" t="s">
        <v>613</v>
      </c>
    </row>
    <row r="161" ht="25.5" customHeight="1">
      <c r="A161" s="63" t="s">
        <v>111</v>
      </c>
      <c r="B161" s="64" t="s">
        <v>1565</v>
      </c>
      <c r="C161" s="63" t="s">
        <v>130</v>
      </c>
      <c r="D161" s="64" t="s">
        <v>1566</v>
      </c>
      <c r="E161" s="63" t="s">
        <v>130</v>
      </c>
      <c r="F161" s="64" t="s">
        <v>158</v>
      </c>
      <c r="G161" s="64" t="s">
        <v>1568</v>
      </c>
    </row>
    <row r="162" ht="15.75" customHeight="1">
      <c r="A162" s="65">
        <v>1.0</v>
      </c>
      <c r="B162" s="42"/>
      <c r="C162" s="42"/>
      <c r="D162" s="42"/>
      <c r="E162" s="42"/>
      <c r="F162" s="39"/>
      <c r="G162" s="42"/>
    </row>
    <row r="163" ht="15.75" customHeight="1">
      <c r="A163" s="65">
        <v>2.0</v>
      </c>
      <c r="B163" s="42"/>
      <c r="C163" s="42"/>
      <c r="D163" s="42"/>
      <c r="E163" s="42"/>
      <c r="F163" s="39"/>
      <c r="G163" s="42"/>
    </row>
    <row r="164" ht="15.75" customHeight="1"/>
    <row r="165" ht="21.75" customHeight="1">
      <c r="A165" s="33" t="s">
        <v>620</v>
      </c>
      <c r="B165" s="8"/>
      <c r="C165" s="8"/>
      <c r="D165" s="8"/>
      <c r="E165" s="8"/>
      <c r="F165" s="8"/>
      <c r="G165" s="8"/>
      <c r="H165" s="8"/>
      <c r="I165" s="7"/>
    </row>
    <row r="166" ht="21.75" customHeight="1">
      <c r="A166" s="51">
        <v>17.0</v>
      </c>
      <c r="B166" s="52" t="s">
        <v>1570</v>
      </c>
      <c r="C166" s="53"/>
      <c r="D166" s="53"/>
      <c r="E166" s="54"/>
      <c r="F166" s="55" t="s">
        <v>178</v>
      </c>
      <c r="G166" s="71" t="s">
        <v>49</v>
      </c>
      <c r="H166" s="59" t="str">
        <f>IF(G166="",IF(COUNTA(B170:G172)&gt;0,"⚠ 상태 미선택(입력값 있음)","상태 미선택 → 미수집 간주"),IF(G166="값 있음",IF(COUNTA(B170:G172)=0,"⚠ 값 있음인데 입력값 없음","✓ 정상"),IF(COUNTA(B170:G172)&gt;0,"⚠ 상태와 입력값 불일치","✓ 정상")))</f>
        <v>✓ 정상</v>
      </c>
      <c r="I166" s="54"/>
    </row>
    <row r="167" ht="24.0" customHeight="1">
      <c r="B167" s="60" t="s">
        <v>1579</v>
      </c>
    </row>
    <row r="168" ht="15.75" customHeight="1">
      <c r="A168" s="62" t="s">
        <v>24</v>
      </c>
      <c r="B168" s="13" t="s">
        <v>400</v>
      </c>
      <c r="C168" s="13" t="s">
        <v>633</v>
      </c>
      <c r="D168" s="13" t="s">
        <v>1583</v>
      </c>
      <c r="E168" s="13" t="s">
        <v>1585</v>
      </c>
      <c r="F168" s="13" t="s">
        <v>639</v>
      </c>
      <c r="G168" s="62" t="s">
        <v>1588</v>
      </c>
    </row>
    <row r="169" ht="37.5" customHeight="1">
      <c r="A169" s="63" t="s">
        <v>111</v>
      </c>
      <c r="B169" s="64" t="s">
        <v>1595</v>
      </c>
      <c r="C169" s="63" t="s">
        <v>130</v>
      </c>
      <c r="D169" s="63" t="s">
        <v>130</v>
      </c>
      <c r="E169" s="63" t="s">
        <v>78</v>
      </c>
      <c r="F169" s="64" t="s">
        <v>158</v>
      </c>
      <c r="G169" s="64" t="s">
        <v>462</v>
      </c>
    </row>
    <row r="170" ht="15.75" customHeight="1">
      <c r="A170" s="65">
        <v>1.0</v>
      </c>
      <c r="B170" s="42"/>
      <c r="C170" s="42"/>
      <c r="D170" s="42"/>
      <c r="E170" s="42"/>
      <c r="F170" s="39"/>
      <c r="G170" s="42"/>
    </row>
    <row r="171" ht="15.75" customHeight="1">
      <c r="A171" s="65">
        <v>2.0</v>
      </c>
      <c r="B171" s="42"/>
      <c r="C171" s="42"/>
      <c r="D171" s="42"/>
      <c r="E171" s="42"/>
      <c r="F171" s="39"/>
      <c r="G171" s="42"/>
    </row>
    <row r="172" ht="15.75" customHeight="1">
      <c r="A172" s="65">
        <v>3.0</v>
      </c>
      <c r="B172" s="42"/>
      <c r="C172" s="42"/>
      <c r="D172" s="42"/>
      <c r="E172" s="42"/>
      <c r="F172" s="39"/>
      <c r="G172" s="42"/>
    </row>
    <row r="173" ht="15.75" customHeight="1"/>
    <row r="174" ht="21.75" customHeight="1">
      <c r="A174" s="70">
        <v>18.0</v>
      </c>
      <c r="B174" s="72" t="s">
        <v>431</v>
      </c>
      <c r="C174" s="53"/>
      <c r="D174" s="53"/>
      <c r="E174" s="54"/>
      <c r="F174" s="73" t="s">
        <v>178</v>
      </c>
      <c r="G174" s="71" t="s">
        <v>47</v>
      </c>
      <c r="H174" s="74" t="str">
        <f>IF(G174="",IF(COUNTA(C176:C178)&gt;0,"⚠ 상태 미선택(입력값 있음)","상태 미선택 → 미수집 간주"),IF(G174="값 있음",IF(COUNTA(C176:C178)=0,"⚠ 값 있음인데 입력값 없음","✓ 정상"),IF(COUNTA(C176:C178)&gt;0,"⚠ 상태와 입력값 불일치","✓ 정상")))</f>
        <v>✓ 정상</v>
      </c>
      <c r="I174" s="54"/>
    </row>
    <row r="175" ht="24.0" customHeight="1">
      <c r="B175" s="60" t="s">
        <v>1611</v>
      </c>
    </row>
    <row r="176" ht="15.75" customHeight="1">
      <c r="B176" s="17" t="s">
        <v>660</v>
      </c>
      <c r="C176" s="42">
        <v>2.0</v>
      </c>
      <c r="D176" s="40" t="s">
        <v>78</v>
      </c>
      <c r="E176" s="41" t="s">
        <v>1612</v>
      </c>
    </row>
    <row r="177" ht="15.75" customHeight="1">
      <c r="B177" s="17" t="s">
        <v>667</v>
      </c>
      <c r="C177" s="42">
        <v>6.0</v>
      </c>
      <c r="D177" s="40" t="s">
        <v>78</v>
      </c>
      <c r="E177" s="41"/>
    </row>
    <row r="178" ht="15.75" customHeight="1">
      <c r="B178" s="17" t="s">
        <v>668</v>
      </c>
      <c r="C178" s="69" t="s">
        <v>776</v>
      </c>
      <c r="D178" s="40" t="s">
        <v>130</v>
      </c>
      <c r="E178" s="41" t="s">
        <v>1613</v>
      </c>
    </row>
    <row r="179" ht="15.75" customHeight="1"/>
    <row r="180" ht="21.75" customHeight="1">
      <c r="A180" s="33" t="s">
        <v>1614</v>
      </c>
      <c r="B180" s="8"/>
      <c r="C180" s="8"/>
      <c r="D180" s="8"/>
      <c r="E180" s="8"/>
      <c r="F180" s="8"/>
      <c r="G180" s="8"/>
      <c r="H180" s="8"/>
      <c r="I180" s="7"/>
    </row>
    <row r="181" ht="21.75" customHeight="1">
      <c r="A181" s="51">
        <v>19.0</v>
      </c>
      <c r="B181" s="75" t="s">
        <v>1615</v>
      </c>
      <c r="C181" s="53"/>
      <c r="D181" s="53"/>
      <c r="E181" s="54"/>
      <c r="F181" s="55" t="s">
        <v>178</v>
      </c>
      <c r="G181" s="71" t="s">
        <v>47</v>
      </c>
      <c r="H181" s="59" t="str">
        <f>IF(G181="",IF(COUNTA(B185:F188)&gt;0,"⚠ 상태 미선택(입력값 있음)","상태 미선택 → 미수집 간주"),IF(G181="값 있음",IF(COUNTA(B185:F188)=0,"⚠ 값 있음인데 입력값 없음","✓ 정상"),IF(COUNTA(B185:F188)&gt;0,"⚠ 상태와 입력값 불일치","✓ 정상")))</f>
        <v>✓ 정상</v>
      </c>
      <c r="I181" s="54"/>
    </row>
    <row r="182" ht="24.0" customHeight="1">
      <c r="B182" s="60" t="s">
        <v>1629</v>
      </c>
    </row>
    <row r="183" ht="15.75" customHeight="1">
      <c r="A183" s="62" t="s">
        <v>24</v>
      </c>
      <c r="B183" s="13" t="s">
        <v>20</v>
      </c>
      <c r="C183" s="13" t="s">
        <v>695</v>
      </c>
      <c r="D183" s="13" t="s">
        <v>1632</v>
      </c>
      <c r="E183" s="13" t="s">
        <v>698</v>
      </c>
      <c r="F183" s="13" t="s">
        <v>699</v>
      </c>
    </row>
    <row r="184" ht="25.5" customHeight="1">
      <c r="A184" s="63" t="s">
        <v>111</v>
      </c>
      <c r="B184" s="64" t="s">
        <v>1634</v>
      </c>
      <c r="C184" s="63" t="s">
        <v>130</v>
      </c>
      <c r="D184" s="63" t="s">
        <v>78</v>
      </c>
      <c r="E184" s="64" t="s">
        <v>158</v>
      </c>
      <c r="F184" s="64" t="s">
        <v>1636</v>
      </c>
    </row>
    <row r="185" ht="15.75" customHeight="1">
      <c r="A185" s="65">
        <v>1.0</v>
      </c>
      <c r="B185" s="69" t="s">
        <v>801</v>
      </c>
      <c r="C185" s="69" t="s">
        <v>1638</v>
      </c>
      <c r="D185" s="42">
        <v>3.0</v>
      </c>
      <c r="E185" s="39" t="s">
        <v>545</v>
      </c>
      <c r="F185" s="69" t="s">
        <v>800</v>
      </c>
    </row>
    <row r="186" ht="15.75" customHeight="1">
      <c r="A186" s="65">
        <v>2.0</v>
      </c>
      <c r="B186" s="69"/>
      <c r="C186" s="42"/>
      <c r="D186" s="42"/>
      <c r="E186" s="39"/>
      <c r="F186" s="69"/>
    </row>
    <row r="187" ht="15.75" customHeight="1">
      <c r="A187" s="65">
        <v>3.0</v>
      </c>
      <c r="B187" s="69"/>
      <c r="C187" s="42"/>
      <c r="D187" s="42"/>
      <c r="E187" s="39"/>
      <c r="F187" s="69"/>
    </row>
    <row r="188" ht="15.75" customHeight="1">
      <c r="A188" s="65">
        <v>4.0</v>
      </c>
      <c r="B188" s="69"/>
      <c r="C188" s="42"/>
      <c r="D188" s="42"/>
      <c r="E188" s="39"/>
      <c r="F188" s="69"/>
    </row>
    <row r="189" ht="15.75" customHeight="1"/>
    <row r="190" ht="21.75" customHeight="1">
      <c r="A190" s="70">
        <v>20.0</v>
      </c>
      <c r="B190" s="80" t="s">
        <v>1640</v>
      </c>
      <c r="C190" s="53"/>
      <c r="D190" s="53"/>
      <c r="E190" s="54"/>
      <c r="F190" s="73" t="s">
        <v>178</v>
      </c>
      <c r="G190" s="71" t="s">
        <v>49</v>
      </c>
      <c r="H190" s="74" t="str">
        <f>IF(G190="",IF(COUNTA(B194:G196)&gt;0,"⚠ 상태 미선택(입력값 있음)","상태 미선택 → 미수집 간주"),IF(G190="값 있음",IF(COUNTA(B194:G196)=0,"⚠ 값 있음인데 입력값 없음","✓ 정상"),IF(COUNTA(B194:G196)&gt;0,"⚠ 상태와 입력값 불일치","✓ 정상")))</f>
        <v>✓ 정상</v>
      </c>
      <c r="I190" s="54"/>
    </row>
    <row r="191" ht="24.0" customHeight="1">
      <c r="B191" s="60" t="s">
        <v>1649</v>
      </c>
    </row>
    <row r="192" ht="15.75" customHeight="1">
      <c r="A192" s="62" t="s">
        <v>24</v>
      </c>
      <c r="B192" s="13" t="s">
        <v>400</v>
      </c>
      <c r="C192" s="13" t="s">
        <v>608</v>
      </c>
      <c r="D192" s="13" t="s">
        <v>557</v>
      </c>
      <c r="E192" s="13" t="s">
        <v>1651</v>
      </c>
      <c r="F192" s="13" t="s">
        <v>554</v>
      </c>
      <c r="G192" s="13" t="s">
        <v>558</v>
      </c>
    </row>
    <row r="193" ht="25.5" customHeight="1">
      <c r="A193" s="63" t="s">
        <v>111</v>
      </c>
      <c r="B193" s="64" t="s">
        <v>1653</v>
      </c>
      <c r="C193" s="63" t="s">
        <v>130</v>
      </c>
      <c r="D193" s="63" t="s">
        <v>130</v>
      </c>
      <c r="E193" s="63" t="s">
        <v>130</v>
      </c>
      <c r="F193" s="64" t="s">
        <v>1654</v>
      </c>
      <c r="G193" s="64" t="s">
        <v>158</v>
      </c>
    </row>
    <row r="194" ht="15.75" customHeight="1">
      <c r="A194" s="65">
        <v>1.0</v>
      </c>
      <c r="B194" s="42"/>
      <c r="C194" s="42"/>
      <c r="D194" s="42"/>
      <c r="E194" s="42"/>
      <c r="F194" s="69"/>
      <c r="G194" s="39"/>
    </row>
    <row r="195" ht="15.75" customHeight="1">
      <c r="A195" s="65">
        <v>2.0</v>
      </c>
      <c r="B195" s="42"/>
      <c r="C195" s="42"/>
      <c r="D195" s="42"/>
      <c r="E195" s="42"/>
      <c r="F195" s="69"/>
      <c r="G195" s="39"/>
    </row>
    <row r="196" ht="15.75" customHeight="1">
      <c r="A196" s="65">
        <v>3.0</v>
      </c>
      <c r="B196" s="42"/>
      <c r="C196" s="42"/>
      <c r="D196" s="42"/>
      <c r="E196" s="42"/>
      <c r="F196" s="69"/>
      <c r="G196" s="39"/>
    </row>
    <row r="197" ht="15.75" customHeight="1"/>
    <row r="198" ht="21.75" customHeight="1">
      <c r="A198" s="51">
        <v>21.0</v>
      </c>
      <c r="B198" s="52" t="s">
        <v>504</v>
      </c>
      <c r="C198" s="53"/>
      <c r="D198" s="53"/>
      <c r="E198" s="54"/>
      <c r="F198" s="55" t="s">
        <v>178</v>
      </c>
      <c r="G198" s="71" t="s">
        <v>47</v>
      </c>
      <c r="H198" s="59" t="str">
        <f>IF(G198="",IF(COUNTA(B202:D205)&gt;0,"⚠ 상태 미선택(입력값 있음)","상태 미선택 → 미수집 간주"),IF(G198="값 있음",IF(COUNTA(B202:D205)=0,"⚠ 값 있음인데 입력값 없음","✓ 정상"),IF(COUNTA(B202:D205)&gt;0,"⚠ 상태와 입력값 불일치","✓ 정상")))</f>
        <v>✓ 정상</v>
      </c>
      <c r="I198" s="54"/>
    </row>
    <row r="199" ht="24.0" customHeight="1">
      <c r="B199" s="60" t="s">
        <v>1670</v>
      </c>
    </row>
    <row r="200" ht="15.75" customHeight="1">
      <c r="A200" s="62" t="s">
        <v>24</v>
      </c>
      <c r="B200" s="13" t="s">
        <v>753</v>
      </c>
      <c r="C200" s="13" t="s">
        <v>755</v>
      </c>
      <c r="D200" s="13" t="s">
        <v>756</v>
      </c>
    </row>
    <row r="201" ht="15.0" customHeight="1">
      <c r="A201" s="63" t="s">
        <v>111</v>
      </c>
      <c r="B201" s="63" t="s">
        <v>759</v>
      </c>
      <c r="C201" s="64" t="s">
        <v>1674</v>
      </c>
      <c r="D201" s="63" t="s">
        <v>525</v>
      </c>
    </row>
    <row r="202" ht="36.0" customHeight="1">
      <c r="A202" s="65">
        <v>1.0</v>
      </c>
      <c r="B202" s="69" t="s">
        <v>853</v>
      </c>
      <c r="C202" s="69" t="s">
        <v>858</v>
      </c>
      <c r="D202" s="69" t="s">
        <v>1683</v>
      </c>
    </row>
    <row r="203" ht="36.0" customHeight="1">
      <c r="A203" s="65">
        <v>2.0</v>
      </c>
      <c r="B203" s="42"/>
      <c r="C203" s="69"/>
      <c r="D203" s="42"/>
    </row>
    <row r="204" ht="36.0" customHeight="1">
      <c r="A204" s="65">
        <v>3.0</v>
      </c>
      <c r="B204" s="42"/>
      <c r="C204" s="69"/>
      <c r="D204" s="42"/>
    </row>
    <row r="205" ht="36.0" customHeight="1">
      <c r="A205" s="65">
        <v>4.0</v>
      </c>
      <c r="B205" s="42"/>
      <c r="C205" s="69"/>
      <c r="D205" s="42"/>
    </row>
    <row r="206" ht="15.75" customHeight="1"/>
    <row r="207" ht="21.75" customHeight="1">
      <c r="A207" s="33" t="s">
        <v>1695</v>
      </c>
      <c r="B207" s="8"/>
      <c r="C207" s="8"/>
      <c r="D207" s="8"/>
      <c r="E207" s="8"/>
      <c r="F207" s="8"/>
      <c r="G207" s="8"/>
      <c r="H207" s="8"/>
      <c r="I207" s="7"/>
    </row>
    <row r="208" ht="21.75" customHeight="1">
      <c r="A208" s="51">
        <v>22.0</v>
      </c>
      <c r="B208" s="52" t="s">
        <v>1700</v>
      </c>
      <c r="C208" s="53"/>
      <c r="D208" s="53"/>
      <c r="E208" s="54"/>
      <c r="F208" s="55" t="s">
        <v>178</v>
      </c>
      <c r="G208" s="71" t="s">
        <v>47</v>
      </c>
      <c r="H208" s="59" t="str">
        <f>IF(G208="",IF(COUNTA(B212:I215)&gt;0,"⚠ 상태 미선택(입력값 있음)","상태 미선택 → 미수집 간주"),IF(G208="값 있음",IF(COUNTA(B212:I215)=0,"⚠ 값 있음인데 입력값 없음","✓ 정상"),IF(COUNTA(B212:I215)&gt;0,"⚠ 상태와 입력값 불일치","✓ 정상")))</f>
        <v>✓ 정상</v>
      </c>
      <c r="I208" s="54"/>
    </row>
    <row r="209" ht="24.0" customHeight="1">
      <c r="B209" s="60" t="s">
        <v>1712</v>
      </c>
    </row>
    <row r="210" ht="15.75" customHeight="1">
      <c r="A210" s="62" t="s">
        <v>24</v>
      </c>
      <c r="B210" s="13" t="s">
        <v>400</v>
      </c>
      <c r="C210" s="13" t="s">
        <v>809</v>
      </c>
      <c r="D210" s="13" t="s">
        <v>811</v>
      </c>
      <c r="E210" s="13" t="s">
        <v>380</v>
      </c>
      <c r="F210" s="13" t="s">
        <v>381</v>
      </c>
      <c r="G210" s="13" t="s">
        <v>1716</v>
      </c>
      <c r="H210" s="13" t="s">
        <v>1718</v>
      </c>
      <c r="I210" s="13" t="s">
        <v>1719</v>
      </c>
    </row>
    <row r="211" ht="25.5" customHeight="1">
      <c r="A211" s="63" t="s">
        <v>111</v>
      </c>
      <c r="B211" s="64" t="s">
        <v>1720</v>
      </c>
      <c r="C211" s="63" t="s">
        <v>130</v>
      </c>
      <c r="D211" s="64" t="s">
        <v>1721</v>
      </c>
      <c r="E211" s="64" t="s">
        <v>158</v>
      </c>
      <c r="F211" s="64" t="s">
        <v>1722</v>
      </c>
      <c r="G211" s="63" t="s">
        <v>78</v>
      </c>
      <c r="H211" s="63" t="s">
        <v>78</v>
      </c>
      <c r="I211" s="63" t="s">
        <v>130</v>
      </c>
    </row>
    <row r="212" ht="15.75" customHeight="1">
      <c r="A212" s="65">
        <v>1.0</v>
      </c>
      <c r="B212" s="69" t="s">
        <v>1724</v>
      </c>
      <c r="C212" s="69" t="s">
        <v>1726</v>
      </c>
      <c r="D212" s="69" t="s">
        <v>897</v>
      </c>
      <c r="E212" s="39" t="s">
        <v>892</v>
      </c>
      <c r="F212" s="39" t="s">
        <v>803</v>
      </c>
      <c r="G212" s="42">
        <v>12.0</v>
      </c>
      <c r="H212" s="42">
        <v>25.0</v>
      </c>
      <c r="I212" s="69" t="s">
        <v>1732</v>
      </c>
    </row>
    <row r="213" ht="15.75" customHeight="1">
      <c r="A213" s="65">
        <v>2.0</v>
      </c>
      <c r="B213" s="69" t="s">
        <v>895</v>
      </c>
      <c r="C213" s="69" t="s">
        <v>1735</v>
      </c>
      <c r="D213" s="69" t="s">
        <v>1736</v>
      </c>
      <c r="E213" s="39" t="s">
        <v>500</v>
      </c>
      <c r="F213" s="81" t="s">
        <v>763</v>
      </c>
      <c r="G213" s="42">
        <v>19.0</v>
      </c>
      <c r="H213" s="42">
        <v>30.0</v>
      </c>
      <c r="I213" s="69" t="s">
        <v>1741</v>
      </c>
    </row>
    <row r="214" ht="15.75" customHeight="1">
      <c r="A214" s="65">
        <v>3.0</v>
      </c>
      <c r="B214" s="69"/>
      <c r="C214" s="42"/>
      <c r="D214" s="69"/>
      <c r="E214" s="39"/>
      <c r="F214" s="39"/>
      <c r="G214" s="42"/>
      <c r="H214" s="42"/>
      <c r="I214" s="42"/>
    </row>
    <row r="215" ht="15.75" customHeight="1">
      <c r="A215" s="65">
        <v>4.0</v>
      </c>
      <c r="B215" s="69"/>
      <c r="C215" s="42"/>
      <c r="D215" s="69"/>
      <c r="E215" s="39"/>
      <c r="F215" s="39"/>
      <c r="G215" s="42"/>
      <c r="H215" s="42"/>
      <c r="I215" s="42"/>
    </row>
    <row r="216" ht="15.75" customHeight="1"/>
    <row r="217" ht="21.75" customHeight="1">
      <c r="A217" s="51">
        <v>23.0</v>
      </c>
      <c r="B217" s="52" t="s">
        <v>564</v>
      </c>
      <c r="C217" s="53"/>
      <c r="D217" s="53"/>
      <c r="E217" s="54"/>
      <c r="F217" s="55" t="s">
        <v>178</v>
      </c>
      <c r="G217" s="71" t="s">
        <v>47</v>
      </c>
      <c r="H217" s="59" t="str">
        <f>IF(G217="",IF(COUNTA(C219,B222:E225)&gt;0,"⚠ 상태 미선택(입력값 있음)","상태 미선택 → 미수집 간주"),IF(G217="값 있음",IF(COUNTA(C219,B222:E225)=0,"⚠ 값 있음인데 입력값 없음","✓ 정상"),IF(COUNTA(C219,B222:E225)&gt;0,"⚠ 상태와 입력값 불일치","✓ 정상")))</f>
        <v>✓ 정상</v>
      </c>
      <c r="I217" s="54"/>
    </row>
    <row r="218" ht="24.0" customHeight="1">
      <c r="B218" s="60" t="s">
        <v>1761</v>
      </c>
    </row>
    <row r="219" ht="15.75" customHeight="1">
      <c r="B219" s="17" t="s">
        <v>1762</v>
      </c>
      <c r="C219" s="42">
        <v>20.0</v>
      </c>
      <c r="D219" s="40" t="s">
        <v>78</v>
      </c>
      <c r="E219" s="50" t="s">
        <v>1763</v>
      </c>
    </row>
    <row r="220" ht="15.75" customHeight="1">
      <c r="A220" s="62" t="s">
        <v>24</v>
      </c>
      <c r="B220" s="13" t="s">
        <v>20</v>
      </c>
      <c r="C220" s="13" t="s">
        <v>1764</v>
      </c>
      <c r="D220" s="13" t="s">
        <v>1766</v>
      </c>
      <c r="E220" s="13" t="s">
        <v>558</v>
      </c>
    </row>
    <row r="221" ht="25.5" customHeight="1">
      <c r="A221" s="63" t="s">
        <v>111</v>
      </c>
      <c r="B221" s="64" t="s">
        <v>1768</v>
      </c>
      <c r="C221" s="63" t="s">
        <v>130</v>
      </c>
      <c r="D221" s="63" t="s">
        <v>78</v>
      </c>
      <c r="E221" s="64" t="s">
        <v>158</v>
      </c>
    </row>
    <row r="222" ht="15.75" customHeight="1">
      <c r="A222" s="65">
        <v>1.0</v>
      </c>
      <c r="B222" s="69" t="s">
        <v>1770</v>
      </c>
      <c r="C222" s="69" t="s">
        <v>1771</v>
      </c>
      <c r="D222" s="42">
        <v>20.0</v>
      </c>
      <c r="E222" s="39" t="s">
        <v>508</v>
      </c>
    </row>
    <row r="223" ht="15.75" customHeight="1">
      <c r="A223" s="65">
        <v>2.0</v>
      </c>
      <c r="B223" s="69"/>
      <c r="C223" s="42"/>
      <c r="D223" s="42"/>
      <c r="E223" s="39"/>
    </row>
    <row r="224" ht="15.75" customHeight="1">
      <c r="A224" s="65">
        <v>3.0</v>
      </c>
      <c r="B224" s="69"/>
      <c r="C224" s="42"/>
      <c r="D224" s="42"/>
      <c r="E224" s="39"/>
    </row>
    <row r="225" ht="15.75" customHeight="1">
      <c r="A225" s="65">
        <v>4.0</v>
      </c>
      <c r="B225" s="69"/>
      <c r="C225" s="42"/>
      <c r="D225" s="42"/>
      <c r="E225" s="39"/>
    </row>
    <row r="226" ht="15.75" customHeight="1"/>
    <row r="227" ht="21.75" customHeight="1">
      <c r="A227" s="76">
        <v>24.0</v>
      </c>
      <c r="B227" s="77" t="s">
        <v>1777</v>
      </c>
      <c r="C227" s="53"/>
      <c r="D227" s="53"/>
      <c r="E227" s="54"/>
      <c r="F227" s="78" t="s">
        <v>178</v>
      </c>
      <c r="G227" s="71" t="s">
        <v>49</v>
      </c>
      <c r="H227" s="79" t="str">
        <f>IF(G227="",IF(COUNTA(B231:E233)&gt;0,"⚠ 상태 미선택(입력값 있음)","상태 미선택 → 미수집 간주"),IF(G227="값 있음",IF(COUNTA(B231:E233)=0,"⚠ 값 있음인데 입력값 없음","✓ 정상"),IF(COUNTA(B231:E233)&gt;0,"⚠ 상태와 입력값 불일치","✓ 정상")))</f>
        <v>✓ 정상</v>
      </c>
      <c r="I227" s="54"/>
    </row>
    <row r="228" ht="15.0" customHeight="1">
      <c r="B228" s="60" t="s">
        <v>1786</v>
      </c>
    </row>
    <row r="229" ht="15.75" customHeight="1">
      <c r="A229" s="62" t="s">
        <v>24</v>
      </c>
      <c r="B229" s="13" t="s">
        <v>400</v>
      </c>
      <c r="C229" s="13" t="s">
        <v>871</v>
      </c>
      <c r="D229" s="13" t="s">
        <v>1787</v>
      </c>
      <c r="E229" s="13" t="s">
        <v>1788</v>
      </c>
    </row>
    <row r="230" ht="25.5" customHeight="1">
      <c r="A230" s="63" t="s">
        <v>111</v>
      </c>
      <c r="B230" s="64" t="s">
        <v>1789</v>
      </c>
      <c r="C230" s="63" t="s">
        <v>130</v>
      </c>
      <c r="D230" s="63" t="s">
        <v>130</v>
      </c>
      <c r="E230" s="63" t="s">
        <v>78</v>
      </c>
    </row>
    <row r="231" ht="15.75" customHeight="1">
      <c r="A231" s="65">
        <v>1.0</v>
      </c>
      <c r="B231" s="42"/>
      <c r="C231" s="42"/>
      <c r="D231" s="42"/>
      <c r="E231" s="42"/>
    </row>
    <row r="232" ht="15.75" customHeight="1">
      <c r="A232" s="65">
        <v>2.0</v>
      </c>
      <c r="B232" s="42"/>
      <c r="C232" s="42"/>
      <c r="D232" s="42"/>
      <c r="E232" s="42"/>
    </row>
    <row r="233" ht="15.75" customHeight="1">
      <c r="A233" s="65">
        <v>3.0</v>
      </c>
      <c r="B233" s="42"/>
      <c r="C233" s="42"/>
      <c r="D233" s="42"/>
      <c r="E233" s="42"/>
    </row>
    <row r="234" ht="15.75" customHeight="1"/>
    <row r="235" ht="21.75" customHeight="1">
      <c r="A235" s="76">
        <v>25.0</v>
      </c>
      <c r="B235" s="77" t="s">
        <v>611</v>
      </c>
      <c r="C235" s="53"/>
      <c r="D235" s="53"/>
      <c r="E235" s="54"/>
      <c r="F235" s="78" t="s">
        <v>178</v>
      </c>
      <c r="G235" s="71" t="s">
        <v>950</v>
      </c>
      <c r="H235" s="79" t="str">
        <f>IF(G235="",IF(COUNTA(B239:G242)&gt;0,"⚠ 상태 미선택(입력값 있음)","상태 미선택 → 미수집 간주"),IF(G235="값 있음",IF(COUNTA(B239:G242)=0,"⚠ 값 있음인데 입력값 없음","✓ 정상"),IF(COUNTA(B239:G242)&gt;0,"⚠ 상태와 입력값 불일치","✓ 정상")))</f>
        <v>✓ 정상</v>
      </c>
      <c r="I235" s="54"/>
    </row>
    <row r="236" ht="24.0" customHeight="1">
      <c r="B236" s="60" t="s">
        <v>1801</v>
      </c>
    </row>
    <row r="237" ht="15.75" customHeight="1">
      <c r="A237" s="62" t="s">
        <v>24</v>
      </c>
      <c r="B237" s="13" t="s">
        <v>215</v>
      </c>
      <c r="C237" s="13" t="s">
        <v>193</v>
      </c>
      <c r="D237" s="13" t="s">
        <v>901</v>
      </c>
      <c r="E237" s="13" t="s">
        <v>902</v>
      </c>
      <c r="F237" s="13" t="s">
        <v>1803</v>
      </c>
      <c r="G237" s="13" t="s">
        <v>904</v>
      </c>
    </row>
    <row r="238" ht="25.5" customHeight="1">
      <c r="A238" s="63" t="s">
        <v>111</v>
      </c>
      <c r="B238" s="63" t="s">
        <v>130</v>
      </c>
      <c r="C238" s="64" t="s">
        <v>1804</v>
      </c>
      <c r="D238" s="63" t="s">
        <v>78</v>
      </c>
      <c r="E238" s="63" t="s">
        <v>78</v>
      </c>
      <c r="F238" s="63" t="s">
        <v>78</v>
      </c>
      <c r="G238" s="63" t="s">
        <v>130</v>
      </c>
    </row>
    <row r="239" ht="15.75" customHeight="1">
      <c r="A239" s="65">
        <v>1.0</v>
      </c>
      <c r="B239" s="42"/>
      <c r="C239" s="39"/>
      <c r="D239" s="42"/>
      <c r="E239" s="42"/>
      <c r="F239" s="42"/>
      <c r="G239" s="42"/>
    </row>
    <row r="240" ht="15.75" customHeight="1">
      <c r="A240" s="65">
        <v>2.0</v>
      </c>
      <c r="B240" s="42"/>
      <c r="C240" s="39"/>
      <c r="D240" s="42"/>
      <c r="E240" s="42"/>
      <c r="F240" s="42"/>
      <c r="G240" s="42"/>
    </row>
    <row r="241" ht="15.75" customHeight="1">
      <c r="A241" s="65">
        <v>3.0</v>
      </c>
      <c r="B241" s="42"/>
      <c r="C241" s="39"/>
      <c r="D241" s="42"/>
      <c r="E241" s="42"/>
      <c r="F241" s="42"/>
      <c r="G241" s="42"/>
    </row>
    <row r="242" ht="15.75" customHeight="1">
      <c r="A242" s="65">
        <v>4.0</v>
      </c>
      <c r="B242" s="42"/>
      <c r="C242" s="39"/>
      <c r="D242" s="42"/>
      <c r="E242" s="42"/>
      <c r="F242" s="42"/>
      <c r="G242" s="42"/>
    </row>
    <row r="243" ht="15.75" customHeight="1"/>
    <row r="244" ht="21.75" customHeight="1">
      <c r="A244" s="33" t="s">
        <v>1807</v>
      </c>
      <c r="B244" s="8"/>
      <c r="C244" s="8"/>
      <c r="D244" s="8"/>
      <c r="E244" s="8"/>
      <c r="F244" s="8"/>
      <c r="G244" s="8"/>
      <c r="H244" s="8"/>
      <c r="I244" s="7"/>
    </row>
    <row r="245" ht="21.75" customHeight="1">
      <c r="A245" s="51">
        <v>26.0</v>
      </c>
      <c r="B245" s="52" t="s">
        <v>1808</v>
      </c>
      <c r="C245" s="53"/>
      <c r="D245" s="53"/>
      <c r="E245" s="54"/>
      <c r="F245" s="55" t="s">
        <v>178</v>
      </c>
      <c r="G245" s="71" t="s">
        <v>47</v>
      </c>
      <c r="H245" s="59" t="str">
        <f>IF(G245="",IF(COUNTA(B249:F252)&gt;0,"⚠ 상태 미선택(입력값 있음)","상태 미선택 → 미수집 간주"),IF(G245="값 있음",IF(COUNTA(B249:F252)=0,"⚠ 값 있음인데 입력값 없음","✓ 정상"),IF(COUNTA(B249:F252)&gt;0,"⚠ 상태와 입력값 불일치","✓ 정상")))</f>
        <v>✓ 정상</v>
      </c>
      <c r="I245" s="54"/>
    </row>
    <row r="246" ht="24.0" customHeight="1">
      <c r="B246" s="60" t="s">
        <v>1815</v>
      </c>
    </row>
    <row r="247" ht="15.75" customHeight="1">
      <c r="A247" s="62" t="s">
        <v>24</v>
      </c>
      <c r="B247" s="13" t="s">
        <v>931</v>
      </c>
      <c r="C247" s="13" t="s">
        <v>932</v>
      </c>
      <c r="D247" s="13" t="s">
        <v>1817</v>
      </c>
      <c r="E247" s="13" t="s">
        <v>934</v>
      </c>
      <c r="F247" s="13" t="s">
        <v>935</v>
      </c>
    </row>
    <row r="248" ht="37.5" customHeight="1">
      <c r="A248" s="63" t="s">
        <v>111</v>
      </c>
      <c r="B248" s="64" t="s">
        <v>1818</v>
      </c>
      <c r="C248" s="63" t="s">
        <v>78</v>
      </c>
      <c r="D248" s="63" t="s">
        <v>1819</v>
      </c>
      <c r="E248" s="64" t="s">
        <v>165</v>
      </c>
      <c r="F248" s="64" t="s">
        <v>165</v>
      </c>
    </row>
    <row r="249" ht="15.75" customHeight="1">
      <c r="A249" s="65">
        <v>1.0</v>
      </c>
      <c r="B249" s="42" t="s">
        <v>985</v>
      </c>
      <c r="C249" s="42">
        <v>820.0</v>
      </c>
      <c r="D249" s="42"/>
      <c r="E249" s="39" t="s">
        <v>1821</v>
      </c>
      <c r="F249" s="39" t="s">
        <v>1822</v>
      </c>
    </row>
    <row r="250" ht="15.75" customHeight="1">
      <c r="A250" s="65">
        <v>2.0</v>
      </c>
      <c r="B250" s="42"/>
      <c r="C250" s="42"/>
      <c r="D250" s="42"/>
      <c r="E250" s="39"/>
      <c r="F250" s="39"/>
    </row>
    <row r="251" ht="15.75" customHeight="1">
      <c r="A251" s="65">
        <v>3.0</v>
      </c>
      <c r="B251" s="42"/>
      <c r="C251" s="42"/>
      <c r="D251" s="42"/>
      <c r="E251" s="39"/>
      <c r="F251" s="39"/>
    </row>
    <row r="252" ht="15.75" customHeight="1">
      <c r="A252" s="65">
        <v>4.0</v>
      </c>
      <c r="B252" s="42"/>
      <c r="C252" s="42"/>
      <c r="D252" s="42"/>
      <c r="E252" s="39"/>
      <c r="F252" s="39"/>
    </row>
    <row r="253" ht="15.75" customHeight="1"/>
    <row r="254" ht="21.75" customHeight="1">
      <c r="A254" s="51">
        <v>27.0</v>
      </c>
      <c r="B254" s="52" t="s">
        <v>1825</v>
      </c>
      <c r="C254" s="53"/>
      <c r="D254" s="53"/>
      <c r="E254" s="54"/>
      <c r="F254" s="55" t="s">
        <v>178</v>
      </c>
      <c r="G254" s="71" t="s">
        <v>47</v>
      </c>
      <c r="H254" s="59" t="str">
        <f>IF(G254="",IF(COUNTA(B258:E262)&gt;0,"⚠ 상태 미선택(입력값 있음)","상태 미선택 → 미수집 간주"),IF(G254="값 있음",IF(COUNTA(B258:E262)=0,"⚠ 값 있음인데 입력값 없음","✓ 정상"),IF(COUNTA(B258:E262)&gt;0,"⚠ 상태와 입력값 불일치","✓ 정상")))</f>
        <v>✓ 정상</v>
      </c>
      <c r="I254" s="54"/>
    </row>
    <row r="255" ht="24.0" customHeight="1">
      <c r="B255" s="60" t="s">
        <v>1839</v>
      </c>
    </row>
    <row r="256" ht="15.75" customHeight="1">
      <c r="A256" s="62" t="s">
        <v>24</v>
      </c>
      <c r="B256" s="13" t="s">
        <v>954</v>
      </c>
      <c r="C256" s="13" t="s">
        <v>1840</v>
      </c>
      <c r="D256" s="13" t="s">
        <v>956</v>
      </c>
      <c r="E256" s="13" t="s">
        <v>957</v>
      </c>
    </row>
    <row r="257" ht="15.0" customHeight="1">
      <c r="A257" s="63" t="s">
        <v>111</v>
      </c>
      <c r="B257" s="63" t="s">
        <v>130</v>
      </c>
      <c r="C257" s="63" t="s">
        <v>130</v>
      </c>
      <c r="D257" s="63" t="s">
        <v>130</v>
      </c>
      <c r="E257" s="64" t="s">
        <v>165</v>
      </c>
    </row>
    <row r="258" ht="15.75" customHeight="1">
      <c r="A258" s="65">
        <v>1.0</v>
      </c>
      <c r="B258" s="69" t="s">
        <v>1017</v>
      </c>
      <c r="C258" s="42" t="s">
        <v>1842</v>
      </c>
      <c r="D258" s="69" t="s">
        <v>1019</v>
      </c>
      <c r="E258" s="39" t="s">
        <v>1843</v>
      </c>
    </row>
    <row r="259" ht="15.75" customHeight="1">
      <c r="A259" s="65">
        <v>2.0</v>
      </c>
      <c r="B259" s="42"/>
      <c r="C259" s="42"/>
      <c r="D259" s="42"/>
      <c r="E259" s="39"/>
    </row>
    <row r="260" ht="15.75" customHeight="1">
      <c r="A260" s="65">
        <v>3.0</v>
      </c>
      <c r="B260" s="42"/>
      <c r="C260" s="42"/>
      <c r="D260" s="42"/>
      <c r="E260" s="39"/>
    </row>
    <row r="261" ht="15.75" customHeight="1">
      <c r="A261" s="65">
        <v>4.0</v>
      </c>
      <c r="B261" s="42"/>
      <c r="C261" s="42"/>
      <c r="D261" s="42"/>
      <c r="E261" s="39"/>
    </row>
    <row r="262" ht="15.75" customHeight="1">
      <c r="A262" s="65">
        <v>5.0</v>
      </c>
      <c r="B262" s="42"/>
      <c r="C262" s="42"/>
      <c r="D262" s="42"/>
      <c r="E262" s="39"/>
    </row>
    <row r="263" ht="15.75" customHeight="1"/>
    <row r="264" ht="21.75" customHeight="1">
      <c r="A264" s="70">
        <v>28.0</v>
      </c>
      <c r="B264" s="72" t="s">
        <v>1844</v>
      </c>
      <c r="C264" s="53"/>
      <c r="D264" s="53"/>
      <c r="E264" s="54"/>
      <c r="F264" s="73" t="s">
        <v>178</v>
      </c>
      <c r="G264" s="71" t="s">
        <v>49</v>
      </c>
      <c r="H264" s="74" t="str">
        <f>IF(G264="",IF(COUNTA(B268:D269)&gt;0,"⚠ 상태 미선택(입력값 있음)","상태 미선택 → 미수집 간주"),IF(G264="값 있음",IF(COUNTA(B268:D269)=0,"⚠ 값 있음인데 입력값 없음","✓ 정상"),IF(COUNTA(B268:D269)&gt;0,"⚠ 상태와 입력값 불일치","✓ 정상")))</f>
        <v>✓ 정상</v>
      </c>
      <c r="I264" s="54"/>
    </row>
    <row r="265" ht="15.0" customHeight="1">
      <c r="B265" s="60" t="s">
        <v>1864</v>
      </c>
    </row>
    <row r="266" ht="15.75" customHeight="1">
      <c r="A266" s="62" t="s">
        <v>24</v>
      </c>
      <c r="B266" s="13" t="s">
        <v>931</v>
      </c>
      <c r="C266" s="13" t="s">
        <v>972</v>
      </c>
      <c r="D266" s="13" t="s">
        <v>974</v>
      </c>
    </row>
    <row r="267" ht="25.5" customHeight="1">
      <c r="A267" s="63" t="s">
        <v>111</v>
      </c>
      <c r="B267" s="63" t="s">
        <v>130</v>
      </c>
      <c r="C267" s="64" t="s">
        <v>1869</v>
      </c>
      <c r="D267" s="64" t="s">
        <v>977</v>
      </c>
    </row>
    <row r="268" ht="15.75" customHeight="1">
      <c r="A268" s="65">
        <v>1.0</v>
      </c>
      <c r="B268" s="42"/>
      <c r="C268" s="42"/>
      <c r="D268" s="39"/>
    </row>
    <row r="269" ht="15.75" customHeight="1">
      <c r="A269" s="65">
        <v>2.0</v>
      </c>
      <c r="B269" s="42"/>
      <c r="C269" s="42"/>
      <c r="D269" s="39"/>
    </row>
    <row r="270" ht="15.75" customHeight="1"/>
    <row r="271" ht="21.75" customHeight="1">
      <c r="A271" s="70">
        <v>29.0</v>
      </c>
      <c r="B271" s="80" t="s">
        <v>1873</v>
      </c>
      <c r="C271" s="53"/>
      <c r="D271" s="53"/>
      <c r="E271" s="54"/>
      <c r="F271" s="73" t="s">
        <v>178</v>
      </c>
      <c r="G271" s="71" t="s">
        <v>47</v>
      </c>
      <c r="H271" s="74" t="str">
        <f>IF(G271="",IF(COUNTA(C273:C277)&gt;0,"⚠ 상태 미선택(입력값 있음)","상태 미선택 → 미수집 간주"),IF(G271="값 있음",IF(COUNTA(C273:C277)=0,"⚠ 값 있음인데 입력값 없음","✓ 정상"),IF(COUNTA(C273:C277)&gt;0,"⚠ 상태와 입력값 불일치","✓ 정상")))</f>
        <v>✓ 정상</v>
      </c>
      <c r="I271" s="54"/>
    </row>
    <row r="272" ht="24.0" customHeight="1">
      <c r="B272" s="60" t="s">
        <v>1882</v>
      </c>
    </row>
    <row r="273" ht="15.75" customHeight="1">
      <c r="B273" s="17" t="s">
        <v>993</v>
      </c>
      <c r="C273" s="69" t="s">
        <v>763</v>
      </c>
      <c r="D273" s="40" t="s">
        <v>147</v>
      </c>
      <c r="E273" s="50" t="s">
        <v>1892</v>
      </c>
    </row>
    <row r="274" ht="15.75" customHeight="1">
      <c r="B274" s="17" t="s">
        <v>998</v>
      </c>
      <c r="C274" s="69" t="s">
        <v>1231</v>
      </c>
      <c r="D274" s="40" t="s">
        <v>147</v>
      </c>
      <c r="E274" s="50" t="s">
        <v>1894</v>
      </c>
    </row>
    <row r="275" ht="15.75" customHeight="1">
      <c r="B275" s="17" t="s">
        <v>1002</v>
      </c>
      <c r="C275" s="69" t="s">
        <v>1231</v>
      </c>
      <c r="D275" s="40" t="s">
        <v>147</v>
      </c>
      <c r="E275" s="50" t="s">
        <v>1895</v>
      </c>
    </row>
    <row r="276" ht="15.75" customHeight="1">
      <c r="B276" s="9" t="s">
        <v>1897</v>
      </c>
      <c r="C276" s="69" t="s">
        <v>1231</v>
      </c>
      <c r="D276" s="40" t="s">
        <v>147</v>
      </c>
      <c r="E276" s="50" t="s">
        <v>1900</v>
      </c>
    </row>
    <row r="277" ht="15.75" customHeight="1">
      <c r="B277" s="17" t="s">
        <v>1007</v>
      </c>
      <c r="C277" s="69" t="s">
        <v>763</v>
      </c>
      <c r="D277" s="40" t="s">
        <v>147</v>
      </c>
      <c r="E277" s="50" t="s">
        <v>1902</v>
      </c>
    </row>
    <row r="278" ht="15.75" customHeight="1"/>
    <row r="279" ht="21.75" customHeight="1">
      <c r="A279" s="70">
        <v>30.0</v>
      </c>
      <c r="B279" s="72" t="s">
        <v>743</v>
      </c>
      <c r="C279" s="53"/>
      <c r="D279" s="53"/>
      <c r="E279" s="54"/>
      <c r="F279" s="73" t="s">
        <v>178</v>
      </c>
      <c r="G279" s="71" t="s">
        <v>47</v>
      </c>
      <c r="H279" s="74" t="str">
        <f>IF(G279="",IF(COUNTA(C281:C283)&gt;0,"⚠ 상태 미선택(입력값 있음)","상태 미선택 → 미수집 간주"),IF(G279="값 있음",IF(COUNTA(C281:C283)=0,"⚠ 값 있음인데 입력값 없음","✓ 정상"),IF(COUNTA(C281:C283)&gt;0,"⚠ 상태와 입력값 불일치","✓ 정상")))</f>
        <v>✓ 정상</v>
      </c>
      <c r="I279" s="54"/>
    </row>
    <row r="280" ht="15.0" customHeight="1">
      <c r="B280" s="60" t="s">
        <v>1907</v>
      </c>
    </row>
    <row r="281" ht="15.75" customHeight="1">
      <c r="B281" s="17" t="s">
        <v>1908</v>
      </c>
      <c r="C281" s="42">
        <v>48.0</v>
      </c>
      <c r="D281" s="40" t="s">
        <v>78</v>
      </c>
      <c r="E281" s="41"/>
    </row>
    <row r="282" ht="15.75" customHeight="1">
      <c r="B282" s="17" t="s">
        <v>1910</v>
      </c>
      <c r="C282" s="42">
        <v>90.0</v>
      </c>
      <c r="D282" s="40" t="s">
        <v>78</v>
      </c>
      <c r="E282" s="41" t="s">
        <v>1913</v>
      </c>
    </row>
    <row r="283" ht="15.75" customHeight="1">
      <c r="B283" s="17" t="s">
        <v>1037</v>
      </c>
      <c r="C283" s="39" t="s">
        <v>1075</v>
      </c>
      <c r="D283" s="49" t="s">
        <v>165</v>
      </c>
      <c r="E283" s="41"/>
    </row>
    <row r="284" ht="15.75" customHeight="1"/>
    <row r="285" ht="21.75" customHeight="1">
      <c r="A285" s="33" t="s">
        <v>1918</v>
      </c>
      <c r="B285" s="8"/>
      <c r="C285" s="8"/>
      <c r="D285" s="8"/>
      <c r="E285" s="8"/>
      <c r="F285" s="8"/>
      <c r="G285" s="8"/>
      <c r="H285" s="8"/>
      <c r="I285" s="7"/>
    </row>
    <row r="286" ht="21.75" customHeight="1">
      <c r="A286" s="70">
        <v>31.0</v>
      </c>
      <c r="B286" s="80" t="s">
        <v>1921</v>
      </c>
      <c r="C286" s="53"/>
      <c r="D286" s="53"/>
      <c r="E286" s="54"/>
      <c r="F286" s="73" t="s">
        <v>178</v>
      </c>
      <c r="G286" s="71" t="s">
        <v>950</v>
      </c>
      <c r="H286" s="74" t="str">
        <f>IF(G286="",IF(COUNTA(C288,B291:D296)&gt;0,"⚠ 상태 미선택(입력값 있음)","상태 미선택 → 미수집 간주"),IF(G286="값 있음",IF(COUNTA(C288,B291:D296)=0,"⚠ 값 있음인데 입력값 없음","✓ 정상"),IF(COUNTA(C288,B291:D296)&gt;0,"⚠ 상태와 입력값 불일치","✓ 정상")))</f>
        <v>✓ 정상</v>
      </c>
      <c r="I286" s="54"/>
    </row>
    <row r="287" ht="24.0" customHeight="1">
      <c r="B287" s="60" t="s">
        <v>1930</v>
      </c>
    </row>
    <row r="288" ht="15.75" customHeight="1">
      <c r="B288" s="17" t="s">
        <v>1058</v>
      </c>
      <c r="C288" s="39"/>
      <c r="D288" s="49" t="s">
        <v>165</v>
      </c>
      <c r="E288" s="41"/>
    </row>
    <row r="289" ht="15.75" customHeight="1">
      <c r="A289" s="62" t="s">
        <v>24</v>
      </c>
      <c r="B289" s="13" t="s">
        <v>1059</v>
      </c>
      <c r="C289" s="13" t="s">
        <v>1060</v>
      </c>
      <c r="D289" s="13" t="s">
        <v>902</v>
      </c>
    </row>
    <row r="290" ht="15.0" customHeight="1">
      <c r="A290" s="63" t="s">
        <v>111</v>
      </c>
      <c r="B290" s="63" t="s">
        <v>1061</v>
      </c>
      <c r="C290" s="63" t="s">
        <v>78</v>
      </c>
      <c r="D290" s="63" t="s">
        <v>78</v>
      </c>
    </row>
    <row r="291" ht="15.75" customHeight="1">
      <c r="A291" s="65">
        <v>1.0</v>
      </c>
      <c r="B291" s="42"/>
      <c r="C291" s="42"/>
      <c r="D291" s="42"/>
    </row>
    <row r="292" ht="15.75" customHeight="1">
      <c r="A292" s="65">
        <v>2.0</v>
      </c>
      <c r="B292" s="42"/>
      <c r="C292" s="42"/>
      <c r="D292" s="42"/>
    </row>
    <row r="293" ht="15.75" customHeight="1">
      <c r="A293" s="65">
        <v>3.0</v>
      </c>
      <c r="B293" s="42"/>
      <c r="C293" s="42"/>
      <c r="D293" s="42"/>
    </row>
    <row r="294" ht="15.75" customHeight="1">
      <c r="A294" s="65">
        <v>4.0</v>
      </c>
      <c r="B294" s="42"/>
      <c r="C294" s="42"/>
      <c r="D294" s="42"/>
    </row>
    <row r="295" ht="15.75" customHeight="1">
      <c r="A295" s="65">
        <v>5.0</v>
      </c>
      <c r="B295" s="42"/>
      <c r="C295" s="42"/>
      <c r="D295" s="42"/>
    </row>
    <row r="296" ht="15.75" customHeight="1">
      <c r="A296" s="65">
        <v>6.0</v>
      </c>
      <c r="B296" s="42"/>
      <c r="C296" s="42"/>
      <c r="D296" s="42"/>
    </row>
    <row r="297" ht="15.75" customHeight="1"/>
    <row r="298" ht="21.75" customHeight="1">
      <c r="A298" s="70">
        <v>32.0</v>
      </c>
      <c r="B298" s="72" t="s">
        <v>786</v>
      </c>
      <c r="C298" s="53"/>
      <c r="D298" s="53"/>
      <c r="E298" s="54"/>
      <c r="F298" s="73" t="s">
        <v>178</v>
      </c>
      <c r="G298" s="71" t="s">
        <v>950</v>
      </c>
      <c r="H298" s="74" t="str">
        <f>IF(G298="",IF(COUNTA(C300:C303)&gt;0,"⚠ 상태 미선택(입력값 있음)","상태 미선택 → 미수집 간주"),IF(G298="값 있음",IF(COUNTA(C300:C303)=0,"⚠ 값 있음인데 입력값 없음","✓ 정상"),IF(COUNTA(C300:C303)&gt;0,"⚠ 상태와 입력값 불일치","✓ 정상")))</f>
        <v>✓ 정상</v>
      </c>
      <c r="I298" s="54"/>
    </row>
    <row r="299" ht="15.0" customHeight="1">
      <c r="B299" s="60" t="s">
        <v>1959</v>
      </c>
    </row>
    <row r="300" ht="15.75" customHeight="1">
      <c r="B300" s="17" t="s">
        <v>1058</v>
      </c>
      <c r="C300" s="39"/>
      <c r="D300" s="49" t="s">
        <v>165</v>
      </c>
      <c r="E300" s="41"/>
    </row>
    <row r="301" ht="15.75" customHeight="1">
      <c r="B301" s="17" t="s">
        <v>1077</v>
      </c>
      <c r="C301" s="42"/>
      <c r="D301" s="40" t="s">
        <v>78</v>
      </c>
      <c r="E301" s="41"/>
    </row>
    <row r="302" ht="15.75" customHeight="1">
      <c r="B302" s="17" t="s">
        <v>902</v>
      </c>
      <c r="C302" s="42"/>
      <c r="D302" s="40" t="s">
        <v>78</v>
      </c>
      <c r="E302" s="41"/>
    </row>
    <row r="303" ht="30.0" customHeight="1">
      <c r="B303" s="17" t="s">
        <v>1079</v>
      </c>
      <c r="C303" s="42"/>
      <c r="D303" s="40" t="s">
        <v>130</v>
      </c>
      <c r="E303" s="41" t="s">
        <v>1080</v>
      </c>
    </row>
    <row r="304" ht="15.75" customHeight="1"/>
    <row r="305" ht="21.75" customHeight="1">
      <c r="A305" s="76">
        <v>33.0</v>
      </c>
      <c r="B305" s="77" t="s">
        <v>1961</v>
      </c>
      <c r="C305" s="53"/>
      <c r="D305" s="53"/>
      <c r="E305" s="54"/>
      <c r="F305" s="78" t="s">
        <v>178</v>
      </c>
      <c r="G305" s="71" t="s">
        <v>47</v>
      </c>
      <c r="H305" s="79" t="str">
        <f>IF(G305="",IF(COUNTA(B309:G311)&gt;0,"⚠ 상태 미선택(입력값 있음)","상태 미선택 → 미수집 간주"),IF(G305="값 있음",IF(COUNTA(B309:G311)=0,"⚠ 값 있음인데 입력값 없음","✓ 정상"),IF(COUNTA(B309:G311)&gt;0,"⚠ 상태와 입력값 불일치","✓ 정상")))</f>
        <v>✓ 정상</v>
      </c>
      <c r="I305" s="54"/>
    </row>
    <row r="306" ht="24.0" customHeight="1">
      <c r="B306" s="60" t="s">
        <v>1966</v>
      </c>
    </row>
    <row r="307" ht="15.75" customHeight="1">
      <c r="A307" s="62" t="s">
        <v>24</v>
      </c>
      <c r="B307" s="13" t="s">
        <v>1967</v>
      </c>
      <c r="C307" s="13" t="s">
        <v>1090</v>
      </c>
      <c r="D307" s="13" t="s">
        <v>1969</v>
      </c>
      <c r="E307" s="13" t="s">
        <v>1970</v>
      </c>
      <c r="F307" s="13" t="s">
        <v>1971</v>
      </c>
      <c r="G307" s="13" t="s">
        <v>1974</v>
      </c>
    </row>
    <row r="308" ht="15.0" customHeight="1">
      <c r="A308" s="63" t="s">
        <v>111</v>
      </c>
      <c r="B308" s="63" t="s">
        <v>1975</v>
      </c>
      <c r="C308" s="63" t="s">
        <v>130</v>
      </c>
      <c r="D308" s="63" t="s">
        <v>525</v>
      </c>
      <c r="E308" s="63" t="s">
        <v>525</v>
      </c>
      <c r="F308" s="63" t="s">
        <v>525</v>
      </c>
      <c r="G308" s="63" t="s">
        <v>1978</v>
      </c>
    </row>
    <row r="309" ht="60.0" customHeight="1">
      <c r="A309" s="65">
        <v>1.0</v>
      </c>
      <c r="B309" s="42">
        <v>22.0</v>
      </c>
      <c r="C309" s="69" t="s">
        <v>1979</v>
      </c>
      <c r="D309" s="69" t="s">
        <v>1980</v>
      </c>
      <c r="E309" s="69" t="s">
        <v>1981</v>
      </c>
      <c r="F309" s="69" t="s">
        <v>1983</v>
      </c>
      <c r="G309" s="69" t="s">
        <v>1984</v>
      </c>
    </row>
    <row r="310" ht="60.0" customHeight="1">
      <c r="A310" s="65">
        <v>2.0</v>
      </c>
      <c r="B310" s="42"/>
      <c r="C310" s="42"/>
      <c r="D310" s="42"/>
      <c r="E310" s="42"/>
      <c r="F310" s="42"/>
      <c r="G310" s="42"/>
    </row>
    <row r="311" ht="60.0" customHeight="1">
      <c r="A311" s="65">
        <v>3.0</v>
      </c>
      <c r="B311" s="42"/>
      <c r="C311" s="42"/>
      <c r="D311" s="42"/>
      <c r="E311" s="42"/>
      <c r="F311" s="42"/>
      <c r="G311" s="42"/>
    </row>
    <row r="312" ht="15.75" customHeight="1"/>
    <row r="313" ht="21.75" customHeight="1">
      <c r="A313" s="76">
        <v>34.0</v>
      </c>
      <c r="B313" s="77" t="s">
        <v>826</v>
      </c>
      <c r="C313" s="53"/>
      <c r="D313" s="53"/>
      <c r="E313" s="54"/>
      <c r="F313" s="78" t="s">
        <v>178</v>
      </c>
      <c r="G313" s="71" t="s">
        <v>950</v>
      </c>
      <c r="H313" s="79" t="str">
        <f>IF(G313="",IF(COUNTA(B317:F318)&gt;0,"⚠ 상태 미선택(입력값 있음)","상태 미선택 → 미수집 간주"),IF(G313="값 있음",IF(COUNTA(B317:F318)=0,"⚠ 값 있음인데 입력값 없음","✓ 정상"),IF(COUNTA(B317:F318)&gt;0,"⚠ 상태와 입력값 불일치","✓ 정상")))</f>
        <v>✓ 정상</v>
      </c>
      <c r="I313" s="54"/>
    </row>
    <row r="314" ht="15.0" customHeight="1">
      <c r="B314" s="60" t="s">
        <v>1991</v>
      </c>
    </row>
    <row r="315" ht="15.75" customHeight="1">
      <c r="A315" s="62" t="s">
        <v>24</v>
      </c>
      <c r="B315" s="13" t="s">
        <v>1992</v>
      </c>
      <c r="C315" s="13" t="s">
        <v>1112</v>
      </c>
      <c r="D315" s="13" t="s">
        <v>1114</v>
      </c>
      <c r="E315" s="13" t="s">
        <v>1115</v>
      </c>
      <c r="F315" s="13" t="s">
        <v>1116</v>
      </c>
    </row>
    <row r="316" ht="15.0" customHeight="1">
      <c r="A316" s="63" t="s">
        <v>111</v>
      </c>
      <c r="B316" s="63" t="s">
        <v>130</v>
      </c>
      <c r="C316" s="64" t="s">
        <v>1994</v>
      </c>
      <c r="D316" s="63" t="s">
        <v>130</v>
      </c>
      <c r="E316" s="63" t="s">
        <v>525</v>
      </c>
      <c r="F316" s="64" t="s">
        <v>165</v>
      </c>
    </row>
    <row r="317" ht="36.0" customHeight="1">
      <c r="A317" s="65">
        <v>1.0</v>
      </c>
      <c r="B317" s="42"/>
      <c r="C317" s="42"/>
      <c r="D317" s="42"/>
      <c r="E317" s="42"/>
      <c r="F317" s="39"/>
    </row>
    <row r="318" ht="36.0" customHeight="1">
      <c r="A318" s="65">
        <v>2.0</v>
      </c>
      <c r="B318" s="42"/>
      <c r="C318" s="42"/>
      <c r="D318" s="42"/>
      <c r="E318" s="42"/>
      <c r="F318" s="39"/>
    </row>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4">
    <mergeCell ref="A1:I1"/>
    <mergeCell ref="A2:I2"/>
    <mergeCell ref="F3:I3"/>
    <mergeCell ref="A5:I5"/>
    <mergeCell ref="E6:I6"/>
    <mergeCell ref="E7:I7"/>
    <mergeCell ref="E8:I8"/>
    <mergeCell ref="E9:I9"/>
    <mergeCell ref="E10:I10"/>
    <mergeCell ref="E11:I11"/>
    <mergeCell ref="E12:I12"/>
    <mergeCell ref="E13:I13"/>
    <mergeCell ref="E14:I14"/>
    <mergeCell ref="E15:I15"/>
    <mergeCell ref="E16:I16"/>
    <mergeCell ref="E17:I17"/>
    <mergeCell ref="E18:I18"/>
    <mergeCell ref="E19:I19"/>
    <mergeCell ref="E20:I20"/>
    <mergeCell ref="A22:I22"/>
    <mergeCell ref="H23:I23"/>
    <mergeCell ref="B23:E23"/>
    <mergeCell ref="B24:I24"/>
    <mergeCell ref="E25:I25"/>
    <mergeCell ref="E26:I26"/>
    <mergeCell ref="E27:I27"/>
    <mergeCell ref="H39:I39"/>
    <mergeCell ref="B40:I40"/>
    <mergeCell ref="B39:E39"/>
    <mergeCell ref="B49:E49"/>
    <mergeCell ref="H49:I49"/>
    <mergeCell ref="B50:I50"/>
    <mergeCell ref="E51:I51"/>
    <mergeCell ref="E52:I52"/>
    <mergeCell ref="H60:I60"/>
    <mergeCell ref="B60:E60"/>
    <mergeCell ref="B61:I61"/>
    <mergeCell ref="E62:I62"/>
    <mergeCell ref="E63:I63"/>
    <mergeCell ref="E64:I64"/>
    <mergeCell ref="A66:I66"/>
    <mergeCell ref="H67:I67"/>
    <mergeCell ref="B67:E67"/>
    <mergeCell ref="B68:I68"/>
    <mergeCell ref="E69:I69"/>
    <mergeCell ref="E70:I70"/>
    <mergeCell ref="E71:I71"/>
    <mergeCell ref="E72:I72"/>
    <mergeCell ref="E73:I73"/>
    <mergeCell ref="E74:I74"/>
    <mergeCell ref="B76:E76"/>
    <mergeCell ref="H76:I76"/>
    <mergeCell ref="B77:I77"/>
    <mergeCell ref="E78:I78"/>
    <mergeCell ref="E79:I79"/>
    <mergeCell ref="E80:I80"/>
    <mergeCell ref="E81:I81"/>
    <mergeCell ref="B83:E83"/>
    <mergeCell ref="H83:I83"/>
    <mergeCell ref="B84:I84"/>
    <mergeCell ref="E85:I85"/>
    <mergeCell ref="E86:I86"/>
    <mergeCell ref="E87:I87"/>
    <mergeCell ref="E88:I88"/>
    <mergeCell ref="A90:I90"/>
    <mergeCell ref="B91:E91"/>
    <mergeCell ref="H91:I91"/>
    <mergeCell ref="B92:I92"/>
    <mergeCell ref="H100:I100"/>
    <mergeCell ref="B101:I101"/>
    <mergeCell ref="B100:E100"/>
    <mergeCell ref="B108:E108"/>
    <mergeCell ref="H108:I108"/>
    <mergeCell ref="B109:I109"/>
    <mergeCell ref="A116:I116"/>
    <mergeCell ref="H117:I117"/>
    <mergeCell ref="B118:I118"/>
    <mergeCell ref="B117:E117"/>
    <mergeCell ref="B125:E125"/>
    <mergeCell ref="H125:I125"/>
    <mergeCell ref="B126:I126"/>
    <mergeCell ref="B133:E133"/>
    <mergeCell ref="H133:I133"/>
    <mergeCell ref="B134:I134"/>
    <mergeCell ref="E135:I135"/>
    <mergeCell ref="E136:I136"/>
    <mergeCell ref="E137:I137"/>
    <mergeCell ref="E138:I138"/>
    <mergeCell ref="A140:I140"/>
    <mergeCell ref="H141:I141"/>
    <mergeCell ref="B142:I142"/>
    <mergeCell ref="B141:E141"/>
    <mergeCell ref="B151:E151"/>
    <mergeCell ref="H151:I151"/>
    <mergeCell ref="B152:I152"/>
    <mergeCell ref="B158:E158"/>
    <mergeCell ref="H158:I158"/>
    <mergeCell ref="B159:I159"/>
    <mergeCell ref="B264:E264"/>
    <mergeCell ref="B265:I265"/>
    <mergeCell ref="B271:E271"/>
    <mergeCell ref="H271:I271"/>
    <mergeCell ref="B272:I272"/>
    <mergeCell ref="E273:I273"/>
    <mergeCell ref="E274:I274"/>
    <mergeCell ref="E275:I275"/>
    <mergeCell ref="E276:I276"/>
    <mergeCell ref="E277:I277"/>
    <mergeCell ref="B279:E279"/>
    <mergeCell ref="H279:I279"/>
    <mergeCell ref="B280:I280"/>
    <mergeCell ref="E281:I281"/>
    <mergeCell ref="B305:E305"/>
    <mergeCell ref="H305:I305"/>
    <mergeCell ref="B306:I306"/>
    <mergeCell ref="B313:E313"/>
    <mergeCell ref="H313:I313"/>
    <mergeCell ref="B314:I314"/>
    <mergeCell ref="B298:E298"/>
    <mergeCell ref="H298:I298"/>
    <mergeCell ref="B299:I299"/>
    <mergeCell ref="E300:I300"/>
    <mergeCell ref="E301:I301"/>
    <mergeCell ref="E302:I302"/>
    <mergeCell ref="E303:I303"/>
    <mergeCell ref="A165:I165"/>
    <mergeCell ref="B166:E166"/>
    <mergeCell ref="H166:I166"/>
    <mergeCell ref="B167:I167"/>
    <mergeCell ref="B174:E174"/>
    <mergeCell ref="H174:I174"/>
    <mergeCell ref="B175:I175"/>
    <mergeCell ref="E176:I176"/>
    <mergeCell ref="E177:I177"/>
    <mergeCell ref="E178:I178"/>
    <mergeCell ref="A180:I180"/>
    <mergeCell ref="B181:E181"/>
    <mergeCell ref="H181:I181"/>
    <mergeCell ref="B182:I182"/>
    <mergeCell ref="B190:E190"/>
    <mergeCell ref="H190:I190"/>
    <mergeCell ref="B191:I191"/>
    <mergeCell ref="B198:E198"/>
    <mergeCell ref="H198:I198"/>
    <mergeCell ref="B199:I199"/>
    <mergeCell ref="A207:I207"/>
    <mergeCell ref="B208:E208"/>
    <mergeCell ref="H208:I208"/>
    <mergeCell ref="B209:I209"/>
    <mergeCell ref="B217:E217"/>
    <mergeCell ref="H217:I217"/>
    <mergeCell ref="B218:I218"/>
    <mergeCell ref="E219:I219"/>
    <mergeCell ref="B227:E227"/>
    <mergeCell ref="H227:I227"/>
    <mergeCell ref="B228:I228"/>
    <mergeCell ref="B235:E235"/>
    <mergeCell ref="H235:I235"/>
    <mergeCell ref="B236:I236"/>
    <mergeCell ref="A244:I244"/>
    <mergeCell ref="B245:E245"/>
    <mergeCell ref="H245:I245"/>
    <mergeCell ref="B246:I246"/>
    <mergeCell ref="B254:E254"/>
    <mergeCell ref="H254:I254"/>
    <mergeCell ref="B255:I255"/>
    <mergeCell ref="H264:I264"/>
    <mergeCell ref="E282:I282"/>
    <mergeCell ref="E283:I283"/>
    <mergeCell ref="A285:I285"/>
    <mergeCell ref="B286:E286"/>
    <mergeCell ref="H286:I286"/>
    <mergeCell ref="B287:I287"/>
    <mergeCell ref="E288:I288"/>
  </mergeCells>
  <conditionalFormatting sqref="H5:H1000">
    <cfRule type="expression" dxfId="5" priority="1">
      <formula>LEFT(H5,1)="✓"</formula>
    </cfRule>
  </conditionalFormatting>
  <conditionalFormatting sqref="H5:H1000">
    <cfRule type="expression" dxfId="6" priority="2">
      <formula>LEFT(H5,2)="상태"</formula>
    </cfRule>
  </conditionalFormatting>
  <dataValidations>
    <dataValidation type="list" allowBlank="1" showInputMessage="1" showErrorMessage="1" prompt="허용값 아님 - 목록에서 선택해 주세요: 논문,보고서,학술발표자료" sqref="B104:B106">
      <formula1>"논문,보고서,학술발표자료"</formula1>
    </dataValidation>
    <dataValidation type="list" allowBlank="1" showInputMessage="1" showErrorMessage="1" prompt="허용값 아님 - 목록에서 선택해 주세요: 신청,이수중,이수완료" sqref="D55:D58">
      <formula1>"신청,이수중,이수완료"</formula1>
    </dataValidation>
    <dataValidation type="list" allowBlank="1" showInputMessage="1" showErrorMessage="1" prompt="허용값 아님 - 목록에서 선택해 주세요: 교과,비교과,3품(AI)" sqref="B185:B188">
      <formula1>"교과,비교과,3품(AI)"</formula1>
    </dataValidation>
    <dataValidation type="list" allowBlank="1" showInputMessage="1" showErrorMessage="1" prompt="허용값 아님 - 목록에서 선택해 주세요: 참가,입선,장려,우수,최우수,대상" sqref="E145:E149">
      <formula1>"참가,입선,장려,우수,최우수,대상"</formula1>
    </dataValidation>
    <dataValidation type="list" allowBlank="1" showInputMessage="1" showErrorMessage="1" prompt="허용값 아님 - 목록에서 선택해 주세요: TOEIC,TOEFL iBT,TOEIC Speaking,OPIc,HSK,JPT,JLPT,DELF/DALF,DELE,기타" sqref="B249:B252">
      <formula1>"TOEIC,TOEFL iBT,TOEIC Speaking,OPIc,HSK,JPT,JLPT,DELF/DALF,DELE,기타"</formula1>
    </dataValidation>
    <dataValidation type="list" allowBlank="1" showInputMessage="1" showErrorMessage="1" prompt="허용값 아님 - 목록에서 선택해 주세요: Y,N" sqref="C17 C20 I121:I123 C136 G170:G172">
      <formula1>"Y,N"</formula1>
    </dataValidation>
    <dataValidation type="list" allowBlank="1" showInputMessage="1" showErrorMessage="1" prompt="허용값 아님 - 목록에서 선택해 주세요: 지도교수,수업 담당교수" sqref="C317:C318">
      <formula1>"지도교수,수업 담당교수"</formula1>
    </dataValidation>
    <dataValidation type="list" allowBlank="1" showInputMessage="1" showErrorMessage="1" prompt="허용값 아님 - 목록에서 선택해 주세요: 튜터,튜티,멘토,멘티,스터디,학습공동체" sqref="B231:B233">
      <formula1>"튜터,튜티,멘토,멘티,스터디,학습공동체"</formula1>
    </dataValidation>
    <dataValidation type="list" allowBlank="1" showInputMessage="1" showErrorMessage="1" prompt="허용값 아님 - 목록에서 선택해 주세요: 학부,석사,박사,석박통합" sqref="C13">
      <formula1>"학부,석사,박사,석박통합"</formula1>
    </dataValidation>
    <dataValidation type="list" allowBlank="1" showInputMessage="1" showErrorMessage="1" prompt="허용값 아님 - 목록에서 선택해 주세요: 출원,등록" sqref="D162:D163">
      <formula1>"출원,등록"</formula1>
    </dataValidation>
    <dataValidation type="list" allowBlank="1" showInputMessage="1" showErrorMessage="1" prompt="허용값 아님 - 목록에서 선택해 주세요: 특허,실용신안,디자인,SW등록" sqref="B162:B163">
      <formula1>"특허,실용신안,디자인,SW등록"</formula1>
    </dataValidation>
    <dataValidation type="list" allowBlank="1" showInputMessage="1" showErrorMessage="1" prompt="허용값 아님 - 목록에서 선택해 주세요: 값 있음,활동 없음,미수집,해당 없음" sqref="G23 G39 G49 G60 G67 G76 G83 G91 G100 G108 G117 G125 G133 G141 G151 G158 G166 G174 G181 G190 G198 G208 G217 G227 G235 G245 G254 G264 G271 G279 G286 G298 G305 G313">
      <formula1>"값 있음,활동 없음,미수집,해당 없음"</formula1>
    </dataValidation>
    <dataValidation type="list" allowBlank="1" showInputMessage="1" showErrorMessage="1" prompt="허용값 아님 - 목록에서 선택해 주세요: 주전공,복수전공,부전공,연계전공,융합전공,심화전공" sqref="B55:B58">
      <formula1>"주전공,복수전공,부전공,연계전공,융합전공,심화전공"</formula1>
    </dataValidation>
    <dataValidation type="list" allowBlank="1" showInputMessage="1" showErrorMessage="1" prompt="허용값 아님 - 목록에서 선택해 주세요: 교내,교외(국내),국외,유학생 봉사" sqref="B222:B225">
      <formula1>"교내,교외(국내),국외,유학생 봉사"</formula1>
    </dataValidation>
    <dataValidation type="list" allowBlank="1" showInputMessage="1" showErrorMessage="1" prompt="허용값 아님 - 목록에서 선택해 주세요: 이수중,이수완료,미이수,포기" sqref="C64">
      <formula1>"이수중,이수완료,미이수,포기"</formula1>
    </dataValidation>
    <dataValidation type="list" allowBlank="1" showInputMessage="1" showErrorMessage="1" prompt="허용값 아님 - 목록에서 선택해 주세요: 관련,일부 관련,무관" sqref="H121:H123">
      <formula1>"관련,일부 관련,무관"</formula1>
    </dataValidation>
    <dataValidation type="list" allowBlank="1" showInputMessage="1" showErrorMessage="1" prompt="허용값 아님 - 목록에서 선택해 주세요: 시스템 연동,학생 직접 입력,혼합" sqref="C19">
      <formula1>"시스템 연동,학생 직접 입력,혼합"</formula1>
    </dataValidation>
    <dataValidation type="list" allowBlank="1" showInputMessage="1" showErrorMessage="1" prompt="허용값 아님 - 목록에서 선택해 주세요: 국제학술지,국내학술지,국제학술대회,국내학술대회,교내" sqref="D104:D106">
      <formula1>"국제학술지,국내학술지,국제학술대회,국내학술대회,교내"</formula1>
    </dataValidation>
    <dataValidation type="list" allowBlank="1" showInputMessage="1" showErrorMessage="1" prompt="허용값 아님 - 목록에서 선택해 주세요: 게재,게재승인,투고,작성중" sqref="E104:E106">
      <formula1>"게재,게재승인,투고,작성중"</formula1>
    </dataValidation>
    <dataValidation type="list" allowBlank="1" showInputMessage="1" showErrorMessage="1" prompt="허용값 아님 - 목록에서 선택해 주세요: 이수,수강중,미이수" sqref="F185:F188">
      <formula1>"이수,수강중,미이수"</formula1>
    </dataValidation>
    <dataValidation type="list" allowBlank="1" showInputMessage="1" showErrorMessage="1" prompt="허용값 아님 - 목록에서 선택해 주세요: 신입학,편입학,재입학" sqref="C14">
      <formula1>"신입학,편입학,재입학"</formula1>
    </dataValidation>
    <dataValidation type="list" allowBlank="1" showInputMessage="1" showErrorMessage="1" prompt="허용값 아님 - 목록에서 선택해 주세요: 창업교과목,창업경진대회,사업자등록,창업동아리" sqref="B155:B156">
      <formula1>"창업교과목,창업경진대회,사업자등록,창업동아리"</formula1>
    </dataValidation>
    <dataValidation type="list" allowBlank="1" showInputMessage="1" showErrorMessage="1" prompt="허용값 아님 - 목록에서 선택해 주세요: 고용보험,재직·경력증명,없음" sqref="F129:F131">
      <formula1>"고용보험,재직·경력증명,없음"</formula1>
    </dataValidation>
    <dataValidation type="list" allowBlank="1" showInputMessage="1" showErrorMessage="1" prompt="허용값 아님 - 목록에서 선택해 주세요: 발표형,토론형,과제·보고서형,PBL형" sqref="D43:D47">
      <formula1>"발표형,토론형,과제·보고서형,PBL형"</formula1>
    </dataValidation>
    <dataValidation type="list" allowBlank="1" showInputMessage="1" showErrorMessage="1" prompt="허용값 아님 - 목록에서 선택해 주세요: A+,A0,B+,B0,C+,C0,D+,D0,F,P" sqref="E43:E47">
      <formula1>"A+,A0,B+,B0,C+,C0,D+,D0,F,P"</formula1>
    </dataValidation>
    <dataValidation type="list" allowBlank="1" showInputMessage="1" showErrorMessage="1" prompt="허용값 아님 - 목록에서 선택해 주세요: 교환학생,어학연수,해외봉사,국제연구,국제문화체험,해외학습" sqref="B170:B172">
      <formula1>"교환학생,어학연수,해외봉사,국제연구,국제문화체험,해외학습"</formula1>
    </dataValidation>
    <dataValidation type="list" allowBlank="1" showInputMessage="1" showErrorMessage="1" prompt="허용값 아님 - 목록에서 선택해 주세요: 대상,비대상" sqref="C62">
      <formula1>"대상,비대상"</formula1>
    </dataValidation>
    <dataValidation type="list" allowBlank="1" showInputMessage="1" showErrorMessage="1" prompt="허용값 아님 - 목록에서 선택해 주세요: 기초,활용,능숙" sqref="C202:C205">
      <formula1>"기초,활용,능숙"</formula1>
    </dataValidation>
    <dataValidation type="list" allowBlank="1" showInputMessage="1" showErrorMessage="1" prompt="허용값 아님 - 목록에서 선택해 주세요: 학부연구생,URP,학회,연구실 인턴,팀연구프로젝트" sqref="B95:B98">
      <formula1>"학부연구생,URP,학회,연구실 인턴,팀연구프로젝트"</formula1>
    </dataValidation>
    <dataValidation type="list" allowBlank="1" showInputMessage="1" showErrorMessage="1" prompt="허용값 아님 - 목록에서 선택해 주세요: AI캡스톤,AI대회,AI공모전,AI프로젝트" sqref="B194:B196">
      <formula1>"AI캡스톤,AI대회,AI공모전,AI프로젝트"</formula1>
    </dataValidation>
    <dataValidation type="list" allowBlank="1" showInputMessage="1" showErrorMessage="1" prompt="허용값 아님 - 목록에서 선택해 주세요: 재학,휴학,수료" sqref="C16">
      <formula1>"재학,휴학,수료"</formula1>
    </dataValidation>
    <dataValidation type="list" allowBlank="1" showInputMessage="1" showErrorMessage="1" prompt="허용값 아님 - 목록에서 선택해 주세요: 동아리,학생회,학회,기타단체" sqref="B212:B215">
      <formula1>"동아리,학생회,학회,기타단체"</formula1>
    </dataValidation>
    <dataValidation type="list" allowBlank="1" showInputMessage="1" showErrorMessage="1" prompt="허용값 아님 - 목록에서 선택해 주세요: 교내,지역,전국,국제" sqref="D145:D149 F194:F196">
      <formula1>"교내,지역,전국,국제"</formula1>
    </dataValidation>
    <dataValidation type="list" allowBlank="1" showInputMessage="1" showErrorMessage="1" prompt="허용값 아님 - 목록에서 선택해 주세요: 인턴십,현장실습,연구체험,문제해결프로젝트" sqref="B121:B123">
      <formula1>"인턴십,현장실습,연구체험,문제해결프로젝트"</formula1>
    </dataValidation>
    <dataValidation type="list" allowBlank="1" showInputMessage="1" showErrorMessage="1" prompt="허용값 아님 - 목록에서 선택해 주세요: 개인,팀" sqref="F145:F149">
      <formula1>"개인,팀"</formula1>
    </dataValidation>
    <dataValidation type="list" allowBlank="1" showInputMessage="1" showErrorMessage="1" prompt="허용값 아님 - 목록에서 선택해 주세요: 단독,공동" sqref="G162:G163">
      <formula1>"단독,공동"</formula1>
    </dataValidation>
    <dataValidation type="list" allowBlank="1" showInputMessage="1" showErrorMessage="1" prompt="허용값 아님 - 목록에서 선택해 주세요: 회장,부회장,부장,총무,부원" sqref="D212:D215">
      <formula1>"회장,부회장,부장,총무,부원"</formula1>
    </dataValidation>
    <dataValidation type="list" allowBlank="1" showInputMessage="1" showErrorMessage="1" prompt="허용값 아님 - 목록에서 선택해 주세요: 단독,제1저자,공동저자" sqref="F104:F106">
      <formula1>"단독,제1저자,공동저자"</formula1>
    </dataValidation>
    <dataValidation type="list" allowBlank="1" showInputMessage="1" showErrorMessage="1" prompt="허용값 아님 - 목록에서 선택해 주세요: 취득,진행중,미취득" sqref="C273:C277">
      <formula1>"취득,진행중,미취득"</formula1>
    </dataValidation>
    <dataValidation type="list" allowBlank="1" showInputMessage="1" showErrorMessage="1" prompt="허용값 아님 - 목록에서 선택해 주세요: 응시,1차 합격,2차 합격,최종 합격" sqref="C268:C269">
      <formula1>"응시,1차 합격,2차 합격,최종 합격"</formula1>
    </dataValidation>
  </dataValidations>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9BD5"/>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6.0"/>
    <col customWidth="1" min="2" max="2" width="22.0"/>
    <col customWidth="1" min="3" max="3" width="20.0"/>
    <col customWidth="1" min="4" max="5" width="17.0"/>
    <col customWidth="1" min="6" max="7" width="15.0"/>
    <col customWidth="1" min="8" max="8" width="17.0"/>
    <col customWidth="1" min="9" max="9" width="30.0"/>
    <col customWidth="1" min="10" max="26" width="8.71"/>
  </cols>
  <sheetData>
    <row r="1" ht="25.5" customHeight="1">
      <c r="A1" s="66" t="s">
        <v>1224</v>
      </c>
    </row>
    <row r="2" ht="30.0" customHeight="1">
      <c r="A2" s="16" t="s">
        <v>1225</v>
      </c>
    </row>
    <row r="3" ht="15.0" customHeight="1">
      <c r="A3" s="23" t="s">
        <v>73</v>
      </c>
      <c r="B3" s="25" t="s">
        <v>67</v>
      </c>
      <c r="C3" s="27" t="s">
        <v>89</v>
      </c>
      <c r="D3" s="28" t="s">
        <v>1227</v>
      </c>
      <c r="E3" s="30" t="s">
        <v>100</v>
      </c>
      <c r="F3" s="16" t="s">
        <v>1229</v>
      </c>
    </row>
    <row r="5" ht="21.75" customHeight="1">
      <c r="A5" s="33" t="s">
        <v>1233</v>
      </c>
      <c r="B5" s="8"/>
      <c r="C5" s="8"/>
      <c r="D5" s="8"/>
      <c r="E5" s="8"/>
      <c r="F5" s="8"/>
      <c r="G5" s="8"/>
      <c r="H5" s="8"/>
      <c r="I5" s="7"/>
    </row>
    <row r="6" ht="15.0" customHeight="1">
      <c r="B6" s="13" t="s">
        <v>107</v>
      </c>
      <c r="C6" s="13" t="s">
        <v>108</v>
      </c>
      <c r="D6" s="13" t="s">
        <v>111</v>
      </c>
      <c r="E6" s="36" t="s">
        <v>112</v>
      </c>
      <c r="F6" s="37"/>
      <c r="G6" s="37"/>
      <c r="H6" s="37"/>
      <c r="I6" s="38"/>
    </row>
    <row r="7">
      <c r="B7" s="17" t="s">
        <v>36</v>
      </c>
      <c r="C7" s="39" t="s">
        <v>211</v>
      </c>
      <c r="D7" s="40" t="s">
        <v>1243</v>
      </c>
      <c r="E7" s="41" t="s">
        <v>123</v>
      </c>
    </row>
    <row r="8">
      <c r="B8" s="17" t="s">
        <v>37</v>
      </c>
      <c r="C8" s="69" t="s">
        <v>54</v>
      </c>
      <c r="D8" s="40" t="s">
        <v>130</v>
      </c>
      <c r="E8" s="41"/>
    </row>
    <row r="9">
      <c r="B9" s="17" t="s">
        <v>38</v>
      </c>
      <c r="C9" s="69" t="s">
        <v>212</v>
      </c>
      <c r="D9" s="40" t="s">
        <v>130</v>
      </c>
      <c r="E9" s="41" t="s">
        <v>1245</v>
      </c>
    </row>
    <row r="10">
      <c r="B10" s="17" t="s">
        <v>1246</v>
      </c>
      <c r="C10" s="69" t="s">
        <v>213</v>
      </c>
      <c r="D10" s="40" t="s">
        <v>130</v>
      </c>
      <c r="E10" s="41" t="s">
        <v>1247</v>
      </c>
    </row>
    <row r="11">
      <c r="B11" s="17" t="s">
        <v>40</v>
      </c>
      <c r="C11" s="42">
        <v>1.0</v>
      </c>
      <c r="D11" s="40" t="s">
        <v>1251</v>
      </c>
      <c r="E11" s="41" t="s">
        <v>1253</v>
      </c>
    </row>
    <row r="12">
      <c r="B12" s="17" t="s">
        <v>139</v>
      </c>
      <c r="C12" s="42">
        <v>1.0</v>
      </c>
      <c r="D12" s="40" t="s">
        <v>78</v>
      </c>
      <c r="E12" s="41" t="s">
        <v>1256</v>
      </c>
    </row>
    <row r="13">
      <c r="B13" s="17" t="s">
        <v>143</v>
      </c>
      <c r="C13" s="69" t="s">
        <v>98</v>
      </c>
      <c r="D13" s="40" t="s">
        <v>147</v>
      </c>
      <c r="E13" s="41" t="s">
        <v>148</v>
      </c>
    </row>
    <row r="14">
      <c r="B14" s="17" t="s">
        <v>149</v>
      </c>
      <c r="C14" s="69" t="s">
        <v>239</v>
      </c>
      <c r="D14" s="40" t="s">
        <v>147</v>
      </c>
      <c r="E14" s="41" t="s">
        <v>151</v>
      </c>
    </row>
    <row r="15">
      <c r="B15" s="17" t="s">
        <v>155</v>
      </c>
      <c r="C15" s="39" t="s">
        <v>1260</v>
      </c>
      <c r="D15" s="49" t="s">
        <v>158</v>
      </c>
      <c r="E15" s="41" t="s">
        <v>1262</v>
      </c>
    </row>
    <row r="16">
      <c r="B16" s="17" t="s">
        <v>161</v>
      </c>
      <c r="C16" s="69" t="s">
        <v>248</v>
      </c>
      <c r="D16" s="40" t="s">
        <v>147</v>
      </c>
      <c r="E16" s="41"/>
    </row>
    <row r="17">
      <c r="B17" s="17" t="s">
        <v>162</v>
      </c>
      <c r="C17" s="42" t="s">
        <v>249</v>
      </c>
      <c r="D17" s="40" t="s">
        <v>147</v>
      </c>
      <c r="E17" s="50" t="s">
        <v>1269</v>
      </c>
    </row>
    <row r="18">
      <c r="B18" s="17" t="s">
        <v>164</v>
      </c>
      <c r="C18" s="39" t="s">
        <v>252</v>
      </c>
      <c r="D18" s="49" t="s">
        <v>165</v>
      </c>
      <c r="E18" s="41" t="s">
        <v>1273</v>
      </c>
    </row>
    <row r="19">
      <c r="B19" s="17" t="s">
        <v>167</v>
      </c>
      <c r="C19" s="69" t="s">
        <v>481</v>
      </c>
      <c r="D19" s="40" t="s">
        <v>147</v>
      </c>
      <c r="E19" s="41"/>
    </row>
    <row r="20">
      <c r="B20" s="17" t="s">
        <v>1275</v>
      </c>
      <c r="C20" s="42" t="s">
        <v>249</v>
      </c>
      <c r="D20" s="40" t="s">
        <v>147</v>
      </c>
      <c r="E20" s="50" t="s">
        <v>1277</v>
      </c>
    </row>
    <row r="21" ht="15.75" customHeight="1"/>
    <row r="22" ht="21.75" customHeight="1">
      <c r="A22" s="33" t="s">
        <v>1278</v>
      </c>
      <c r="B22" s="8"/>
      <c r="C22" s="8"/>
      <c r="D22" s="8"/>
      <c r="E22" s="8"/>
      <c r="F22" s="8"/>
      <c r="G22" s="8"/>
      <c r="H22" s="8"/>
      <c r="I22" s="7"/>
    </row>
    <row r="23" ht="21.75" customHeight="1">
      <c r="A23" s="51">
        <v>1.0</v>
      </c>
      <c r="B23" s="52" t="s">
        <v>1284</v>
      </c>
      <c r="C23" s="53"/>
      <c r="D23" s="53"/>
      <c r="E23" s="54"/>
      <c r="F23" s="55" t="s">
        <v>178</v>
      </c>
      <c r="G23" s="71" t="s">
        <v>47</v>
      </c>
      <c r="H23" s="59" t="str">
        <f>IF(G23="",IF(COUNTA(C25:C27,B30:G37)&gt;0,"⚠ 상태 미선택(입력값 있음)","상태 미선택 → 미수집 간주"),IF(G23="값 있음",IF(COUNTA(C25:C27,B30:G37)=0,"⚠ 값 있음인데 입력값 없음","✓ 정상"),IF(COUNTA(C25:C27,B30:G37)&gt;0,"⚠ 상태와 입력값 불일치","✓ 정상")))</f>
        <v>✓ 정상</v>
      </c>
      <c r="I23" s="54"/>
    </row>
    <row r="24" ht="24.0" customHeight="1">
      <c r="B24" s="60" t="s">
        <v>1300</v>
      </c>
    </row>
    <row r="25" ht="15.75" customHeight="1">
      <c r="B25" s="17" t="s">
        <v>1303</v>
      </c>
      <c r="C25" s="42">
        <v>3.4</v>
      </c>
      <c r="D25" s="40" t="s">
        <v>1304</v>
      </c>
      <c r="E25" s="41" t="s">
        <v>1305</v>
      </c>
    </row>
    <row r="26" ht="15.75" customHeight="1">
      <c r="B26" s="17" t="s">
        <v>1307</v>
      </c>
      <c r="C26" s="42">
        <v>3.55</v>
      </c>
      <c r="D26" s="40" t="s">
        <v>1308</v>
      </c>
      <c r="E26" s="41" t="s">
        <v>1309</v>
      </c>
    </row>
    <row r="27" ht="15.75" customHeight="1">
      <c r="B27" s="17" t="s">
        <v>191</v>
      </c>
      <c r="C27" s="42">
        <v>4.5</v>
      </c>
      <c r="D27" s="40" t="s">
        <v>78</v>
      </c>
      <c r="E27" s="41" t="s">
        <v>1310</v>
      </c>
    </row>
    <row r="28" ht="15.75" customHeight="1">
      <c r="A28" s="62" t="s">
        <v>24</v>
      </c>
      <c r="B28" s="13" t="s">
        <v>193</v>
      </c>
      <c r="C28" s="13" t="s">
        <v>194</v>
      </c>
      <c r="D28" s="13" t="s">
        <v>195</v>
      </c>
      <c r="E28" s="13" t="s">
        <v>196</v>
      </c>
      <c r="F28" s="13" t="s">
        <v>197</v>
      </c>
      <c r="G28" s="13" t="s">
        <v>198</v>
      </c>
    </row>
    <row r="29" ht="25.5" customHeight="1">
      <c r="A29" s="63" t="s">
        <v>111</v>
      </c>
      <c r="B29" s="64" t="s">
        <v>1319</v>
      </c>
      <c r="C29" s="63" t="s">
        <v>78</v>
      </c>
      <c r="D29" s="63" t="s">
        <v>78</v>
      </c>
      <c r="E29" s="63" t="s">
        <v>78</v>
      </c>
      <c r="F29" s="63" t="s">
        <v>78</v>
      </c>
      <c r="G29" s="63" t="s">
        <v>1321</v>
      </c>
    </row>
    <row r="30" ht="15.75" customHeight="1">
      <c r="A30" s="65">
        <v>1.0</v>
      </c>
      <c r="B30" s="39" t="s">
        <v>307</v>
      </c>
      <c r="C30" s="42">
        <v>19.0</v>
      </c>
      <c r="D30" s="42">
        <v>19.0</v>
      </c>
      <c r="E30" s="42">
        <v>3.4</v>
      </c>
      <c r="F30" s="42">
        <v>3.55</v>
      </c>
      <c r="G30" s="42"/>
    </row>
    <row r="31" ht="15.75" customHeight="1">
      <c r="A31" s="65">
        <v>2.0</v>
      </c>
      <c r="B31" s="39"/>
      <c r="C31" s="42"/>
      <c r="D31" s="42"/>
      <c r="E31" s="42"/>
      <c r="F31" s="42"/>
      <c r="G31" s="42"/>
    </row>
    <row r="32" ht="15.75" customHeight="1">
      <c r="A32" s="65">
        <v>3.0</v>
      </c>
      <c r="B32" s="39"/>
      <c r="C32" s="42"/>
      <c r="D32" s="42"/>
      <c r="E32" s="42"/>
      <c r="F32" s="42"/>
      <c r="G32" s="42"/>
    </row>
    <row r="33" ht="15.75" customHeight="1">
      <c r="A33" s="65">
        <v>4.0</v>
      </c>
      <c r="B33" s="39"/>
      <c r="C33" s="42"/>
      <c r="D33" s="42"/>
      <c r="E33" s="42"/>
      <c r="F33" s="42"/>
      <c r="G33" s="42"/>
    </row>
    <row r="34" ht="15.75" customHeight="1">
      <c r="A34" s="65">
        <v>5.0</v>
      </c>
      <c r="B34" s="39"/>
      <c r="C34" s="42"/>
      <c r="D34" s="42"/>
      <c r="E34" s="42"/>
      <c r="F34" s="42"/>
      <c r="G34" s="42"/>
    </row>
    <row r="35" ht="15.75" customHeight="1">
      <c r="A35" s="65">
        <v>6.0</v>
      </c>
      <c r="B35" s="39"/>
      <c r="C35" s="42"/>
      <c r="D35" s="42"/>
      <c r="E35" s="42"/>
      <c r="F35" s="42"/>
      <c r="G35" s="42"/>
    </row>
    <row r="36" ht="15.75" customHeight="1">
      <c r="A36" s="65">
        <v>7.0</v>
      </c>
      <c r="B36" s="39"/>
      <c r="C36" s="42"/>
      <c r="D36" s="42"/>
      <c r="E36" s="42"/>
      <c r="F36" s="42"/>
      <c r="G36" s="42"/>
    </row>
    <row r="37" ht="15.75" customHeight="1">
      <c r="A37" s="65">
        <v>8.0</v>
      </c>
      <c r="B37" s="39"/>
      <c r="C37" s="42"/>
      <c r="D37" s="42"/>
      <c r="E37" s="42"/>
      <c r="F37" s="42"/>
      <c r="G37" s="42"/>
    </row>
    <row r="38" ht="15.75" customHeight="1"/>
    <row r="39" ht="21.75" customHeight="1">
      <c r="A39" s="51">
        <v>2.0</v>
      </c>
      <c r="B39" s="52" t="s">
        <v>127</v>
      </c>
      <c r="C39" s="53"/>
      <c r="D39" s="53"/>
      <c r="E39" s="54"/>
      <c r="F39" s="55" t="s">
        <v>178</v>
      </c>
      <c r="G39" s="71" t="s">
        <v>47</v>
      </c>
      <c r="H39" s="59" t="str">
        <f>IF(G39="",IF(COUNTA(B43:G47)&gt;0,"⚠ 상태 미선택(입력값 있음)","상태 미선택 → 미수집 간주"),IF(G39="값 있음",IF(COUNTA(B43:G47)=0,"⚠ 값 있음인데 입력값 없음","✓ 정상"),IF(COUNTA(B43:G47)&gt;0,"⚠ 상태와 입력값 불일치","✓ 정상")))</f>
        <v>✓ 정상</v>
      </c>
      <c r="I39" s="54"/>
    </row>
    <row r="40" ht="24.0" customHeight="1">
      <c r="B40" s="60" t="s">
        <v>1352</v>
      </c>
    </row>
    <row r="41" ht="15.75" customHeight="1">
      <c r="A41" s="62" t="s">
        <v>24</v>
      </c>
      <c r="B41" s="13" t="s">
        <v>215</v>
      </c>
      <c r="C41" s="13" t="s">
        <v>193</v>
      </c>
      <c r="D41" s="13" t="s">
        <v>216</v>
      </c>
      <c r="E41" s="13" t="s">
        <v>217</v>
      </c>
      <c r="F41" s="13" t="s">
        <v>1355</v>
      </c>
      <c r="G41" s="13" t="s">
        <v>198</v>
      </c>
    </row>
    <row r="42" ht="37.5" customHeight="1">
      <c r="A42" s="63" t="s">
        <v>111</v>
      </c>
      <c r="B42" s="63" t="s">
        <v>130</v>
      </c>
      <c r="C42" s="64" t="s">
        <v>1357</v>
      </c>
      <c r="D42" s="64" t="s">
        <v>1359</v>
      </c>
      <c r="E42" s="64" t="s">
        <v>222</v>
      </c>
      <c r="F42" s="63" t="s">
        <v>1361</v>
      </c>
      <c r="G42" s="63" t="s">
        <v>130</v>
      </c>
    </row>
    <row r="43" ht="15.75" customHeight="1">
      <c r="A43" s="65">
        <v>1.0</v>
      </c>
      <c r="B43" s="69" t="s">
        <v>1363</v>
      </c>
      <c r="C43" s="39" t="s">
        <v>307</v>
      </c>
      <c r="D43" s="69" t="s">
        <v>338</v>
      </c>
      <c r="E43" s="42" t="s">
        <v>580</v>
      </c>
      <c r="F43" s="42">
        <v>86.0</v>
      </c>
      <c r="G43" s="42"/>
    </row>
    <row r="44" ht="15.75" customHeight="1">
      <c r="A44" s="65">
        <v>2.0</v>
      </c>
      <c r="B44" s="42"/>
      <c r="C44" s="39"/>
      <c r="D44" s="69"/>
      <c r="E44" s="42"/>
      <c r="F44" s="42"/>
      <c r="G44" s="42"/>
    </row>
    <row r="45" ht="15.75" customHeight="1">
      <c r="A45" s="65">
        <v>3.0</v>
      </c>
      <c r="B45" s="42"/>
      <c r="C45" s="39"/>
      <c r="D45" s="69"/>
      <c r="E45" s="42"/>
      <c r="F45" s="42"/>
      <c r="G45" s="42"/>
    </row>
    <row r="46" ht="15.75" customHeight="1">
      <c r="A46" s="65">
        <v>4.0</v>
      </c>
      <c r="B46" s="42"/>
      <c r="C46" s="39"/>
      <c r="D46" s="69"/>
      <c r="E46" s="42"/>
      <c r="F46" s="42"/>
      <c r="G46" s="42"/>
    </row>
    <row r="47" ht="15.75" customHeight="1">
      <c r="A47" s="65">
        <v>5.0</v>
      </c>
      <c r="B47" s="42"/>
      <c r="C47" s="39"/>
      <c r="D47" s="69"/>
      <c r="E47" s="42"/>
      <c r="F47" s="42"/>
      <c r="G47" s="42"/>
    </row>
    <row r="48" ht="15.75" customHeight="1"/>
    <row r="49" ht="21.75" customHeight="1">
      <c r="A49" s="51">
        <v>3.0</v>
      </c>
      <c r="B49" s="52" t="s">
        <v>1369</v>
      </c>
      <c r="C49" s="53"/>
      <c r="D49" s="53"/>
      <c r="E49" s="54"/>
      <c r="F49" s="55" t="s">
        <v>178</v>
      </c>
      <c r="G49" s="71" t="s">
        <v>47</v>
      </c>
      <c r="H49" s="59" t="str">
        <f>IF(G49="",IF(COUNTA(C51:C52,B55:E58)&gt;0,"⚠ 상태 미선택(입력값 있음)","상태 미선택 → 미수집 간주"),IF(G49="값 있음",IF(COUNTA(C51:C52,B55:E58)=0,"⚠ 값 있음인데 입력값 없음","✓ 정상"),IF(COUNTA(C51:C52,B55:E58)&gt;0,"⚠ 상태와 입력값 불일치","✓ 정상")))</f>
        <v>✓ 정상</v>
      </c>
      <c r="I49" s="54"/>
    </row>
    <row r="50" ht="24.0" customHeight="1">
      <c r="B50" s="60" t="s">
        <v>1376</v>
      </c>
    </row>
    <row r="51" ht="15.75" customHeight="1">
      <c r="B51" s="17" t="s">
        <v>253</v>
      </c>
      <c r="C51" s="42">
        <v>19.0</v>
      </c>
      <c r="D51" s="40" t="s">
        <v>78</v>
      </c>
      <c r="E51" s="41" t="s">
        <v>1377</v>
      </c>
    </row>
    <row r="52" ht="15.75" customHeight="1">
      <c r="B52" s="17" t="s">
        <v>259</v>
      </c>
      <c r="C52" s="42">
        <v>0.0</v>
      </c>
      <c r="D52" s="40" t="s">
        <v>78</v>
      </c>
      <c r="E52" s="41" t="s">
        <v>1379</v>
      </c>
    </row>
    <row r="53" ht="15.75" customHeight="1">
      <c r="A53" s="62" t="s">
        <v>24</v>
      </c>
      <c r="B53" s="13" t="s">
        <v>263</v>
      </c>
      <c r="C53" s="13" t="s">
        <v>264</v>
      </c>
      <c r="D53" s="13" t="s">
        <v>265</v>
      </c>
      <c r="E53" s="13" t="s">
        <v>266</v>
      </c>
    </row>
    <row r="54" ht="25.5" customHeight="1">
      <c r="A54" s="63" t="s">
        <v>111</v>
      </c>
      <c r="B54" s="64" t="s">
        <v>1383</v>
      </c>
      <c r="C54" s="63" t="s">
        <v>130</v>
      </c>
      <c r="D54" s="64" t="s">
        <v>1384</v>
      </c>
      <c r="E54" s="63" t="s">
        <v>78</v>
      </c>
    </row>
    <row r="55" ht="15.75" customHeight="1">
      <c r="A55" s="65">
        <v>1.0</v>
      </c>
      <c r="B55" s="69" t="s">
        <v>369</v>
      </c>
      <c r="C55" s="69" t="s">
        <v>1387</v>
      </c>
      <c r="D55" s="69" t="s">
        <v>370</v>
      </c>
      <c r="E55" s="42">
        <v>9.0</v>
      </c>
    </row>
    <row r="56" ht="15.75" customHeight="1">
      <c r="A56" s="65">
        <v>2.0</v>
      </c>
      <c r="B56" s="69"/>
      <c r="C56" s="42"/>
      <c r="D56" s="69"/>
      <c r="E56" s="42"/>
    </row>
    <row r="57" ht="15.75" customHeight="1">
      <c r="A57" s="65">
        <v>3.0</v>
      </c>
      <c r="B57" s="69"/>
      <c r="C57" s="42"/>
      <c r="D57" s="69"/>
      <c r="E57" s="42"/>
    </row>
    <row r="58" ht="15.75" customHeight="1">
      <c r="A58" s="65">
        <v>4.0</v>
      </c>
      <c r="B58" s="69"/>
      <c r="C58" s="42"/>
      <c r="D58" s="69"/>
      <c r="E58" s="42"/>
    </row>
    <row r="59" ht="15.75" customHeight="1"/>
    <row r="60" ht="21.75" customHeight="1">
      <c r="A60" s="70">
        <v>4.0</v>
      </c>
      <c r="B60" s="72" t="s">
        <v>180</v>
      </c>
      <c r="C60" s="53"/>
      <c r="D60" s="53"/>
      <c r="E60" s="54"/>
      <c r="F60" s="73" t="s">
        <v>178</v>
      </c>
      <c r="G60" s="71" t="s">
        <v>47</v>
      </c>
      <c r="H60" s="74" t="str">
        <f>IF(G60="",IF(COUNTA(C62:C64)&gt;0,"⚠ 상태 미선택(입력값 있음)","상태 미선택 → 미수집 간주"),IF(G60="값 있음",IF(COUNTA(C62:C64)=0,"⚠ 값 있음인데 입력값 없음","✓ 정상"),IF(COUNTA(C62:C64)&gt;0,"⚠ 상태와 입력값 불일치","✓ 정상")))</f>
        <v>✓ 정상</v>
      </c>
      <c r="I60" s="54"/>
    </row>
    <row r="61" ht="24.0" customHeight="1">
      <c r="B61" s="60" t="s">
        <v>1395</v>
      </c>
    </row>
    <row r="62" ht="15.75" customHeight="1">
      <c r="B62" s="17" t="s">
        <v>280</v>
      </c>
      <c r="C62" s="69" t="s">
        <v>389</v>
      </c>
      <c r="D62" s="40" t="s">
        <v>147</v>
      </c>
      <c r="E62" s="41" t="s">
        <v>1399</v>
      </c>
    </row>
    <row r="63" ht="15.75" customHeight="1">
      <c r="B63" s="17" t="s">
        <v>285</v>
      </c>
      <c r="C63" s="69" t="s">
        <v>1400</v>
      </c>
      <c r="D63" s="40" t="s">
        <v>130</v>
      </c>
      <c r="E63" s="41" t="s">
        <v>1401</v>
      </c>
    </row>
    <row r="64" ht="15.75" customHeight="1">
      <c r="B64" s="17" t="s">
        <v>265</v>
      </c>
      <c r="C64" s="69" t="s">
        <v>370</v>
      </c>
      <c r="D64" s="40" t="s">
        <v>147</v>
      </c>
      <c r="E64" s="50" t="s">
        <v>1402</v>
      </c>
    </row>
    <row r="65" ht="15.75" customHeight="1"/>
    <row r="66" ht="21.75" customHeight="1">
      <c r="A66" s="33" t="s">
        <v>1404</v>
      </c>
      <c r="B66" s="8"/>
      <c r="C66" s="8"/>
      <c r="D66" s="8"/>
      <c r="E66" s="8"/>
      <c r="F66" s="8"/>
      <c r="G66" s="8"/>
      <c r="H66" s="8"/>
      <c r="I66" s="7"/>
    </row>
    <row r="67" ht="21.75" customHeight="1">
      <c r="A67" s="51">
        <v>5.0</v>
      </c>
      <c r="B67" s="75" t="s">
        <v>1406</v>
      </c>
      <c r="C67" s="53"/>
      <c r="D67" s="53"/>
      <c r="E67" s="54"/>
      <c r="F67" s="55" t="s">
        <v>178</v>
      </c>
      <c r="G67" s="71" t="s">
        <v>47</v>
      </c>
      <c r="H67" s="59" t="str">
        <f>IF(G67="",IF(COUNTA(C69:C74)&gt;0,"⚠ 상태 미선택(입력값 있음)","상태 미선택 → 미수집 간주"),IF(G67="값 있음",IF(COUNTA(C69:C74)=0,"⚠ 값 있음인데 입력값 없음","✓ 정상"),IF(COUNTA(C69:C74)&gt;0,"⚠ 상태와 입력값 불일치","✓ 정상")))</f>
        <v>✓ 정상</v>
      </c>
      <c r="I67" s="54"/>
    </row>
    <row r="68" ht="24.0" customHeight="1">
      <c r="B68" s="60" t="s">
        <v>1415</v>
      </c>
    </row>
    <row r="69" ht="15.75" customHeight="1">
      <c r="B69" s="17" t="s">
        <v>310</v>
      </c>
      <c r="C69" s="42" t="s">
        <v>1417</v>
      </c>
      <c r="D69" s="40" t="s">
        <v>130</v>
      </c>
      <c r="E69" s="41" t="s">
        <v>1418</v>
      </c>
    </row>
    <row r="70" ht="15.75" customHeight="1">
      <c r="B70" s="17" t="s">
        <v>1420</v>
      </c>
      <c r="C70" s="42">
        <v>98.0</v>
      </c>
      <c r="D70" s="40" t="s">
        <v>1421</v>
      </c>
      <c r="E70" s="50" t="s">
        <v>1422</v>
      </c>
    </row>
    <row r="71" ht="15.75" customHeight="1">
      <c r="B71" s="17" t="s">
        <v>1423</v>
      </c>
      <c r="C71" s="42">
        <v>92.0</v>
      </c>
      <c r="D71" s="40" t="s">
        <v>1424</v>
      </c>
      <c r="E71" s="50" t="s">
        <v>1425</v>
      </c>
    </row>
    <row r="72" ht="15.75" customHeight="1">
      <c r="B72" s="17" t="s">
        <v>320</v>
      </c>
      <c r="C72" s="42">
        <v>6.0</v>
      </c>
      <c r="D72" s="40" t="s">
        <v>78</v>
      </c>
      <c r="E72" s="41" t="s">
        <v>1426</v>
      </c>
    </row>
    <row r="73" ht="15.75" customHeight="1">
      <c r="B73" s="17" t="s">
        <v>1428</v>
      </c>
      <c r="C73" s="42">
        <v>22.0</v>
      </c>
      <c r="D73" s="40" t="s">
        <v>78</v>
      </c>
      <c r="E73" s="41" t="s">
        <v>323</v>
      </c>
    </row>
    <row r="74" ht="15.75" customHeight="1">
      <c r="B74" s="17" t="s">
        <v>1429</v>
      </c>
      <c r="C74" s="42">
        <v>70.0</v>
      </c>
      <c r="D74" s="40" t="s">
        <v>1430</v>
      </c>
      <c r="E74" s="41"/>
    </row>
    <row r="75" ht="15.75" customHeight="1"/>
    <row r="76" ht="21.75" customHeight="1">
      <c r="A76" s="51">
        <v>6.0</v>
      </c>
      <c r="B76" s="52" t="s">
        <v>1431</v>
      </c>
      <c r="C76" s="53"/>
      <c r="D76" s="53"/>
      <c r="E76" s="54"/>
      <c r="F76" s="55" t="s">
        <v>178</v>
      </c>
      <c r="G76" s="71" t="s">
        <v>47</v>
      </c>
      <c r="H76" s="59" t="str">
        <f>IF(G76="",IF(COUNTA(C78:C81)&gt;0,"⚠ 상태 미선택(입력값 있음)","상태 미선택 → 미수집 간주"),IF(G76="값 있음",IF(COUNTA(C78:C81)=0,"⚠ 값 있음인데 입력값 없음","✓ 정상"),IF(COUNTA(C78:C81)&gt;0,"⚠ 상태와 입력값 불일치","✓ 정상")))</f>
        <v>✓ 정상</v>
      </c>
      <c r="I76" s="54"/>
    </row>
    <row r="77" ht="24.0" customHeight="1">
      <c r="B77" s="60" t="s">
        <v>1460</v>
      </c>
    </row>
    <row r="78" ht="15.75" customHeight="1">
      <c r="B78" s="17" t="s">
        <v>310</v>
      </c>
      <c r="C78" s="42" t="s">
        <v>307</v>
      </c>
      <c r="D78" s="40" t="s">
        <v>130</v>
      </c>
      <c r="E78" s="41" t="s">
        <v>1461</v>
      </c>
    </row>
    <row r="79" ht="15.75" customHeight="1">
      <c r="B79" s="17" t="s">
        <v>1462</v>
      </c>
      <c r="C79" s="42">
        <v>1.0</v>
      </c>
      <c r="D79" s="40" t="s">
        <v>78</v>
      </c>
      <c r="E79" s="41"/>
    </row>
    <row r="80" ht="15.75" customHeight="1">
      <c r="B80" s="17" t="s">
        <v>1463</v>
      </c>
      <c r="C80" s="42">
        <v>0.0</v>
      </c>
      <c r="D80" s="40" t="s">
        <v>78</v>
      </c>
      <c r="E80" s="41"/>
    </row>
    <row r="81" ht="15.75" customHeight="1">
      <c r="B81" s="17" t="s">
        <v>341</v>
      </c>
      <c r="C81" s="69" t="s">
        <v>1464</v>
      </c>
      <c r="D81" s="40" t="s">
        <v>130</v>
      </c>
      <c r="E81" s="41" t="s">
        <v>343</v>
      </c>
    </row>
    <row r="82" ht="15.75" customHeight="1"/>
    <row r="83" ht="21.75" customHeight="1">
      <c r="A83" s="76">
        <v>7.0</v>
      </c>
      <c r="B83" s="77" t="s">
        <v>1467</v>
      </c>
      <c r="C83" s="53"/>
      <c r="D83" s="53"/>
      <c r="E83" s="54"/>
      <c r="F83" s="78" t="s">
        <v>178</v>
      </c>
      <c r="G83" s="71" t="s">
        <v>47</v>
      </c>
      <c r="H83" s="79" t="str">
        <f>IF(G83="",IF(COUNTA(C85:C88)&gt;0,"⚠ 상태 미선택(입력값 있음)","상태 미선택 → 미수집 간주"),IF(G83="값 있음",IF(COUNTA(C85:C88)=0,"⚠ 값 있음인데 입력값 없음","✓ 정상"),IF(COUNTA(C85:C88)&gt;0,"⚠ 상태와 입력값 불일치","✓ 정상")))</f>
        <v>✓ 정상</v>
      </c>
      <c r="I83" s="54"/>
    </row>
    <row r="84" ht="15.0" customHeight="1">
      <c r="B84" s="60" t="s">
        <v>1480</v>
      </c>
    </row>
    <row r="85" ht="15.75" customHeight="1">
      <c r="B85" s="17" t="s">
        <v>310</v>
      </c>
      <c r="C85" s="42" t="s">
        <v>1481</v>
      </c>
      <c r="D85" s="40" t="s">
        <v>130</v>
      </c>
      <c r="E85" s="41" t="s">
        <v>1482</v>
      </c>
    </row>
    <row r="86" ht="15.75" customHeight="1">
      <c r="B86" s="17" t="s">
        <v>356</v>
      </c>
      <c r="C86" s="42">
        <v>2.0</v>
      </c>
      <c r="D86" s="40" t="s">
        <v>78</v>
      </c>
      <c r="E86" s="41"/>
    </row>
    <row r="87" ht="15.75" customHeight="1">
      <c r="B87" s="17" t="s">
        <v>360</v>
      </c>
      <c r="C87" s="42">
        <v>5.0</v>
      </c>
      <c r="D87" s="40" t="s">
        <v>78</v>
      </c>
      <c r="E87" s="41"/>
    </row>
    <row r="88" ht="15.75" customHeight="1">
      <c r="B88" s="17" t="s">
        <v>361</v>
      </c>
      <c r="C88" s="42">
        <v>1.0</v>
      </c>
      <c r="D88" s="40" t="s">
        <v>78</v>
      </c>
      <c r="E88" s="41"/>
    </row>
    <row r="89" ht="15.75" customHeight="1"/>
    <row r="90" ht="21.75" customHeight="1">
      <c r="A90" s="33" t="s">
        <v>1484</v>
      </c>
      <c r="B90" s="8"/>
      <c r="C90" s="8"/>
      <c r="D90" s="8"/>
      <c r="E90" s="8"/>
      <c r="F90" s="8"/>
      <c r="G90" s="8"/>
      <c r="H90" s="8"/>
      <c r="I90" s="7"/>
    </row>
    <row r="91" ht="21.75" customHeight="1">
      <c r="A91" s="51">
        <v>8.0</v>
      </c>
      <c r="B91" s="52" t="s">
        <v>1487</v>
      </c>
      <c r="C91" s="53"/>
      <c r="D91" s="53"/>
      <c r="E91" s="54"/>
      <c r="F91" s="55" t="s">
        <v>178</v>
      </c>
      <c r="G91" s="71" t="s">
        <v>49</v>
      </c>
      <c r="H91" s="59" t="str">
        <f>IF(G91="",IF(COUNTA(B95:H98)&gt;0,"⚠ 상태 미선택(입력값 있음)","상태 미선택 → 미수집 간주"),IF(G91="값 있음",IF(COUNTA(B95:H98)=0,"⚠ 값 있음인데 입력값 없음","✓ 정상"),IF(COUNTA(B95:H98)&gt;0,"⚠ 상태와 입력값 불일치","✓ 정상")))</f>
        <v>✓ 정상</v>
      </c>
      <c r="I91" s="54"/>
    </row>
    <row r="92" ht="24.0" customHeight="1">
      <c r="B92" s="60" t="s">
        <v>1498</v>
      </c>
    </row>
    <row r="93" ht="15.75" customHeight="1">
      <c r="A93" s="62" t="s">
        <v>24</v>
      </c>
      <c r="B93" s="13" t="s">
        <v>377</v>
      </c>
      <c r="C93" s="13" t="s">
        <v>1501</v>
      </c>
      <c r="D93" s="13" t="s">
        <v>379</v>
      </c>
      <c r="E93" s="13" t="s">
        <v>380</v>
      </c>
      <c r="F93" s="13" t="s">
        <v>381</v>
      </c>
      <c r="G93" s="13" t="s">
        <v>1505</v>
      </c>
      <c r="H93" s="13" t="s">
        <v>383</v>
      </c>
    </row>
    <row r="94" ht="25.5" customHeight="1">
      <c r="A94" s="63" t="s">
        <v>111</v>
      </c>
      <c r="B94" s="64" t="s">
        <v>1508</v>
      </c>
      <c r="C94" s="63" t="s">
        <v>1510</v>
      </c>
      <c r="D94" s="63" t="s">
        <v>130</v>
      </c>
      <c r="E94" s="64" t="s">
        <v>158</v>
      </c>
      <c r="F94" s="64" t="s">
        <v>1512</v>
      </c>
      <c r="G94" s="63" t="s">
        <v>78</v>
      </c>
      <c r="H94" s="63" t="s">
        <v>130</v>
      </c>
    </row>
    <row r="95" ht="15.75" customHeight="1">
      <c r="A95" s="65">
        <v>1.0</v>
      </c>
      <c r="B95" s="42"/>
      <c r="C95" s="42"/>
      <c r="D95" s="42"/>
      <c r="E95" s="39"/>
      <c r="F95" s="39"/>
      <c r="G95" s="42"/>
      <c r="H95" s="42"/>
    </row>
    <row r="96" ht="15.75" customHeight="1">
      <c r="A96" s="65">
        <v>2.0</v>
      </c>
      <c r="B96" s="42"/>
      <c r="C96" s="42"/>
      <c r="D96" s="42"/>
      <c r="E96" s="39"/>
      <c r="F96" s="39"/>
      <c r="G96" s="42"/>
      <c r="H96" s="42"/>
    </row>
    <row r="97" ht="15.75" customHeight="1">
      <c r="A97" s="65">
        <v>3.0</v>
      </c>
      <c r="B97" s="42"/>
      <c r="C97" s="42"/>
      <c r="D97" s="42"/>
      <c r="E97" s="39"/>
      <c r="F97" s="39"/>
      <c r="G97" s="42"/>
      <c r="H97" s="42"/>
    </row>
    <row r="98" ht="15.75" customHeight="1">
      <c r="A98" s="65">
        <v>4.0</v>
      </c>
      <c r="B98" s="42"/>
      <c r="C98" s="42"/>
      <c r="D98" s="42"/>
      <c r="E98" s="39"/>
      <c r="F98" s="39"/>
      <c r="G98" s="42"/>
      <c r="H98" s="42"/>
    </row>
    <row r="99" ht="15.75" customHeight="1"/>
    <row r="100" ht="21.75" customHeight="1">
      <c r="A100" s="51">
        <v>9.0</v>
      </c>
      <c r="B100" s="52" t="s">
        <v>1519</v>
      </c>
      <c r="C100" s="53"/>
      <c r="D100" s="53"/>
      <c r="E100" s="54"/>
      <c r="F100" s="55" t="s">
        <v>178</v>
      </c>
      <c r="G100" s="71" t="s">
        <v>49</v>
      </c>
      <c r="H100" s="59" t="str">
        <f>IF(G100="",IF(COUNTA(B104:G106)&gt;0,"⚠ 상태 미선택(입력값 있음)","상태 미선택 → 미수집 간주"),IF(G100="값 있음",IF(COUNTA(B104:G106)=0,"⚠ 값 있음인데 입력값 없음","✓ 정상"),IF(COUNTA(B104:G106)&gt;0,"⚠ 상태와 입력값 불일치","✓ 정상")))</f>
        <v>✓ 정상</v>
      </c>
      <c r="I100" s="54"/>
    </row>
    <row r="101" ht="24.0" customHeight="1">
      <c r="B101" s="60" t="s">
        <v>1536</v>
      </c>
    </row>
    <row r="102" ht="15.75" customHeight="1">
      <c r="A102" s="62" t="s">
        <v>24</v>
      </c>
      <c r="B102" s="13" t="s">
        <v>400</v>
      </c>
      <c r="C102" s="13" t="s">
        <v>401</v>
      </c>
      <c r="D102" s="13" t="s">
        <v>402</v>
      </c>
      <c r="E102" s="13" t="s">
        <v>403</v>
      </c>
      <c r="F102" s="13" t="s">
        <v>404</v>
      </c>
      <c r="G102" s="13" t="s">
        <v>1554</v>
      </c>
    </row>
    <row r="103" ht="37.5" customHeight="1">
      <c r="A103" s="63" t="s">
        <v>111</v>
      </c>
      <c r="B103" s="64" t="s">
        <v>1558</v>
      </c>
      <c r="C103" s="63" t="s">
        <v>130</v>
      </c>
      <c r="D103" s="64" t="s">
        <v>1560</v>
      </c>
      <c r="E103" s="64" t="s">
        <v>1562</v>
      </c>
      <c r="F103" s="64" t="s">
        <v>1564</v>
      </c>
      <c r="G103" s="64" t="s">
        <v>158</v>
      </c>
    </row>
    <row r="104" ht="15.75" customHeight="1">
      <c r="A104" s="65">
        <v>1.0</v>
      </c>
      <c r="B104" s="42"/>
      <c r="C104" s="42"/>
      <c r="D104" s="42"/>
      <c r="E104" s="42"/>
      <c r="F104" s="42"/>
      <c r="G104" s="39"/>
    </row>
    <row r="105" ht="15.75" customHeight="1">
      <c r="A105" s="65">
        <v>2.0</v>
      </c>
      <c r="B105" s="42"/>
      <c r="C105" s="42"/>
      <c r="D105" s="42"/>
      <c r="E105" s="42"/>
      <c r="F105" s="42"/>
      <c r="G105" s="39"/>
    </row>
    <row r="106" ht="15.75" customHeight="1">
      <c r="A106" s="65">
        <v>3.0</v>
      </c>
      <c r="B106" s="42"/>
      <c r="C106" s="42"/>
      <c r="D106" s="42"/>
      <c r="E106" s="42"/>
      <c r="F106" s="42"/>
      <c r="G106" s="39"/>
    </row>
    <row r="107" ht="15.75" customHeight="1"/>
    <row r="108" ht="21.75" customHeight="1">
      <c r="A108" s="70">
        <v>10.0</v>
      </c>
      <c r="B108" s="80" t="s">
        <v>1569</v>
      </c>
      <c r="C108" s="53"/>
      <c r="D108" s="53"/>
      <c r="E108" s="54"/>
      <c r="F108" s="73" t="s">
        <v>178</v>
      </c>
      <c r="G108" s="71" t="s">
        <v>49</v>
      </c>
      <c r="H108" s="74" t="str">
        <f>IF(G108="",IF(COUNTA(B112:E114)&gt;0,"⚠ 상태 미선택(입력값 있음)","상태 미선택 → 미수집 간주"),IF(G108="값 있음",IF(COUNTA(B112:E114)=0,"⚠ 값 있음인데 입력값 없음","✓ 정상"),IF(COUNTA(B112:E114)&gt;0,"⚠ 상태와 입력값 불일치","✓ 정상")))</f>
        <v>✓ 정상</v>
      </c>
      <c r="I108" s="54"/>
    </row>
    <row r="109" ht="24.0" customHeight="1">
      <c r="B109" s="60" t="s">
        <v>1578</v>
      </c>
    </row>
    <row r="110" ht="15.75" customHeight="1">
      <c r="A110" s="62" t="s">
        <v>24</v>
      </c>
      <c r="B110" s="13" t="s">
        <v>215</v>
      </c>
      <c r="C110" s="13" t="s">
        <v>193</v>
      </c>
      <c r="D110" s="13" t="s">
        <v>1582</v>
      </c>
      <c r="E110" s="13" t="s">
        <v>430</v>
      </c>
    </row>
    <row r="111" ht="25.5" customHeight="1">
      <c r="A111" s="63" t="s">
        <v>111</v>
      </c>
      <c r="B111" s="63" t="s">
        <v>130</v>
      </c>
      <c r="C111" s="64" t="s">
        <v>1586</v>
      </c>
      <c r="D111" s="63" t="s">
        <v>78</v>
      </c>
      <c r="E111" s="63" t="s">
        <v>130</v>
      </c>
    </row>
    <row r="112" ht="15.75" customHeight="1">
      <c r="A112" s="65">
        <v>1.0</v>
      </c>
      <c r="B112" s="42"/>
      <c r="C112" s="39"/>
      <c r="D112" s="42"/>
      <c r="E112" s="42"/>
    </row>
    <row r="113" ht="15.75" customHeight="1">
      <c r="A113" s="65">
        <v>2.0</v>
      </c>
      <c r="B113" s="42"/>
      <c r="C113" s="39"/>
      <c r="D113" s="42"/>
      <c r="E113" s="42"/>
    </row>
    <row r="114" ht="15.75" customHeight="1">
      <c r="A114" s="65">
        <v>3.0</v>
      </c>
      <c r="B114" s="42"/>
      <c r="C114" s="39"/>
      <c r="D114" s="42"/>
      <c r="E114" s="42"/>
    </row>
    <row r="115" ht="15.75" customHeight="1"/>
    <row r="116" ht="21.75" customHeight="1">
      <c r="A116" s="33" t="s">
        <v>1592</v>
      </c>
      <c r="B116" s="8"/>
      <c r="C116" s="8"/>
      <c r="D116" s="8"/>
      <c r="E116" s="8"/>
      <c r="F116" s="8"/>
      <c r="G116" s="8"/>
      <c r="H116" s="8"/>
      <c r="I116" s="7"/>
    </row>
    <row r="117" ht="21.75" customHeight="1">
      <c r="A117" s="51">
        <v>11.0</v>
      </c>
      <c r="B117" s="52" t="s">
        <v>1594</v>
      </c>
      <c r="C117" s="53"/>
      <c r="D117" s="53"/>
      <c r="E117" s="54"/>
      <c r="F117" s="55" t="s">
        <v>178</v>
      </c>
      <c r="G117" s="71" t="s">
        <v>49</v>
      </c>
      <c r="H117" s="59" t="str">
        <f>IF(G117="",IF(COUNTA(B121:I123)&gt;0,"⚠ 상태 미선택(입력값 있음)","상태 미선택 → 미수집 간주"),IF(G117="값 있음",IF(COUNTA(B121:I123)=0,"⚠ 값 있음인데 입력값 없음","✓ 정상"),IF(COUNTA(B121:I123)&gt;0,"⚠ 상태와 입력값 불일치","✓ 정상")))</f>
        <v>✓ 정상</v>
      </c>
      <c r="I117" s="54"/>
    </row>
    <row r="118" ht="24.0" customHeight="1">
      <c r="B118" s="60" t="s">
        <v>1604</v>
      </c>
    </row>
    <row r="119" ht="15.75" customHeight="1">
      <c r="A119" s="62" t="s">
        <v>24</v>
      </c>
      <c r="B119" s="13" t="s">
        <v>400</v>
      </c>
      <c r="C119" s="13" t="s">
        <v>450</v>
      </c>
      <c r="D119" s="13" t="s">
        <v>1605</v>
      </c>
      <c r="E119" s="13" t="s">
        <v>380</v>
      </c>
      <c r="F119" s="13" t="s">
        <v>381</v>
      </c>
      <c r="G119" s="13" t="s">
        <v>1606</v>
      </c>
      <c r="H119" s="13" t="s">
        <v>454</v>
      </c>
      <c r="I119" s="62" t="s">
        <v>1608</v>
      </c>
    </row>
    <row r="120" ht="25.5" customHeight="1">
      <c r="A120" s="63" t="s">
        <v>111</v>
      </c>
      <c r="B120" s="64" t="s">
        <v>1609</v>
      </c>
      <c r="C120" s="63" t="s">
        <v>130</v>
      </c>
      <c r="D120" s="63" t="s">
        <v>130</v>
      </c>
      <c r="E120" s="64" t="s">
        <v>158</v>
      </c>
      <c r="F120" s="64" t="s">
        <v>158</v>
      </c>
      <c r="G120" s="63" t="s">
        <v>78</v>
      </c>
      <c r="H120" s="64" t="s">
        <v>1610</v>
      </c>
      <c r="I120" s="64" t="s">
        <v>462</v>
      </c>
    </row>
    <row r="121" ht="15.75" customHeight="1">
      <c r="A121" s="65">
        <v>1.0</v>
      </c>
      <c r="B121" s="42"/>
      <c r="C121" s="42"/>
      <c r="D121" s="42"/>
      <c r="E121" s="39"/>
      <c r="F121" s="39"/>
      <c r="G121" s="42"/>
      <c r="H121" s="42"/>
      <c r="I121" s="42"/>
    </row>
    <row r="122" ht="15.75" customHeight="1">
      <c r="A122" s="65">
        <v>2.0</v>
      </c>
      <c r="B122" s="42"/>
      <c r="C122" s="42"/>
      <c r="D122" s="42"/>
      <c r="E122" s="39"/>
      <c r="F122" s="39"/>
      <c r="G122" s="42"/>
      <c r="H122" s="42"/>
      <c r="I122" s="42"/>
    </row>
    <row r="123" ht="15.75" customHeight="1">
      <c r="A123" s="65">
        <v>3.0</v>
      </c>
      <c r="B123" s="42"/>
      <c r="C123" s="42"/>
      <c r="D123" s="42"/>
      <c r="E123" s="39"/>
      <c r="F123" s="39"/>
      <c r="G123" s="42"/>
      <c r="H123" s="42"/>
      <c r="I123" s="42"/>
    </row>
    <row r="124" ht="15.75" customHeight="1"/>
    <row r="125" ht="21.75" customHeight="1">
      <c r="A125" s="51">
        <v>12.0</v>
      </c>
      <c r="B125" s="52" t="s">
        <v>330</v>
      </c>
      <c r="C125" s="53"/>
      <c r="D125" s="53"/>
      <c r="E125" s="54"/>
      <c r="F125" s="55" t="s">
        <v>178</v>
      </c>
      <c r="G125" s="71" t="s">
        <v>49</v>
      </c>
      <c r="H125" s="59" t="str">
        <f>IF(G125="",IF(COUNTA(B129:F131)&gt;0,"⚠ 상태 미선택(입력값 있음)","상태 미선택 → 미수집 간주"),IF(G125="값 있음",IF(COUNTA(B129:F131)=0,"⚠ 값 있음인데 입력값 없음","✓ 정상"),IF(COUNTA(B129:F131)&gt;0,"⚠ 상태와 입력값 불일치","✓ 정상")))</f>
        <v>✓ 정상</v>
      </c>
      <c r="I125" s="54"/>
    </row>
    <row r="126" ht="24.0" customHeight="1">
      <c r="B126" s="60" t="s">
        <v>1631</v>
      </c>
    </row>
    <row r="127" ht="15.75" customHeight="1">
      <c r="A127" s="62" t="s">
        <v>24</v>
      </c>
      <c r="B127" s="13" t="s">
        <v>480</v>
      </c>
      <c r="C127" s="13" t="s">
        <v>482</v>
      </c>
      <c r="D127" s="13" t="s">
        <v>1633</v>
      </c>
      <c r="E127" s="13" t="s">
        <v>486</v>
      </c>
      <c r="F127" s="13" t="s">
        <v>487</v>
      </c>
    </row>
    <row r="128" ht="25.5" customHeight="1">
      <c r="A128" s="63" t="s">
        <v>111</v>
      </c>
      <c r="B128" s="63" t="s">
        <v>130</v>
      </c>
      <c r="C128" s="63" t="s">
        <v>130</v>
      </c>
      <c r="D128" s="63" t="s">
        <v>78</v>
      </c>
      <c r="E128" s="63" t="s">
        <v>78</v>
      </c>
      <c r="F128" s="64" t="s">
        <v>1637</v>
      </c>
    </row>
    <row r="129" ht="15.75" customHeight="1">
      <c r="A129" s="65">
        <v>1.0</v>
      </c>
      <c r="B129" s="42"/>
      <c r="C129" s="42"/>
      <c r="D129" s="42"/>
      <c r="E129" s="42"/>
      <c r="F129" s="42"/>
    </row>
    <row r="130" ht="15.75" customHeight="1">
      <c r="A130" s="65">
        <v>2.0</v>
      </c>
      <c r="B130" s="42"/>
      <c r="C130" s="42"/>
      <c r="D130" s="42"/>
      <c r="E130" s="42"/>
      <c r="F130" s="42"/>
    </row>
    <row r="131" ht="15.75" customHeight="1">
      <c r="A131" s="65">
        <v>3.0</v>
      </c>
      <c r="B131" s="42"/>
      <c r="C131" s="42"/>
      <c r="D131" s="42"/>
      <c r="E131" s="42"/>
      <c r="F131" s="42"/>
    </row>
    <row r="132" ht="15.75" customHeight="1"/>
    <row r="133" ht="21.75" customHeight="1">
      <c r="A133" s="76">
        <v>13.0</v>
      </c>
      <c r="B133" s="77" t="s">
        <v>1641</v>
      </c>
      <c r="C133" s="53"/>
      <c r="D133" s="53"/>
      <c r="E133" s="54"/>
      <c r="F133" s="78" t="s">
        <v>178</v>
      </c>
      <c r="G133" s="71" t="s">
        <v>47</v>
      </c>
      <c r="H133" s="79" t="str">
        <f>IF(G133="",IF(COUNTA(C135:C138)&gt;0,"⚠ 상태 미선택(입력값 있음)","상태 미선택 → 미수집 간주"),IF(G133="값 있음",IF(COUNTA(C135:C138)=0,"⚠ 값 있음인데 입력값 없음","✓ 정상"),IF(COUNTA(C135:C138)&gt;0,"⚠ 상태와 입력값 불일치","✓ 정상")))</f>
        <v>✓ 정상</v>
      </c>
      <c r="I133" s="54"/>
    </row>
    <row r="134" ht="24.0" customHeight="1">
      <c r="B134" s="60" t="s">
        <v>1655</v>
      </c>
    </row>
    <row r="135" ht="15.75" customHeight="1">
      <c r="B135" s="17" t="s">
        <v>1656</v>
      </c>
      <c r="C135" s="42">
        <v>1.0</v>
      </c>
      <c r="D135" s="40" t="s">
        <v>78</v>
      </c>
      <c r="E135" s="41"/>
    </row>
    <row r="136" ht="15.75" customHeight="1">
      <c r="B136" s="17" t="s">
        <v>521</v>
      </c>
      <c r="C136" s="42" t="s">
        <v>1189</v>
      </c>
      <c r="D136" s="40" t="s">
        <v>147</v>
      </c>
      <c r="E136" s="50" t="s">
        <v>462</v>
      </c>
    </row>
    <row r="137" ht="15.75" customHeight="1">
      <c r="B137" s="17" t="s">
        <v>1658</v>
      </c>
      <c r="C137" s="42"/>
      <c r="D137" s="40" t="s">
        <v>130</v>
      </c>
      <c r="E137" s="41"/>
    </row>
    <row r="138" ht="30.0" customHeight="1">
      <c r="B138" s="17" t="s">
        <v>524</v>
      </c>
      <c r="C138" s="42"/>
      <c r="D138" s="40" t="s">
        <v>525</v>
      </c>
      <c r="E138" s="50" t="s">
        <v>1659</v>
      </c>
    </row>
    <row r="139" ht="15.75" customHeight="1"/>
    <row r="140" ht="21.75" customHeight="1">
      <c r="A140" s="33" t="s">
        <v>1660</v>
      </c>
      <c r="B140" s="8"/>
      <c r="C140" s="8"/>
      <c r="D140" s="8"/>
      <c r="E140" s="8"/>
      <c r="F140" s="8"/>
      <c r="G140" s="8"/>
      <c r="H140" s="8"/>
      <c r="I140" s="7"/>
    </row>
    <row r="141" ht="21.75" customHeight="1">
      <c r="A141" s="51">
        <v>14.0</v>
      </c>
      <c r="B141" s="52" t="s">
        <v>1664</v>
      </c>
      <c r="C141" s="53"/>
      <c r="D141" s="53"/>
      <c r="E141" s="54"/>
      <c r="F141" s="55" t="s">
        <v>178</v>
      </c>
      <c r="G141" s="71" t="s">
        <v>49</v>
      </c>
      <c r="H141" s="59" t="str">
        <f>IF(G141="",IF(COUNTA(B145:H149)&gt;0,"⚠ 상태 미선택(입력값 있음)","상태 미선택 → 미수집 간주"),IF(G141="값 있음",IF(COUNTA(B145:H149)=0,"⚠ 값 있음인데 입력값 없음","✓ 정상"),IF(COUNTA(B145:H149)&gt;0,"⚠ 상태와 입력값 불일치","✓ 정상")))</f>
        <v>✓ 정상</v>
      </c>
      <c r="I141" s="54"/>
    </row>
    <row r="142" ht="24.0" customHeight="1">
      <c r="B142" s="60" t="s">
        <v>1672</v>
      </c>
    </row>
    <row r="143" ht="15.75" customHeight="1">
      <c r="A143" s="62" t="s">
        <v>24</v>
      </c>
      <c r="B143" s="13" t="s">
        <v>552</v>
      </c>
      <c r="C143" s="13" t="s">
        <v>553</v>
      </c>
      <c r="D143" s="13" t="s">
        <v>554</v>
      </c>
      <c r="E143" s="13" t="s">
        <v>555</v>
      </c>
      <c r="F143" s="13" t="s">
        <v>556</v>
      </c>
      <c r="G143" s="13" t="s">
        <v>557</v>
      </c>
      <c r="H143" s="13" t="s">
        <v>558</v>
      </c>
    </row>
    <row r="144" ht="25.5" customHeight="1">
      <c r="A144" s="63" t="s">
        <v>111</v>
      </c>
      <c r="B144" s="63" t="s">
        <v>130</v>
      </c>
      <c r="C144" s="63" t="s">
        <v>130</v>
      </c>
      <c r="D144" s="64" t="s">
        <v>1675</v>
      </c>
      <c r="E144" s="64" t="s">
        <v>1676</v>
      </c>
      <c r="F144" s="64" t="s">
        <v>1678</v>
      </c>
      <c r="G144" s="63" t="s">
        <v>130</v>
      </c>
      <c r="H144" s="64" t="s">
        <v>158</v>
      </c>
    </row>
    <row r="145" ht="15.75" customHeight="1">
      <c r="A145" s="65">
        <v>1.0</v>
      </c>
      <c r="B145" s="42"/>
      <c r="C145" s="42"/>
      <c r="D145" s="42"/>
      <c r="E145" s="42"/>
      <c r="F145" s="42"/>
      <c r="G145" s="42"/>
      <c r="H145" s="39"/>
    </row>
    <row r="146" ht="15.75" customHeight="1">
      <c r="A146" s="65">
        <v>2.0</v>
      </c>
      <c r="B146" s="42"/>
      <c r="C146" s="42"/>
      <c r="D146" s="42"/>
      <c r="E146" s="42"/>
      <c r="F146" s="42"/>
      <c r="G146" s="42"/>
      <c r="H146" s="39"/>
    </row>
    <row r="147" ht="15.75" customHeight="1">
      <c r="A147" s="65">
        <v>3.0</v>
      </c>
      <c r="B147" s="42"/>
      <c r="C147" s="42"/>
      <c r="D147" s="42"/>
      <c r="E147" s="42"/>
      <c r="F147" s="42"/>
      <c r="G147" s="42"/>
      <c r="H147" s="39"/>
    </row>
    <row r="148" ht="15.75" customHeight="1">
      <c r="A148" s="65">
        <v>4.0</v>
      </c>
      <c r="B148" s="42"/>
      <c r="C148" s="42"/>
      <c r="D148" s="42"/>
      <c r="E148" s="42"/>
      <c r="F148" s="42"/>
      <c r="G148" s="42"/>
      <c r="H148" s="39"/>
    </row>
    <row r="149" ht="15.75" customHeight="1">
      <c r="A149" s="65">
        <v>5.0</v>
      </c>
      <c r="B149" s="42"/>
      <c r="C149" s="42"/>
      <c r="D149" s="42"/>
      <c r="E149" s="42"/>
      <c r="F149" s="42"/>
      <c r="G149" s="42"/>
      <c r="H149" s="39"/>
    </row>
    <row r="150" ht="15.75" customHeight="1"/>
    <row r="151" ht="21.75" customHeight="1">
      <c r="A151" s="51">
        <v>15.0</v>
      </c>
      <c r="B151" s="52" t="s">
        <v>374</v>
      </c>
      <c r="C151" s="53"/>
      <c r="D151" s="53"/>
      <c r="E151" s="54"/>
      <c r="F151" s="55" t="s">
        <v>178</v>
      </c>
      <c r="G151" s="71" t="s">
        <v>49</v>
      </c>
      <c r="H151" s="59" t="str">
        <f>IF(G151="",IF(COUNTA(B155:E156)&gt;0,"⚠ 상태 미선택(입력값 있음)","상태 미선택 → 미수집 간주"),IF(G151="값 있음",IF(COUNTA(B155:E156)=0,"⚠ 값 있음인데 입력값 없음","✓ 정상"),IF(COUNTA(B155:E156)&gt;0,"⚠ 상태와 입력값 불일치","✓ 정상")))</f>
        <v>✓ 정상</v>
      </c>
      <c r="I151" s="54"/>
    </row>
    <row r="152" ht="15.0" customHeight="1">
      <c r="B152" s="60" t="s">
        <v>1703</v>
      </c>
    </row>
    <row r="153" ht="15.75" customHeight="1">
      <c r="A153" s="62" t="s">
        <v>24</v>
      </c>
      <c r="B153" s="13" t="s">
        <v>400</v>
      </c>
      <c r="C153" s="13" t="s">
        <v>1707</v>
      </c>
      <c r="D153" s="13" t="s">
        <v>555</v>
      </c>
      <c r="E153" s="13" t="s">
        <v>558</v>
      </c>
    </row>
    <row r="154" ht="25.5" customHeight="1">
      <c r="A154" s="63" t="s">
        <v>111</v>
      </c>
      <c r="B154" s="64" t="s">
        <v>1708</v>
      </c>
      <c r="C154" s="63" t="s">
        <v>130</v>
      </c>
      <c r="D154" s="63" t="s">
        <v>130</v>
      </c>
      <c r="E154" s="64" t="s">
        <v>158</v>
      </c>
    </row>
    <row r="155" ht="15.75" customHeight="1">
      <c r="A155" s="65">
        <v>1.0</v>
      </c>
      <c r="B155" s="42"/>
      <c r="C155" s="42"/>
      <c r="D155" s="42"/>
      <c r="E155" s="39"/>
    </row>
    <row r="156" ht="15.75" customHeight="1">
      <c r="A156" s="65">
        <v>2.0</v>
      </c>
      <c r="B156" s="42"/>
      <c r="C156" s="42"/>
      <c r="D156" s="42"/>
      <c r="E156" s="39"/>
    </row>
    <row r="157" ht="15.75" customHeight="1"/>
    <row r="158" ht="21.75" customHeight="1">
      <c r="A158" s="70">
        <v>16.0</v>
      </c>
      <c r="B158" s="72" t="s">
        <v>1715</v>
      </c>
      <c r="C158" s="53"/>
      <c r="D158" s="53"/>
      <c r="E158" s="54"/>
      <c r="F158" s="73" t="s">
        <v>178</v>
      </c>
      <c r="G158" s="71" t="s">
        <v>49</v>
      </c>
      <c r="H158" s="74" t="str">
        <f>IF(G158="",IF(COUNTA(B162:G163)&gt;0,"⚠ 상태 미선택(입력값 있음)","상태 미선택 → 미수집 간주"),IF(G158="값 있음",IF(COUNTA(B162:G163)=0,"⚠ 값 있음인데 입력값 없음","✓ 정상"),IF(COUNTA(B162:G163)&gt;0,"⚠ 상태와 입력값 불일치","✓ 정상")))</f>
        <v>✓ 정상</v>
      </c>
      <c r="I158" s="54"/>
    </row>
    <row r="159" ht="24.0" customHeight="1">
      <c r="B159" s="60" t="s">
        <v>1723</v>
      </c>
    </row>
    <row r="160" ht="15.75" customHeight="1">
      <c r="A160" s="62" t="s">
        <v>24</v>
      </c>
      <c r="B160" s="13" t="s">
        <v>400</v>
      </c>
      <c r="C160" s="13" t="s">
        <v>608</v>
      </c>
      <c r="D160" s="13" t="s">
        <v>403</v>
      </c>
      <c r="E160" s="13" t="s">
        <v>1725</v>
      </c>
      <c r="F160" s="13" t="s">
        <v>558</v>
      </c>
      <c r="G160" s="13" t="s">
        <v>613</v>
      </c>
    </row>
    <row r="161" ht="25.5" customHeight="1">
      <c r="A161" s="63" t="s">
        <v>111</v>
      </c>
      <c r="B161" s="64" t="s">
        <v>1727</v>
      </c>
      <c r="C161" s="63" t="s">
        <v>130</v>
      </c>
      <c r="D161" s="64" t="s">
        <v>1728</v>
      </c>
      <c r="E161" s="63" t="s">
        <v>130</v>
      </c>
      <c r="F161" s="64" t="s">
        <v>158</v>
      </c>
      <c r="G161" s="64" t="s">
        <v>1729</v>
      </c>
    </row>
    <row r="162" ht="15.75" customHeight="1">
      <c r="A162" s="65">
        <v>1.0</v>
      </c>
      <c r="B162" s="42"/>
      <c r="C162" s="42"/>
      <c r="D162" s="42"/>
      <c r="E162" s="42"/>
      <c r="F162" s="39"/>
      <c r="G162" s="42"/>
    </row>
    <row r="163" ht="15.75" customHeight="1">
      <c r="A163" s="65">
        <v>2.0</v>
      </c>
      <c r="B163" s="42"/>
      <c r="C163" s="42"/>
      <c r="D163" s="42"/>
      <c r="E163" s="42"/>
      <c r="F163" s="39"/>
      <c r="G163" s="42"/>
    </row>
    <row r="164" ht="15.75" customHeight="1"/>
    <row r="165" ht="21.75" customHeight="1">
      <c r="A165" s="33" t="s">
        <v>620</v>
      </c>
      <c r="B165" s="8"/>
      <c r="C165" s="8"/>
      <c r="D165" s="8"/>
      <c r="E165" s="8"/>
      <c r="F165" s="8"/>
      <c r="G165" s="8"/>
      <c r="H165" s="8"/>
      <c r="I165" s="7"/>
    </row>
    <row r="166" ht="21.75" customHeight="1">
      <c r="A166" s="51">
        <v>17.0</v>
      </c>
      <c r="B166" s="52" t="s">
        <v>1739</v>
      </c>
      <c r="C166" s="53"/>
      <c r="D166" s="53"/>
      <c r="E166" s="54"/>
      <c r="F166" s="55" t="s">
        <v>178</v>
      </c>
      <c r="G166" s="71" t="s">
        <v>49</v>
      </c>
      <c r="H166" s="59" t="str">
        <f>IF(G166="",IF(COUNTA(B170:G172)&gt;0,"⚠ 상태 미선택(입력값 있음)","상태 미선택 → 미수집 간주"),IF(G166="값 있음",IF(COUNTA(B170:G172)=0,"⚠ 값 있음인데 입력값 없음","✓ 정상"),IF(COUNTA(B170:G172)&gt;0,"⚠ 상태와 입력값 불일치","✓ 정상")))</f>
        <v>✓ 정상</v>
      </c>
      <c r="I166" s="54"/>
    </row>
    <row r="167" ht="24.0" customHeight="1">
      <c r="B167" s="60" t="s">
        <v>1744</v>
      </c>
    </row>
    <row r="168" ht="15.75" customHeight="1">
      <c r="A168" s="62" t="s">
        <v>24</v>
      </c>
      <c r="B168" s="13" t="s">
        <v>400</v>
      </c>
      <c r="C168" s="13" t="s">
        <v>633</v>
      </c>
      <c r="D168" s="13" t="s">
        <v>1745</v>
      </c>
      <c r="E168" s="13" t="s">
        <v>1746</v>
      </c>
      <c r="F168" s="13" t="s">
        <v>639</v>
      </c>
      <c r="G168" s="62" t="s">
        <v>1747</v>
      </c>
    </row>
    <row r="169" ht="37.5" customHeight="1">
      <c r="A169" s="63" t="s">
        <v>111</v>
      </c>
      <c r="B169" s="64" t="s">
        <v>1749</v>
      </c>
      <c r="C169" s="63" t="s">
        <v>130</v>
      </c>
      <c r="D169" s="63" t="s">
        <v>130</v>
      </c>
      <c r="E169" s="63" t="s">
        <v>78</v>
      </c>
      <c r="F169" s="64" t="s">
        <v>158</v>
      </c>
      <c r="G169" s="64" t="s">
        <v>462</v>
      </c>
    </row>
    <row r="170" ht="15.75" customHeight="1">
      <c r="A170" s="65">
        <v>1.0</v>
      </c>
      <c r="B170" s="42"/>
      <c r="C170" s="42"/>
      <c r="D170" s="42"/>
      <c r="E170" s="42"/>
      <c r="F170" s="39"/>
      <c r="G170" s="42"/>
    </row>
    <row r="171" ht="15.75" customHeight="1">
      <c r="A171" s="65">
        <v>2.0</v>
      </c>
      <c r="B171" s="42"/>
      <c r="C171" s="42"/>
      <c r="D171" s="42"/>
      <c r="E171" s="42"/>
      <c r="F171" s="39"/>
      <c r="G171" s="42"/>
    </row>
    <row r="172" ht="15.75" customHeight="1">
      <c r="A172" s="65">
        <v>3.0</v>
      </c>
      <c r="B172" s="42"/>
      <c r="C172" s="42"/>
      <c r="D172" s="42"/>
      <c r="E172" s="42"/>
      <c r="F172" s="39"/>
      <c r="G172" s="42"/>
    </row>
    <row r="173" ht="15.75" customHeight="1"/>
    <row r="174" ht="21.75" customHeight="1">
      <c r="A174" s="70">
        <v>18.0</v>
      </c>
      <c r="B174" s="72" t="s">
        <v>431</v>
      </c>
      <c r="C174" s="53"/>
      <c r="D174" s="53"/>
      <c r="E174" s="54"/>
      <c r="F174" s="73" t="s">
        <v>178</v>
      </c>
      <c r="G174" s="71" t="s">
        <v>47</v>
      </c>
      <c r="H174" s="74" t="str">
        <f>IF(G174="",IF(COUNTA(C176:C178)&gt;0,"⚠ 상태 미선택(입력값 있음)","상태 미선택 → 미수집 간주"),IF(G174="값 있음",IF(COUNTA(C176:C178)=0,"⚠ 값 있음인데 입력값 없음","✓ 정상"),IF(COUNTA(C176:C178)&gt;0,"⚠ 상태와 입력값 불일치","✓ 정상")))</f>
        <v>✓ 정상</v>
      </c>
      <c r="I174" s="54"/>
    </row>
    <row r="175" ht="24.0" customHeight="1">
      <c r="B175" s="60" t="s">
        <v>1765</v>
      </c>
    </row>
    <row r="176" ht="15.75" customHeight="1">
      <c r="B176" s="17" t="s">
        <v>660</v>
      </c>
      <c r="C176" s="42">
        <v>0.0</v>
      </c>
      <c r="D176" s="40" t="s">
        <v>78</v>
      </c>
      <c r="E176" s="41" t="s">
        <v>1769</v>
      </c>
    </row>
    <row r="177" ht="15.75" customHeight="1">
      <c r="B177" s="17" t="s">
        <v>667</v>
      </c>
      <c r="C177" s="42">
        <v>0.0</v>
      </c>
      <c r="D177" s="40" t="s">
        <v>78</v>
      </c>
      <c r="E177" s="41"/>
    </row>
    <row r="178" ht="15.75" customHeight="1">
      <c r="B178" s="17" t="s">
        <v>668</v>
      </c>
      <c r="C178" s="42"/>
      <c r="D178" s="40" t="s">
        <v>130</v>
      </c>
      <c r="E178" s="41" t="s">
        <v>1774</v>
      </c>
    </row>
    <row r="179" ht="15.75" customHeight="1"/>
    <row r="180" ht="21.75" customHeight="1">
      <c r="A180" s="33" t="s">
        <v>1779</v>
      </c>
      <c r="B180" s="8"/>
      <c r="C180" s="8"/>
      <c r="D180" s="8"/>
      <c r="E180" s="8"/>
      <c r="F180" s="8"/>
      <c r="G180" s="8"/>
      <c r="H180" s="8"/>
      <c r="I180" s="7"/>
    </row>
    <row r="181" ht="21.75" customHeight="1">
      <c r="A181" s="51">
        <v>19.0</v>
      </c>
      <c r="B181" s="75" t="s">
        <v>1782</v>
      </c>
      <c r="C181" s="53"/>
      <c r="D181" s="53"/>
      <c r="E181" s="54"/>
      <c r="F181" s="55" t="s">
        <v>178</v>
      </c>
      <c r="G181" s="71" t="s">
        <v>47</v>
      </c>
      <c r="H181" s="59" t="str">
        <f>IF(G181="",IF(COUNTA(B185:F188)&gt;0,"⚠ 상태 미선택(입력값 있음)","상태 미선택 → 미수집 간주"),IF(G181="값 있음",IF(COUNTA(B185:F188)=0,"⚠ 값 있음인데 입력값 없음","✓ 정상"),IF(COUNTA(B185:F188)&gt;0,"⚠ 상태와 입력값 불일치","✓ 정상")))</f>
        <v>✓ 정상</v>
      </c>
      <c r="I181" s="54"/>
    </row>
    <row r="182" ht="24.0" customHeight="1">
      <c r="B182" s="60" t="s">
        <v>1790</v>
      </c>
    </row>
    <row r="183" ht="15.75" customHeight="1">
      <c r="A183" s="62" t="s">
        <v>24</v>
      </c>
      <c r="B183" s="13" t="s">
        <v>20</v>
      </c>
      <c r="C183" s="13" t="s">
        <v>695</v>
      </c>
      <c r="D183" s="13" t="s">
        <v>1791</v>
      </c>
      <c r="E183" s="13" t="s">
        <v>698</v>
      </c>
      <c r="F183" s="13" t="s">
        <v>699</v>
      </c>
    </row>
    <row r="184" ht="25.5" customHeight="1">
      <c r="A184" s="63" t="s">
        <v>111</v>
      </c>
      <c r="B184" s="64" t="s">
        <v>1792</v>
      </c>
      <c r="C184" s="63" t="s">
        <v>130</v>
      </c>
      <c r="D184" s="63" t="s">
        <v>78</v>
      </c>
      <c r="E184" s="64" t="s">
        <v>158</v>
      </c>
      <c r="F184" s="64" t="s">
        <v>1794</v>
      </c>
    </row>
    <row r="185" ht="15.75" customHeight="1">
      <c r="A185" s="65">
        <v>1.0</v>
      </c>
      <c r="B185" s="69" t="s">
        <v>801</v>
      </c>
      <c r="C185" s="69" t="s">
        <v>1797</v>
      </c>
      <c r="D185" s="42">
        <v>2.0</v>
      </c>
      <c r="E185" s="39" t="s">
        <v>1260</v>
      </c>
      <c r="F185" s="69" t="s">
        <v>800</v>
      </c>
    </row>
    <row r="186" ht="15.75" customHeight="1">
      <c r="A186" s="65">
        <v>2.0</v>
      </c>
      <c r="B186" s="69"/>
      <c r="C186" s="42"/>
      <c r="D186" s="42"/>
      <c r="E186" s="39"/>
      <c r="F186" s="69"/>
    </row>
    <row r="187" ht="15.75" customHeight="1">
      <c r="A187" s="65">
        <v>3.0</v>
      </c>
      <c r="B187" s="69"/>
      <c r="C187" s="42"/>
      <c r="D187" s="42"/>
      <c r="E187" s="39"/>
      <c r="F187" s="69"/>
    </row>
    <row r="188" ht="15.75" customHeight="1">
      <c r="A188" s="65">
        <v>4.0</v>
      </c>
      <c r="B188" s="69"/>
      <c r="C188" s="42"/>
      <c r="D188" s="42"/>
      <c r="E188" s="39"/>
      <c r="F188" s="69"/>
    </row>
    <row r="189" ht="15.75" customHeight="1"/>
    <row r="190" ht="21.75" customHeight="1">
      <c r="A190" s="70">
        <v>20.0</v>
      </c>
      <c r="B190" s="80" t="s">
        <v>1805</v>
      </c>
      <c r="C190" s="53"/>
      <c r="D190" s="53"/>
      <c r="E190" s="54"/>
      <c r="F190" s="73" t="s">
        <v>178</v>
      </c>
      <c r="G190" s="71" t="s">
        <v>49</v>
      </c>
      <c r="H190" s="74" t="str">
        <f>IF(G190="",IF(COUNTA(B194:G196)&gt;0,"⚠ 상태 미선택(입력값 있음)","상태 미선택 → 미수집 간주"),IF(G190="값 있음",IF(COUNTA(B194:G196)=0,"⚠ 값 있음인데 입력값 없음","✓ 정상"),IF(COUNTA(B194:G196)&gt;0,"⚠ 상태와 입력값 불일치","✓ 정상")))</f>
        <v>✓ 정상</v>
      </c>
      <c r="I190" s="54"/>
    </row>
    <row r="191" ht="24.0" customHeight="1">
      <c r="B191" s="60" t="s">
        <v>1820</v>
      </c>
    </row>
    <row r="192" ht="15.75" customHeight="1">
      <c r="A192" s="62" t="s">
        <v>24</v>
      </c>
      <c r="B192" s="13" t="s">
        <v>400</v>
      </c>
      <c r="C192" s="13" t="s">
        <v>608</v>
      </c>
      <c r="D192" s="13" t="s">
        <v>557</v>
      </c>
      <c r="E192" s="13" t="s">
        <v>1823</v>
      </c>
      <c r="F192" s="13" t="s">
        <v>554</v>
      </c>
      <c r="G192" s="13" t="s">
        <v>558</v>
      </c>
    </row>
    <row r="193" ht="25.5" customHeight="1">
      <c r="A193" s="63" t="s">
        <v>111</v>
      </c>
      <c r="B193" s="64" t="s">
        <v>1826</v>
      </c>
      <c r="C193" s="63" t="s">
        <v>130</v>
      </c>
      <c r="D193" s="63" t="s">
        <v>130</v>
      </c>
      <c r="E193" s="63" t="s">
        <v>130</v>
      </c>
      <c r="F193" s="64" t="s">
        <v>1827</v>
      </c>
      <c r="G193" s="64" t="s">
        <v>158</v>
      </c>
    </row>
    <row r="194" ht="15.75" customHeight="1">
      <c r="A194" s="65">
        <v>1.0</v>
      </c>
      <c r="B194" s="42"/>
      <c r="C194" s="42"/>
      <c r="D194" s="42"/>
      <c r="E194" s="42"/>
      <c r="F194" s="42"/>
      <c r="G194" s="39"/>
    </row>
    <row r="195" ht="15.75" customHeight="1">
      <c r="A195" s="65">
        <v>2.0</v>
      </c>
      <c r="B195" s="42"/>
      <c r="C195" s="42"/>
      <c r="D195" s="42"/>
      <c r="E195" s="42"/>
      <c r="F195" s="42"/>
      <c r="G195" s="39"/>
    </row>
    <row r="196" ht="15.75" customHeight="1">
      <c r="A196" s="65">
        <v>3.0</v>
      </c>
      <c r="B196" s="42"/>
      <c r="C196" s="42"/>
      <c r="D196" s="42"/>
      <c r="E196" s="42"/>
      <c r="F196" s="42"/>
      <c r="G196" s="39"/>
    </row>
    <row r="197" ht="15.75" customHeight="1"/>
    <row r="198" ht="21.75" customHeight="1">
      <c r="A198" s="51">
        <v>21.0</v>
      </c>
      <c r="B198" s="52" t="s">
        <v>504</v>
      </c>
      <c r="C198" s="53"/>
      <c r="D198" s="53"/>
      <c r="E198" s="54"/>
      <c r="F198" s="55" t="s">
        <v>178</v>
      </c>
      <c r="G198" s="71" t="s">
        <v>47</v>
      </c>
      <c r="H198" s="59" t="str">
        <f>IF(G198="",IF(COUNTA(B202:D205)&gt;0,"⚠ 상태 미선택(입력값 있음)","상태 미선택 → 미수집 간주"),IF(G198="값 있음",IF(COUNTA(B202:D205)=0,"⚠ 값 있음인데 입력값 없음","✓ 정상"),IF(COUNTA(B202:D205)&gt;0,"⚠ 상태와 입력값 불일치","✓ 정상")))</f>
        <v>✓ 정상</v>
      </c>
      <c r="I198" s="54"/>
    </row>
    <row r="199" ht="24.0" customHeight="1">
      <c r="B199" s="60" t="s">
        <v>1851</v>
      </c>
    </row>
    <row r="200" ht="15.75" customHeight="1">
      <c r="A200" s="62" t="s">
        <v>24</v>
      </c>
      <c r="B200" s="13" t="s">
        <v>753</v>
      </c>
      <c r="C200" s="13" t="s">
        <v>755</v>
      </c>
      <c r="D200" s="13" t="s">
        <v>756</v>
      </c>
    </row>
    <row r="201" ht="15.0" customHeight="1">
      <c r="A201" s="63" t="s">
        <v>111</v>
      </c>
      <c r="B201" s="63" t="s">
        <v>759</v>
      </c>
      <c r="C201" s="64" t="s">
        <v>1854</v>
      </c>
      <c r="D201" s="63" t="s">
        <v>525</v>
      </c>
    </row>
    <row r="202" ht="36.0" customHeight="1">
      <c r="A202" s="65">
        <v>1.0</v>
      </c>
      <c r="B202" s="69" t="s">
        <v>856</v>
      </c>
      <c r="C202" s="69" t="s">
        <v>1089</v>
      </c>
      <c r="D202" s="69" t="s">
        <v>1857</v>
      </c>
    </row>
    <row r="203" ht="36.0" customHeight="1">
      <c r="A203" s="65">
        <v>2.0</v>
      </c>
      <c r="B203" s="42"/>
      <c r="C203" s="69"/>
      <c r="D203" s="42"/>
    </row>
    <row r="204" ht="36.0" customHeight="1">
      <c r="A204" s="65">
        <v>3.0</v>
      </c>
      <c r="B204" s="42"/>
      <c r="C204" s="69"/>
      <c r="D204" s="42"/>
    </row>
    <row r="205" ht="36.0" customHeight="1">
      <c r="A205" s="65">
        <v>4.0</v>
      </c>
      <c r="B205" s="42"/>
      <c r="C205" s="69"/>
      <c r="D205" s="42"/>
    </row>
    <row r="206" ht="15.75" customHeight="1"/>
    <row r="207" ht="21.75" customHeight="1">
      <c r="A207" s="33" t="s">
        <v>1862</v>
      </c>
      <c r="B207" s="8"/>
      <c r="C207" s="8"/>
      <c r="D207" s="8"/>
      <c r="E207" s="8"/>
      <c r="F207" s="8"/>
      <c r="G207" s="8"/>
      <c r="H207" s="8"/>
      <c r="I207" s="7"/>
    </row>
    <row r="208" ht="21.75" customHeight="1">
      <c r="A208" s="51">
        <v>22.0</v>
      </c>
      <c r="B208" s="52" t="s">
        <v>1867</v>
      </c>
      <c r="C208" s="53"/>
      <c r="D208" s="53"/>
      <c r="E208" s="54"/>
      <c r="F208" s="55" t="s">
        <v>178</v>
      </c>
      <c r="G208" s="71" t="s">
        <v>47</v>
      </c>
      <c r="H208" s="59" t="str">
        <f>IF(G208="",IF(COUNTA(B212:I215)&gt;0,"⚠ 상태 미선택(입력값 있음)","상태 미선택 → 미수집 간주"),IF(G208="값 있음",IF(COUNTA(B212:I215)=0,"⚠ 값 있음인데 입력값 없음","✓ 정상"),IF(COUNTA(B212:I215)&gt;0,"⚠ 상태와 입력값 불일치","✓ 정상")))</f>
        <v>✓ 정상</v>
      </c>
      <c r="I208" s="54"/>
    </row>
    <row r="209" ht="24.0" customHeight="1">
      <c r="B209" s="60" t="s">
        <v>1875</v>
      </c>
    </row>
    <row r="210" ht="15.75" customHeight="1">
      <c r="A210" s="62" t="s">
        <v>24</v>
      </c>
      <c r="B210" s="13" t="s">
        <v>400</v>
      </c>
      <c r="C210" s="13" t="s">
        <v>809</v>
      </c>
      <c r="D210" s="13" t="s">
        <v>811</v>
      </c>
      <c r="E210" s="13" t="s">
        <v>380</v>
      </c>
      <c r="F210" s="13" t="s">
        <v>381</v>
      </c>
      <c r="G210" s="13" t="s">
        <v>1876</v>
      </c>
      <c r="H210" s="13" t="s">
        <v>1877</v>
      </c>
      <c r="I210" s="13" t="s">
        <v>1878</v>
      </c>
    </row>
    <row r="211" ht="25.5" customHeight="1">
      <c r="A211" s="63" t="s">
        <v>111</v>
      </c>
      <c r="B211" s="64" t="s">
        <v>1880</v>
      </c>
      <c r="C211" s="63" t="s">
        <v>130</v>
      </c>
      <c r="D211" s="64" t="s">
        <v>1883</v>
      </c>
      <c r="E211" s="64" t="s">
        <v>158</v>
      </c>
      <c r="F211" s="64" t="s">
        <v>1885</v>
      </c>
      <c r="G211" s="63" t="s">
        <v>78</v>
      </c>
      <c r="H211" s="63" t="s">
        <v>78</v>
      </c>
      <c r="I211" s="63" t="s">
        <v>130</v>
      </c>
    </row>
    <row r="212" ht="15.75" customHeight="1">
      <c r="A212" s="65">
        <v>1.0</v>
      </c>
      <c r="B212" s="69" t="s">
        <v>895</v>
      </c>
      <c r="C212" s="69" t="s">
        <v>1888</v>
      </c>
      <c r="D212" s="69" t="s">
        <v>897</v>
      </c>
      <c r="E212" s="39" t="s">
        <v>1260</v>
      </c>
      <c r="F212" s="81" t="s">
        <v>763</v>
      </c>
      <c r="G212" s="42">
        <v>7.0</v>
      </c>
      <c r="H212" s="42">
        <v>50.0</v>
      </c>
      <c r="I212" s="69" t="s">
        <v>1891</v>
      </c>
    </row>
    <row r="213" ht="15.75" customHeight="1">
      <c r="A213" s="65">
        <v>2.0</v>
      </c>
      <c r="B213" s="69"/>
      <c r="C213" s="42"/>
      <c r="D213" s="69"/>
      <c r="E213" s="39"/>
      <c r="F213" s="39"/>
      <c r="G213" s="42"/>
      <c r="H213" s="42"/>
      <c r="I213" s="42"/>
    </row>
    <row r="214" ht="15.75" customHeight="1">
      <c r="A214" s="65">
        <v>3.0</v>
      </c>
      <c r="B214" s="69"/>
      <c r="C214" s="42"/>
      <c r="D214" s="69"/>
      <c r="E214" s="39"/>
      <c r="F214" s="39"/>
      <c r="G214" s="42"/>
      <c r="H214" s="42"/>
      <c r="I214" s="42"/>
    </row>
    <row r="215" ht="15.75" customHeight="1">
      <c r="A215" s="65">
        <v>4.0</v>
      </c>
      <c r="B215" s="69"/>
      <c r="C215" s="42"/>
      <c r="D215" s="69"/>
      <c r="E215" s="39"/>
      <c r="F215" s="39"/>
      <c r="G215" s="42"/>
      <c r="H215" s="42"/>
      <c r="I215" s="42"/>
    </row>
    <row r="216" ht="15.75" customHeight="1"/>
    <row r="217" ht="21.75" customHeight="1">
      <c r="A217" s="51">
        <v>23.0</v>
      </c>
      <c r="B217" s="52" t="s">
        <v>564</v>
      </c>
      <c r="C217" s="53"/>
      <c r="D217" s="53"/>
      <c r="E217" s="54"/>
      <c r="F217" s="55" t="s">
        <v>178</v>
      </c>
      <c r="G217" s="71" t="s">
        <v>47</v>
      </c>
      <c r="H217" s="59" t="str">
        <f>IF(G217="",IF(COUNTA(C219,B222:E225)&gt;0,"⚠ 상태 미선택(입력값 있음)","상태 미선택 → 미수집 간주"),IF(G217="값 있음",IF(COUNTA(C219,B222:E225)=0,"⚠ 값 있음인데 입력값 없음","✓ 정상"),IF(COUNTA(C219,B222:E225)&gt;0,"⚠ 상태와 입력값 불일치","✓ 정상")))</f>
        <v>✓ 정상</v>
      </c>
      <c r="I217" s="54"/>
    </row>
    <row r="218" ht="24.0" customHeight="1">
      <c r="B218" s="60" t="s">
        <v>1906</v>
      </c>
    </row>
    <row r="219" ht="15.75" customHeight="1">
      <c r="B219" s="17" t="s">
        <v>1909</v>
      </c>
      <c r="C219" s="42">
        <v>8.0</v>
      </c>
      <c r="D219" s="40" t="s">
        <v>78</v>
      </c>
      <c r="E219" s="50" t="s">
        <v>1911</v>
      </c>
    </row>
    <row r="220" ht="15.75" customHeight="1">
      <c r="A220" s="62" t="s">
        <v>24</v>
      </c>
      <c r="B220" s="13" t="s">
        <v>20</v>
      </c>
      <c r="C220" s="13" t="s">
        <v>1914</v>
      </c>
      <c r="D220" s="13" t="s">
        <v>1916</v>
      </c>
      <c r="E220" s="13" t="s">
        <v>558</v>
      </c>
    </row>
    <row r="221" ht="25.5" customHeight="1">
      <c r="A221" s="63" t="s">
        <v>111</v>
      </c>
      <c r="B221" s="64" t="s">
        <v>1917</v>
      </c>
      <c r="C221" s="63" t="s">
        <v>130</v>
      </c>
      <c r="D221" s="63" t="s">
        <v>78</v>
      </c>
      <c r="E221" s="64" t="s">
        <v>158</v>
      </c>
    </row>
    <row r="222" ht="15.75" customHeight="1">
      <c r="A222" s="65">
        <v>1.0</v>
      </c>
      <c r="B222" s="69" t="s">
        <v>548</v>
      </c>
      <c r="C222" s="69" t="s">
        <v>1919</v>
      </c>
      <c r="D222" s="42">
        <v>8.0</v>
      </c>
      <c r="E222" s="39" t="s">
        <v>501</v>
      </c>
    </row>
    <row r="223" ht="15.75" customHeight="1">
      <c r="A223" s="65">
        <v>2.0</v>
      </c>
      <c r="B223" s="69"/>
      <c r="C223" s="42"/>
      <c r="D223" s="42"/>
      <c r="E223" s="39"/>
    </row>
    <row r="224" ht="15.75" customHeight="1">
      <c r="A224" s="65">
        <v>3.0</v>
      </c>
      <c r="B224" s="69"/>
      <c r="C224" s="42"/>
      <c r="D224" s="42"/>
      <c r="E224" s="39"/>
    </row>
    <row r="225" ht="15.75" customHeight="1">
      <c r="A225" s="65">
        <v>4.0</v>
      </c>
      <c r="B225" s="69"/>
      <c r="C225" s="42"/>
      <c r="D225" s="42"/>
      <c r="E225" s="39"/>
    </row>
    <row r="226" ht="15.75" customHeight="1"/>
    <row r="227" ht="21.75" customHeight="1">
      <c r="A227" s="76">
        <v>24.0</v>
      </c>
      <c r="B227" s="77" t="s">
        <v>1926</v>
      </c>
      <c r="C227" s="53"/>
      <c r="D227" s="53"/>
      <c r="E227" s="54"/>
      <c r="F227" s="78" t="s">
        <v>178</v>
      </c>
      <c r="G227" s="71" t="s">
        <v>49</v>
      </c>
      <c r="H227" s="79" t="str">
        <f>IF(G227="",IF(COUNTA(B231:E233)&gt;0,"⚠ 상태 미선택(입력값 있음)","상태 미선택 → 미수집 간주"),IF(G227="값 있음",IF(COUNTA(B231:E233)=0,"⚠ 값 있음인데 입력값 없음","✓ 정상"),IF(COUNTA(B231:E233)&gt;0,"⚠ 상태와 입력값 불일치","✓ 정상")))</f>
        <v>✓ 정상</v>
      </c>
      <c r="I227" s="54"/>
    </row>
    <row r="228" ht="15.0" customHeight="1">
      <c r="B228" s="60" t="s">
        <v>1931</v>
      </c>
    </row>
    <row r="229" ht="15.75" customHeight="1">
      <c r="A229" s="62" t="s">
        <v>24</v>
      </c>
      <c r="B229" s="13" t="s">
        <v>400</v>
      </c>
      <c r="C229" s="13" t="s">
        <v>871</v>
      </c>
      <c r="D229" s="13" t="s">
        <v>1935</v>
      </c>
      <c r="E229" s="13" t="s">
        <v>1936</v>
      </c>
    </row>
    <row r="230" ht="25.5" customHeight="1">
      <c r="A230" s="63" t="s">
        <v>111</v>
      </c>
      <c r="B230" s="64" t="s">
        <v>1938</v>
      </c>
      <c r="C230" s="63" t="s">
        <v>130</v>
      </c>
      <c r="D230" s="63" t="s">
        <v>130</v>
      </c>
      <c r="E230" s="63" t="s">
        <v>78</v>
      </c>
    </row>
    <row r="231" ht="15.75" customHeight="1">
      <c r="A231" s="65">
        <v>1.0</v>
      </c>
      <c r="B231" s="42"/>
      <c r="C231" s="42"/>
      <c r="D231" s="42"/>
      <c r="E231" s="42"/>
    </row>
    <row r="232" ht="15.75" customHeight="1">
      <c r="A232" s="65">
        <v>2.0</v>
      </c>
      <c r="B232" s="42"/>
      <c r="C232" s="42"/>
      <c r="D232" s="42"/>
      <c r="E232" s="42"/>
    </row>
    <row r="233" ht="15.75" customHeight="1">
      <c r="A233" s="65">
        <v>3.0</v>
      </c>
      <c r="B233" s="42"/>
      <c r="C233" s="42"/>
      <c r="D233" s="42"/>
      <c r="E233" s="42"/>
    </row>
    <row r="234" ht="15.75" customHeight="1"/>
    <row r="235" ht="21.75" customHeight="1">
      <c r="A235" s="76">
        <v>25.0</v>
      </c>
      <c r="B235" s="77" t="s">
        <v>611</v>
      </c>
      <c r="C235" s="53"/>
      <c r="D235" s="53"/>
      <c r="E235" s="54"/>
      <c r="F235" s="78" t="s">
        <v>178</v>
      </c>
      <c r="G235" s="71" t="s">
        <v>49</v>
      </c>
      <c r="H235" s="79" t="str">
        <f>IF(G235="",IF(COUNTA(B239:G242)&gt;0,"⚠ 상태 미선택(입력값 있음)","상태 미선택 → 미수집 간주"),IF(G235="값 있음",IF(COUNTA(B239:G242)=0,"⚠ 값 있음인데 입력값 없음","✓ 정상"),IF(COUNTA(B239:G242)&gt;0,"⚠ 상태와 입력값 불일치","✓ 정상")))</f>
        <v>✓ 정상</v>
      </c>
      <c r="I235" s="54"/>
    </row>
    <row r="236" ht="24.0" customHeight="1">
      <c r="B236" s="60" t="s">
        <v>1947</v>
      </c>
    </row>
    <row r="237" ht="15.75" customHeight="1">
      <c r="A237" s="62" t="s">
        <v>24</v>
      </c>
      <c r="B237" s="13" t="s">
        <v>215</v>
      </c>
      <c r="C237" s="13" t="s">
        <v>193</v>
      </c>
      <c r="D237" s="13" t="s">
        <v>901</v>
      </c>
      <c r="E237" s="13" t="s">
        <v>902</v>
      </c>
      <c r="F237" s="13" t="s">
        <v>1950</v>
      </c>
      <c r="G237" s="13" t="s">
        <v>904</v>
      </c>
    </row>
    <row r="238" ht="25.5" customHeight="1">
      <c r="A238" s="63" t="s">
        <v>111</v>
      </c>
      <c r="B238" s="63" t="s">
        <v>130</v>
      </c>
      <c r="C238" s="64" t="s">
        <v>1953</v>
      </c>
      <c r="D238" s="63" t="s">
        <v>78</v>
      </c>
      <c r="E238" s="63" t="s">
        <v>78</v>
      </c>
      <c r="F238" s="63" t="s">
        <v>78</v>
      </c>
      <c r="G238" s="63" t="s">
        <v>130</v>
      </c>
    </row>
    <row r="239" ht="15.75" customHeight="1">
      <c r="A239" s="65">
        <v>1.0</v>
      </c>
      <c r="B239" s="42"/>
      <c r="C239" s="39"/>
      <c r="D239" s="42"/>
      <c r="E239" s="42"/>
      <c r="F239" s="42"/>
      <c r="G239" s="42"/>
    </row>
    <row r="240" ht="15.75" customHeight="1">
      <c r="A240" s="65">
        <v>2.0</v>
      </c>
      <c r="B240" s="42"/>
      <c r="C240" s="39"/>
      <c r="D240" s="42"/>
      <c r="E240" s="42"/>
      <c r="F240" s="42"/>
      <c r="G240" s="42"/>
    </row>
    <row r="241" ht="15.75" customHeight="1">
      <c r="A241" s="65">
        <v>3.0</v>
      </c>
      <c r="B241" s="42"/>
      <c r="C241" s="39"/>
      <c r="D241" s="42"/>
      <c r="E241" s="42"/>
      <c r="F241" s="42"/>
      <c r="G241" s="42"/>
    </row>
    <row r="242" ht="15.75" customHeight="1">
      <c r="A242" s="65">
        <v>4.0</v>
      </c>
      <c r="B242" s="42"/>
      <c r="C242" s="39"/>
      <c r="D242" s="42"/>
      <c r="E242" s="42"/>
      <c r="F242" s="42"/>
      <c r="G242" s="42"/>
    </row>
    <row r="243" ht="15.75" customHeight="1"/>
    <row r="244" ht="21.75" customHeight="1">
      <c r="A244" s="33" t="s">
        <v>1955</v>
      </c>
      <c r="B244" s="8"/>
      <c r="C244" s="8"/>
      <c r="D244" s="8"/>
      <c r="E244" s="8"/>
      <c r="F244" s="8"/>
      <c r="G244" s="8"/>
      <c r="H244" s="8"/>
      <c r="I244" s="7"/>
    </row>
    <row r="245" ht="21.75" customHeight="1">
      <c r="A245" s="51">
        <v>26.0</v>
      </c>
      <c r="B245" s="52" t="s">
        <v>1958</v>
      </c>
      <c r="C245" s="53"/>
      <c r="D245" s="53"/>
      <c r="E245" s="54"/>
      <c r="F245" s="55" t="s">
        <v>178</v>
      </c>
      <c r="G245" s="71" t="s">
        <v>950</v>
      </c>
      <c r="H245" s="59" t="str">
        <f>IF(G245="",IF(COUNTA(B249:F252)&gt;0,"⚠ 상태 미선택(입력값 있음)","상태 미선택 → 미수집 간주"),IF(G245="값 있음",IF(COUNTA(B249:F252)=0,"⚠ 값 있음인데 입력값 없음","✓ 정상"),IF(COUNTA(B249:F252)&gt;0,"⚠ 상태와 입력값 불일치","✓ 정상")))</f>
        <v>✓ 정상</v>
      </c>
      <c r="I245" s="54"/>
    </row>
    <row r="246" ht="24.0" customHeight="1">
      <c r="B246" s="60" t="s">
        <v>1968</v>
      </c>
    </row>
    <row r="247" ht="15.75" customHeight="1">
      <c r="A247" s="62" t="s">
        <v>24</v>
      </c>
      <c r="B247" s="13" t="s">
        <v>931</v>
      </c>
      <c r="C247" s="13" t="s">
        <v>932</v>
      </c>
      <c r="D247" s="13" t="s">
        <v>1972</v>
      </c>
      <c r="E247" s="13" t="s">
        <v>934</v>
      </c>
      <c r="F247" s="13" t="s">
        <v>935</v>
      </c>
    </row>
    <row r="248" ht="37.5" customHeight="1">
      <c r="A248" s="63" t="s">
        <v>111</v>
      </c>
      <c r="B248" s="64" t="s">
        <v>1976</v>
      </c>
      <c r="C248" s="63" t="s">
        <v>78</v>
      </c>
      <c r="D248" s="63" t="s">
        <v>1977</v>
      </c>
      <c r="E248" s="64" t="s">
        <v>165</v>
      </c>
      <c r="F248" s="64" t="s">
        <v>165</v>
      </c>
    </row>
    <row r="249" ht="15.75" customHeight="1">
      <c r="A249" s="65">
        <v>1.0</v>
      </c>
      <c r="B249" s="42"/>
      <c r="C249" s="42"/>
      <c r="D249" s="42"/>
      <c r="E249" s="39"/>
      <c r="F249" s="39"/>
    </row>
    <row r="250" ht="15.75" customHeight="1">
      <c r="A250" s="65">
        <v>2.0</v>
      </c>
      <c r="B250" s="42"/>
      <c r="C250" s="42"/>
      <c r="D250" s="42"/>
      <c r="E250" s="39"/>
      <c r="F250" s="39"/>
    </row>
    <row r="251" ht="15.75" customHeight="1">
      <c r="A251" s="65">
        <v>3.0</v>
      </c>
      <c r="B251" s="42"/>
      <c r="C251" s="42"/>
      <c r="D251" s="42"/>
      <c r="E251" s="39"/>
      <c r="F251" s="39"/>
    </row>
    <row r="252" ht="15.75" customHeight="1">
      <c r="A252" s="65">
        <v>4.0</v>
      </c>
      <c r="B252" s="42"/>
      <c r="C252" s="42"/>
      <c r="D252" s="42"/>
      <c r="E252" s="39"/>
      <c r="F252" s="39"/>
    </row>
    <row r="253" ht="15.75" customHeight="1"/>
    <row r="254" ht="21.75" customHeight="1">
      <c r="A254" s="51">
        <v>27.0</v>
      </c>
      <c r="B254" s="52" t="s">
        <v>1987</v>
      </c>
      <c r="C254" s="53"/>
      <c r="D254" s="53"/>
      <c r="E254" s="54"/>
      <c r="F254" s="55" t="s">
        <v>178</v>
      </c>
      <c r="G254" s="71" t="s">
        <v>49</v>
      </c>
      <c r="H254" s="59" t="str">
        <f>IF(G254="",IF(COUNTA(B258:E262)&gt;0,"⚠ 상태 미선택(입력값 있음)","상태 미선택 → 미수집 간주"),IF(G254="값 있음",IF(COUNTA(B258:E262)=0,"⚠ 값 있음인데 입력값 없음","✓ 정상"),IF(COUNTA(B258:E262)&gt;0,"⚠ 상태와 입력값 불일치","✓ 정상")))</f>
        <v>✓ 정상</v>
      </c>
      <c r="I254" s="54"/>
    </row>
    <row r="255" ht="24.0" customHeight="1">
      <c r="B255" s="60" t="s">
        <v>1997</v>
      </c>
    </row>
    <row r="256" ht="15.75" customHeight="1">
      <c r="A256" s="62" t="s">
        <v>24</v>
      </c>
      <c r="B256" s="13" t="s">
        <v>954</v>
      </c>
      <c r="C256" s="13" t="s">
        <v>1998</v>
      </c>
      <c r="D256" s="13" t="s">
        <v>956</v>
      </c>
      <c r="E256" s="13" t="s">
        <v>957</v>
      </c>
    </row>
    <row r="257" ht="15.0" customHeight="1">
      <c r="A257" s="63" t="s">
        <v>111</v>
      </c>
      <c r="B257" s="63" t="s">
        <v>130</v>
      </c>
      <c r="C257" s="63" t="s">
        <v>130</v>
      </c>
      <c r="D257" s="63" t="s">
        <v>130</v>
      </c>
      <c r="E257" s="64" t="s">
        <v>165</v>
      </c>
    </row>
    <row r="258" ht="15.75" customHeight="1">
      <c r="A258" s="65">
        <v>1.0</v>
      </c>
      <c r="B258" s="42"/>
      <c r="C258" s="42"/>
      <c r="D258" s="42"/>
      <c r="E258" s="39"/>
    </row>
    <row r="259" ht="15.75" customHeight="1">
      <c r="A259" s="65">
        <v>2.0</v>
      </c>
      <c r="B259" s="42"/>
      <c r="C259" s="42"/>
      <c r="D259" s="42"/>
      <c r="E259" s="39"/>
    </row>
    <row r="260" ht="15.75" customHeight="1">
      <c r="A260" s="65">
        <v>3.0</v>
      </c>
      <c r="B260" s="42"/>
      <c r="C260" s="42"/>
      <c r="D260" s="42"/>
      <c r="E260" s="39"/>
    </row>
    <row r="261" ht="15.75" customHeight="1">
      <c r="A261" s="65">
        <v>4.0</v>
      </c>
      <c r="B261" s="42"/>
      <c r="C261" s="42"/>
      <c r="D261" s="42"/>
      <c r="E261" s="39"/>
    </row>
    <row r="262" ht="15.75" customHeight="1">
      <c r="A262" s="65">
        <v>5.0</v>
      </c>
      <c r="B262" s="42"/>
      <c r="C262" s="42"/>
      <c r="D262" s="42"/>
      <c r="E262" s="39"/>
    </row>
    <row r="263" ht="15.75" customHeight="1"/>
    <row r="264" ht="21.75" customHeight="1">
      <c r="A264" s="70">
        <v>28.0</v>
      </c>
      <c r="B264" s="72" t="s">
        <v>2001</v>
      </c>
      <c r="C264" s="53"/>
      <c r="D264" s="53"/>
      <c r="E264" s="54"/>
      <c r="F264" s="73" t="s">
        <v>178</v>
      </c>
      <c r="G264" s="71" t="s">
        <v>49</v>
      </c>
      <c r="H264" s="74" t="str">
        <f>IF(G264="",IF(COUNTA(B268:D269)&gt;0,"⚠ 상태 미선택(입력값 있음)","상태 미선택 → 미수집 간주"),IF(G264="값 있음",IF(COUNTA(B268:D269)=0,"⚠ 값 있음인데 입력값 없음","✓ 정상"),IF(COUNTA(B268:D269)&gt;0,"⚠ 상태와 입력값 불일치","✓ 정상")))</f>
        <v>✓ 정상</v>
      </c>
      <c r="I264" s="54"/>
    </row>
    <row r="265" ht="15.0" customHeight="1">
      <c r="B265" s="60" t="s">
        <v>2013</v>
      </c>
    </row>
    <row r="266" ht="15.75" customHeight="1">
      <c r="A266" s="62" t="s">
        <v>24</v>
      </c>
      <c r="B266" s="13" t="s">
        <v>931</v>
      </c>
      <c r="C266" s="13" t="s">
        <v>972</v>
      </c>
      <c r="D266" s="13" t="s">
        <v>974</v>
      </c>
    </row>
    <row r="267" ht="25.5" customHeight="1">
      <c r="A267" s="63" t="s">
        <v>111</v>
      </c>
      <c r="B267" s="63" t="s">
        <v>130</v>
      </c>
      <c r="C267" s="64" t="s">
        <v>2017</v>
      </c>
      <c r="D267" s="64" t="s">
        <v>977</v>
      </c>
    </row>
    <row r="268" ht="15.75" customHeight="1">
      <c r="A268" s="65">
        <v>1.0</v>
      </c>
      <c r="B268" s="42"/>
      <c r="C268" s="42"/>
      <c r="D268" s="39"/>
    </row>
    <row r="269" ht="15.75" customHeight="1">
      <c r="A269" s="65">
        <v>2.0</v>
      </c>
      <c r="B269" s="42"/>
      <c r="C269" s="42"/>
      <c r="D269" s="39"/>
    </row>
    <row r="270" ht="15.75" customHeight="1"/>
    <row r="271" ht="21.75" customHeight="1">
      <c r="A271" s="70">
        <v>29.0</v>
      </c>
      <c r="B271" s="80" t="s">
        <v>2019</v>
      </c>
      <c r="C271" s="53"/>
      <c r="D271" s="53"/>
      <c r="E271" s="54"/>
      <c r="F271" s="73" t="s">
        <v>178</v>
      </c>
      <c r="G271" s="71" t="s">
        <v>47</v>
      </c>
      <c r="H271" s="74" t="str">
        <f>IF(G271="",IF(COUNTA(C273:C277)&gt;0,"⚠ 상태 미선택(입력값 있음)","상태 미선택 → 미수집 간주"),IF(G271="값 있음",IF(COUNTA(C273:C277)=0,"⚠ 값 있음인데 입력값 없음","✓ 정상"),IF(COUNTA(C273:C277)&gt;0,"⚠ 상태와 입력값 불일치","✓ 정상")))</f>
        <v>✓ 정상</v>
      </c>
      <c r="I271" s="54"/>
    </row>
    <row r="272" ht="24.0" customHeight="1">
      <c r="B272" s="60" t="s">
        <v>2026</v>
      </c>
    </row>
    <row r="273" ht="15.75" customHeight="1">
      <c r="B273" s="17" t="s">
        <v>993</v>
      </c>
      <c r="C273" s="69" t="s">
        <v>1231</v>
      </c>
      <c r="D273" s="40" t="s">
        <v>147</v>
      </c>
      <c r="E273" s="50" t="s">
        <v>2028</v>
      </c>
    </row>
    <row r="274" ht="15.75" customHeight="1">
      <c r="B274" s="17" t="s">
        <v>998</v>
      </c>
      <c r="C274" s="69" t="s">
        <v>1231</v>
      </c>
      <c r="D274" s="40" t="s">
        <v>147</v>
      </c>
      <c r="E274" s="50" t="s">
        <v>2032</v>
      </c>
    </row>
    <row r="275" ht="15.75" customHeight="1">
      <c r="B275" s="17" t="s">
        <v>1002</v>
      </c>
      <c r="C275" s="69" t="s">
        <v>1231</v>
      </c>
      <c r="D275" s="40" t="s">
        <v>147</v>
      </c>
      <c r="E275" s="50" t="s">
        <v>2036</v>
      </c>
    </row>
    <row r="276" ht="15.75" customHeight="1">
      <c r="B276" s="9" t="s">
        <v>2040</v>
      </c>
      <c r="C276" s="69" t="s">
        <v>1231</v>
      </c>
      <c r="D276" s="40" t="s">
        <v>147</v>
      </c>
      <c r="E276" s="50" t="s">
        <v>2043</v>
      </c>
    </row>
    <row r="277" ht="15.75" customHeight="1">
      <c r="B277" s="17" t="s">
        <v>1007</v>
      </c>
      <c r="C277" s="69" t="s">
        <v>1231</v>
      </c>
      <c r="D277" s="40" t="s">
        <v>147</v>
      </c>
      <c r="E277" s="50" t="s">
        <v>2044</v>
      </c>
    </row>
    <row r="278" ht="15.75" customHeight="1"/>
    <row r="279" ht="21.75" customHeight="1">
      <c r="A279" s="70">
        <v>30.0</v>
      </c>
      <c r="B279" s="72" t="s">
        <v>743</v>
      </c>
      <c r="C279" s="53"/>
      <c r="D279" s="53"/>
      <c r="E279" s="54"/>
      <c r="F279" s="73" t="s">
        <v>178</v>
      </c>
      <c r="G279" s="71" t="s">
        <v>47</v>
      </c>
      <c r="H279" s="74" t="str">
        <f>IF(G279="",IF(COUNTA(C281:C283)&gt;0,"⚠ 상태 미선택(입력값 있음)","상태 미선택 → 미수집 간주"),IF(G279="값 있음",IF(COUNTA(C281:C283)=0,"⚠ 값 있음인데 입력값 없음","✓ 정상"),IF(COUNTA(C281:C283)&gt;0,"⚠ 상태와 입력값 불일치","✓ 정상")))</f>
        <v>✓ 정상</v>
      </c>
      <c r="I279" s="54"/>
    </row>
    <row r="280" ht="15.0" customHeight="1">
      <c r="B280" s="60" t="s">
        <v>2050</v>
      </c>
    </row>
    <row r="281" ht="15.75" customHeight="1">
      <c r="B281" s="17" t="s">
        <v>2052</v>
      </c>
      <c r="C281" s="42">
        <v>12.0</v>
      </c>
      <c r="D281" s="40" t="s">
        <v>78</v>
      </c>
      <c r="E281" s="41"/>
    </row>
    <row r="282" ht="15.75" customHeight="1">
      <c r="B282" s="17" t="s">
        <v>2053</v>
      </c>
      <c r="C282" s="42">
        <v>90.0</v>
      </c>
      <c r="D282" s="40" t="s">
        <v>78</v>
      </c>
      <c r="E282" s="41" t="s">
        <v>2054</v>
      </c>
    </row>
    <row r="283" ht="15.75" customHeight="1">
      <c r="B283" s="17" t="s">
        <v>1037</v>
      </c>
      <c r="C283" s="39" t="s">
        <v>1075</v>
      </c>
      <c r="D283" s="49" t="s">
        <v>165</v>
      </c>
      <c r="E283" s="41"/>
    </row>
    <row r="284" ht="15.75" customHeight="1"/>
    <row r="285" ht="21.75" customHeight="1">
      <c r="A285" s="33" t="s">
        <v>2056</v>
      </c>
      <c r="B285" s="8"/>
      <c r="C285" s="8"/>
      <c r="D285" s="8"/>
      <c r="E285" s="8"/>
      <c r="F285" s="8"/>
      <c r="G285" s="8"/>
      <c r="H285" s="8"/>
      <c r="I285" s="7"/>
    </row>
    <row r="286" ht="21.75" customHeight="1">
      <c r="A286" s="70">
        <v>31.0</v>
      </c>
      <c r="B286" s="80" t="s">
        <v>2057</v>
      </c>
      <c r="C286" s="53"/>
      <c r="D286" s="53"/>
      <c r="E286" s="54"/>
      <c r="F286" s="73" t="s">
        <v>178</v>
      </c>
      <c r="G286" s="71" t="s">
        <v>47</v>
      </c>
      <c r="H286" s="74" t="str">
        <f>IF(G286="",IF(COUNTA(C288,B291:D296)&gt;0,"⚠ 상태 미선택(입력값 있음)","상태 미선택 → 미수집 간주"),IF(G286="값 있음",IF(COUNTA(C288,B291:D296)=0,"⚠ 값 있음인데 입력값 없음","✓ 정상"),IF(COUNTA(C288,B291:D296)&gt;0,"⚠ 상태와 입력값 불일치","✓ 정상")))</f>
        <v>✓ 정상</v>
      </c>
      <c r="I286" s="54"/>
    </row>
    <row r="287" ht="24.0" customHeight="1">
      <c r="B287" s="60" t="s">
        <v>2069</v>
      </c>
    </row>
    <row r="288" ht="15.75" customHeight="1">
      <c r="B288" s="17" t="s">
        <v>1058</v>
      </c>
      <c r="C288" s="39" t="s">
        <v>2071</v>
      </c>
      <c r="D288" s="49" t="s">
        <v>165</v>
      </c>
      <c r="E288" s="41"/>
    </row>
    <row r="289" ht="15.75" customHeight="1">
      <c r="A289" s="62" t="s">
        <v>24</v>
      </c>
      <c r="B289" s="13" t="s">
        <v>1059</v>
      </c>
      <c r="C289" s="13" t="s">
        <v>1060</v>
      </c>
      <c r="D289" s="13" t="s">
        <v>902</v>
      </c>
    </row>
    <row r="290" ht="15.0" customHeight="1">
      <c r="A290" s="63" t="s">
        <v>111</v>
      </c>
      <c r="B290" s="63" t="s">
        <v>1061</v>
      </c>
      <c r="C290" s="63" t="s">
        <v>78</v>
      </c>
      <c r="D290" s="63" t="s">
        <v>78</v>
      </c>
    </row>
    <row r="291" ht="15.75" customHeight="1">
      <c r="A291" s="65">
        <v>1.0</v>
      </c>
      <c r="B291" s="69" t="s">
        <v>1097</v>
      </c>
      <c r="C291" s="42">
        <v>3.4</v>
      </c>
      <c r="D291" s="42">
        <v>5.0</v>
      </c>
    </row>
    <row r="292" ht="15.75" customHeight="1">
      <c r="A292" s="65">
        <v>2.0</v>
      </c>
      <c r="B292" s="69" t="s">
        <v>1099</v>
      </c>
      <c r="C292" s="42">
        <v>3.2</v>
      </c>
      <c r="D292" s="42">
        <v>5.0</v>
      </c>
    </row>
    <row r="293" ht="15.75" customHeight="1">
      <c r="A293" s="65">
        <v>3.0</v>
      </c>
      <c r="B293" s="69" t="s">
        <v>1101</v>
      </c>
      <c r="C293" s="42">
        <v>3.6</v>
      </c>
      <c r="D293" s="42">
        <v>5.0</v>
      </c>
    </row>
    <row r="294" ht="15.75" customHeight="1">
      <c r="A294" s="65">
        <v>4.0</v>
      </c>
      <c r="B294" s="69" t="s">
        <v>1102</v>
      </c>
      <c r="C294" s="42">
        <v>3.8</v>
      </c>
      <c r="D294" s="42">
        <v>5.0</v>
      </c>
    </row>
    <row r="295" ht="15.75" customHeight="1">
      <c r="A295" s="65">
        <v>5.0</v>
      </c>
      <c r="B295" s="69" t="s">
        <v>418</v>
      </c>
      <c r="C295" s="42">
        <v>2.9</v>
      </c>
      <c r="D295" s="42">
        <v>5.0</v>
      </c>
    </row>
    <row r="296" ht="15.75" customHeight="1">
      <c r="A296" s="65">
        <v>6.0</v>
      </c>
      <c r="B296" s="69" t="s">
        <v>1104</v>
      </c>
      <c r="C296" s="42">
        <v>3.5</v>
      </c>
      <c r="D296" s="42">
        <v>5.0</v>
      </c>
    </row>
    <row r="297" ht="15.75" customHeight="1"/>
    <row r="298" ht="21.75" customHeight="1">
      <c r="A298" s="70">
        <v>32.0</v>
      </c>
      <c r="B298" s="72" t="s">
        <v>786</v>
      </c>
      <c r="C298" s="53"/>
      <c r="D298" s="53"/>
      <c r="E298" s="54"/>
      <c r="F298" s="73" t="s">
        <v>178</v>
      </c>
      <c r="G298" s="71" t="s">
        <v>47</v>
      </c>
      <c r="H298" s="74" t="str">
        <f>IF(G298="",IF(COUNTA(C300:C303)&gt;0,"⚠ 상태 미선택(입력값 있음)","상태 미선택 → 미수집 간주"),IF(G298="값 있음",IF(COUNTA(C300:C303)=0,"⚠ 값 있음인데 입력값 없음","✓ 정상"),IF(COUNTA(C300:C303)&gt;0,"⚠ 상태와 입력값 불일치","✓ 정상")))</f>
        <v>✓ 정상</v>
      </c>
      <c r="I298" s="54"/>
    </row>
    <row r="299" ht="15.0" customHeight="1">
      <c r="B299" s="60" t="s">
        <v>2082</v>
      </c>
    </row>
    <row r="300" ht="15.75" customHeight="1">
      <c r="B300" s="17" t="s">
        <v>1058</v>
      </c>
      <c r="C300" s="39" t="s">
        <v>2071</v>
      </c>
      <c r="D300" s="49" t="s">
        <v>165</v>
      </c>
      <c r="E300" s="41"/>
    </row>
    <row r="301" ht="15.75" customHeight="1">
      <c r="B301" s="17" t="s">
        <v>1077</v>
      </c>
      <c r="C301" s="42">
        <v>64.0</v>
      </c>
      <c r="D301" s="40" t="s">
        <v>78</v>
      </c>
      <c r="E301" s="41"/>
    </row>
    <row r="302" ht="15.75" customHeight="1">
      <c r="B302" s="17" t="s">
        <v>902</v>
      </c>
      <c r="C302" s="42">
        <v>100.0</v>
      </c>
      <c r="D302" s="40" t="s">
        <v>78</v>
      </c>
      <c r="E302" s="41"/>
    </row>
    <row r="303" ht="30.0" customHeight="1">
      <c r="B303" s="17" t="s">
        <v>1079</v>
      </c>
      <c r="C303" s="69" t="s">
        <v>2084</v>
      </c>
      <c r="D303" s="40" t="s">
        <v>130</v>
      </c>
      <c r="E303" s="41" t="s">
        <v>1080</v>
      </c>
    </row>
    <row r="304" ht="15.75" customHeight="1"/>
    <row r="305" ht="21.75" customHeight="1">
      <c r="A305" s="76">
        <v>33.0</v>
      </c>
      <c r="B305" s="77" t="s">
        <v>2086</v>
      </c>
      <c r="C305" s="53"/>
      <c r="D305" s="53"/>
      <c r="E305" s="54"/>
      <c r="F305" s="78" t="s">
        <v>178</v>
      </c>
      <c r="G305" s="71" t="s">
        <v>47</v>
      </c>
      <c r="H305" s="79" t="str">
        <f>IF(G305="",IF(COUNTA(B309:G311)&gt;0,"⚠ 상태 미선택(입력값 있음)","상태 미선택 → 미수집 간주"),IF(G305="값 있음",IF(COUNTA(B309:G311)=0,"⚠ 값 있음인데 입력값 없음","✓ 정상"),IF(COUNTA(B309:G311)&gt;0,"⚠ 상태와 입력값 불일치","✓ 정상")))</f>
        <v>✓ 정상</v>
      </c>
      <c r="I305" s="54"/>
    </row>
    <row r="306" ht="24.0" customHeight="1">
      <c r="B306" s="60" t="s">
        <v>2090</v>
      </c>
    </row>
    <row r="307" ht="15.75" customHeight="1">
      <c r="A307" s="62" t="s">
        <v>24</v>
      </c>
      <c r="B307" s="13" t="s">
        <v>2091</v>
      </c>
      <c r="C307" s="13" t="s">
        <v>1090</v>
      </c>
      <c r="D307" s="13" t="s">
        <v>2092</v>
      </c>
      <c r="E307" s="13" t="s">
        <v>2093</v>
      </c>
      <c r="F307" s="13" t="s">
        <v>2094</v>
      </c>
      <c r="G307" s="13" t="s">
        <v>2095</v>
      </c>
    </row>
    <row r="308" ht="15.0" customHeight="1">
      <c r="A308" s="63" t="s">
        <v>111</v>
      </c>
      <c r="B308" s="63" t="s">
        <v>2098</v>
      </c>
      <c r="C308" s="63" t="s">
        <v>130</v>
      </c>
      <c r="D308" s="63" t="s">
        <v>525</v>
      </c>
      <c r="E308" s="63" t="s">
        <v>525</v>
      </c>
      <c r="F308" s="63" t="s">
        <v>525</v>
      </c>
      <c r="G308" s="63" t="s">
        <v>2099</v>
      </c>
    </row>
    <row r="309" ht="60.0" customHeight="1">
      <c r="A309" s="65">
        <v>1.0</v>
      </c>
      <c r="B309" s="42">
        <v>22.0</v>
      </c>
      <c r="C309" s="69" t="s">
        <v>1888</v>
      </c>
      <c r="D309" s="69" t="s">
        <v>2102</v>
      </c>
      <c r="E309" s="69" t="s">
        <v>2103</v>
      </c>
      <c r="F309" s="69" t="s">
        <v>2104</v>
      </c>
      <c r="G309" s="69" t="s">
        <v>2105</v>
      </c>
    </row>
    <row r="310" ht="60.0" customHeight="1">
      <c r="A310" s="65">
        <v>2.0</v>
      </c>
      <c r="B310" s="42"/>
      <c r="C310" s="42"/>
      <c r="D310" s="42"/>
      <c r="E310" s="42"/>
      <c r="F310" s="42"/>
      <c r="G310" s="42"/>
    </row>
    <row r="311" ht="60.0" customHeight="1">
      <c r="A311" s="65">
        <v>3.0</v>
      </c>
      <c r="B311" s="42"/>
      <c r="C311" s="42"/>
      <c r="D311" s="42"/>
      <c r="E311" s="42"/>
      <c r="F311" s="42"/>
      <c r="G311" s="42"/>
    </row>
    <row r="312" ht="15.75" customHeight="1"/>
    <row r="313" ht="21.75" customHeight="1">
      <c r="A313" s="76">
        <v>34.0</v>
      </c>
      <c r="B313" s="77" t="s">
        <v>826</v>
      </c>
      <c r="C313" s="53"/>
      <c r="D313" s="53"/>
      <c r="E313" s="54"/>
      <c r="F313" s="78" t="s">
        <v>178</v>
      </c>
      <c r="G313" s="71" t="s">
        <v>950</v>
      </c>
      <c r="H313" s="79" t="str">
        <f>IF(G313="",IF(COUNTA(B317:F318)&gt;0,"⚠ 상태 미선택(입력값 있음)","상태 미선택 → 미수집 간주"),IF(G313="값 있음",IF(COUNTA(B317:F318)=0,"⚠ 값 있음인데 입력값 없음","✓ 정상"),IF(COUNTA(B317:F318)&gt;0,"⚠ 상태와 입력값 불일치","✓ 정상")))</f>
        <v>✓ 정상</v>
      </c>
      <c r="I313" s="54"/>
    </row>
    <row r="314" ht="15.0" customHeight="1">
      <c r="B314" s="60" t="s">
        <v>2112</v>
      </c>
    </row>
    <row r="315" ht="15.75" customHeight="1">
      <c r="A315" s="62" t="s">
        <v>24</v>
      </c>
      <c r="B315" s="13" t="s">
        <v>2115</v>
      </c>
      <c r="C315" s="13" t="s">
        <v>1112</v>
      </c>
      <c r="D315" s="13" t="s">
        <v>1114</v>
      </c>
      <c r="E315" s="13" t="s">
        <v>1115</v>
      </c>
      <c r="F315" s="13" t="s">
        <v>1116</v>
      </c>
    </row>
    <row r="316" ht="15.0" customHeight="1">
      <c r="A316" s="63" t="s">
        <v>111</v>
      </c>
      <c r="B316" s="63" t="s">
        <v>130</v>
      </c>
      <c r="C316" s="64" t="s">
        <v>2126</v>
      </c>
      <c r="D316" s="63" t="s">
        <v>130</v>
      </c>
      <c r="E316" s="63" t="s">
        <v>525</v>
      </c>
      <c r="F316" s="64" t="s">
        <v>165</v>
      </c>
    </row>
    <row r="317" ht="36.0" customHeight="1">
      <c r="A317" s="65">
        <v>1.0</v>
      </c>
      <c r="B317" s="42"/>
      <c r="C317" s="42"/>
      <c r="D317" s="42"/>
      <c r="E317" s="42"/>
      <c r="F317" s="39"/>
    </row>
    <row r="318" ht="36.0" customHeight="1">
      <c r="A318" s="65">
        <v>2.0</v>
      </c>
      <c r="B318" s="42"/>
      <c r="C318" s="42"/>
      <c r="D318" s="42"/>
      <c r="E318" s="42"/>
      <c r="F318" s="39"/>
    </row>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4">
    <mergeCell ref="A1:I1"/>
    <mergeCell ref="A2:I2"/>
    <mergeCell ref="F3:I3"/>
    <mergeCell ref="A5:I5"/>
    <mergeCell ref="E6:I6"/>
    <mergeCell ref="E7:I7"/>
    <mergeCell ref="E8:I8"/>
    <mergeCell ref="E9:I9"/>
    <mergeCell ref="E10:I10"/>
    <mergeCell ref="E11:I11"/>
    <mergeCell ref="E12:I12"/>
    <mergeCell ref="E13:I13"/>
    <mergeCell ref="E14:I14"/>
    <mergeCell ref="E15:I15"/>
    <mergeCell ref="E16:I16"/>
    <mergeCell ref="E17:I17"/>
    <mergeCell ref="E18:I18"/>
    <mergeCell ref="E19:I19"/>
    <mergeCell ref="E20:I20"/>
    <mergeCell ref="A22:I22"/>
    <mergeCell ref="H23:I23"/>
    <mergeCell ref="B23:E23"/>
    <mergeCell ref="B24:I24"/>
    <mergeCell ref="E25:I25"/>
    <mergeCell ref="E26:I26"/>
    <mergeCell ref="E27:I27"/>
    <mergeCell ref="H39:I39"/>
    <mergeCell ref="B40:I40"/>
    <mergeCell ref="B39:E39"/>
    <mergeCell ref="B49:E49"/>
    <mergeCell ref="H49:I49"/>
    <mergeCell ref="B50:I50"/>
    <mergeCell ref="E51:I51"/>
    <mergeCell ref="E52:I52"/>
    <mergeCell ref="H60:I60"/>
    <mergeCell ref="B60:E60"/>
    <mergeCell ref="B61:I61"/>
    <mergeCell ref="E62:I62"/>
    <mergeCell ref="E63:I63"/>
    <mergeCell ref="E64:I64"/>
    <mergeCell ref="A66:I66"/>
    <mergeCell ref="H67:I67"/>
    <mergeCell ref="B67:E67"/>
    <mergeCell ref="B68:I68"/>
    <mergeCell ref="E69:I69"/>
    <mergeCell ref="E70:I70"/>
    <mergeCell ref="E71:I71"/>
    <mergeCell ref="E72:I72"/>
    <mergeCell ref="E73:I73"/>
    <mergeCell ref="E74:I74"/>
    <mergeCell ref="B76:E76"/>
    <mergeCell ref="H76:I76"/>
    <mergeCell ref="B77:I77"/>
    <mergeCell ref="E78:I78"/>
    <mergeCell ref="E79:I79"/>
    <mergeCell ref="E80:I80"/>
    <mergeCell ref="E81:I81"/>
    <mergeCell ref="B83:E83"/>
    <mergeCell ref="H83:I83"/>
    <mergeCell ref="B84:I84"/>
    <mergeCell ref="E85:I85"/>
    <mergeCell ref="E86:I86"/>
    <mergeCell ref="E87:I87"/>
    <mergeCell ref="E88:I88"/>
    <mergeCell ref="A90:I90"/>
    <mergeCell ref="B91:E91"/>
    <mergeCell ref="H91:I91"/>
    <mergeCell ref="B92:I92"/>
    <mergeCell ref="H100:I100"/>
    <mergeCell ref="B101:I101"/>
    <mergeCell ref="B100:E100"/>
    <mergeCell ref="B108:E108"/>
    <mergeCell ref="H108:I108"/>
    <mergeCell ref="B109:I109"/>
    <mergeCell ref="A116:I116"/>
    <mergeCell ref="H117:I117"/>
    <mergeCell ref="B118:I118"/>
    <mergeCell ref="B117:E117"/>
    <mergeCell ref="B125:E125"/>
    <mergeCell ref="H125:I125"/>
    <mergeCell ref="B126:I126"/>
    <mergeCell ref="B133:E133"/>
    <mergeCell ref="H133:I133"/>
    <mergeCell ref="B134:I134"/>
    <mergeCell ref="E135:I135"/>
    <mergeCell ref="E136:I136"/>
    <mergeCell ref="E137:I137"/>
    <mergeCell ref="E138:I138"/>
    <mergeCell ref="A140:I140"/>
    <mergeCell ref="H141:I141"/>
    <mergeCell ref="B142:I142"/>
    <mergeCell ref="B141:E141"/>
    <mergeCell ref="B151:E151"/>
    <mergeCell ref="H151:I151"/>
    <mergeCell ref="B152:I152"/>
    <mergeCell ref="B158:E158"/>
    <mergeCell ref="H158:I158"/>
    <mergeCell ref="B159:I159"/>
    <mergeCell ref="B264:E264"/>
    <mergeCell ref="B265:I265"/>
    <mergeCell ref="B271:E271"/>
    <mergeCell ref="H271:I271"/>
    <mergeCell ref="B272:I272"/>
    <mergeCell ref="E273:I273"/>
    <mergeCell ref="E274:I274"/>
    <mergeCell ref="E275:I275"/>
    <mergeCell ref="E276:I276"/>
    <mergeCell ref="E277:I277"/>
    <mergeCell ref="B279:E279"/>
    <mergeCell ref="H279:I279"/>
    <mergeCell ref="B280:I280"/>
    <mergeCell ref="E281:I281"/>
    <mergeCell ref="B305:E305"/>
    <mergeCell ref="H305:I305"/>
    <mergeCell ref="B306:I306"/>
    <mergeCell ref="B313:E313"/>
    <mergeCell ref="H313:I313"/>
    <mergeCell ref="B314:I314"/>
    <mergeCell ref="B298:E298"/>
    <mergeCell ref="H298:I298"/>
    <mergeCell ref="B299:I299"/>
    <mergeCell ref="E300:I300"/>
    <mergeCell ref="E301:I301"/>
    <mergeCell ref="E302:I302"/>
    <mergeCell ref="E303:I303"/>
    <mergeCell ref="A165:I165"/>
    <mergeCell ref="B166:E166"/>
    <mergeCell ref="H166:I166"/>
    <mergeCell ref="B167:I167"/>
    <mergeCell ref="B174:E174"/>
    <mergeCell ref="H174:I174"/>
    <mergeCell ref="B175:I175"/>
    <mergeCell ref="E176:I176"/>
    <mergeCell ref="E177:I177"/>
    <mergeCell ref="E178:I178"/>
    <mergeCell ref="A180:I180"/>
    <mergeCell ref="B181:E181"/>
    <mergeCell ref="H181:I181"/>
    <mergeCell ref="B182:I182"/>
    <mergeCell ref="B190:E190"/>
    <mergeCell ref="H190:I190"/>
    <mergeCell ref="B191:I191"/>
    <mergeCell ref="B198:E198"/>
    <mergeCell ref="H198:I198"/>
    <mergeCell ref="B199:I199"/>
    <mergeCell ref="A207:I207"/>
    <mergeCell ref="B208:E208"/>
    <mergeCell ref="H208:I208"/>
    <mergeCell ref="B209:I209"/>
    <mergeCell ref="B217:E217"/>
    <mergeCell ref="H217:I217"/>
    <mergeCell ref="B218:I218"/>
    <mergeCell ref="E219:I219"/>
    <mergeCell ref="B227:E227"/>
    <mergeCell ref="H227:I227"/>
    <mergeCell ref="B228:I228"/>
    <mergeCell ref="B235:E235"/>
    <mergeCell ref="H235:I235"/>
    <mergeCell ref="B236:I236"/>
    <mergeCell ref="A244:I244"/>
    <mergeCell ref="B245:E245"/>
    <mergeCell ref="H245:I245"/>
    <mergeCell ref="B246:I246"/>
    <mergeCell ref="B254:E254"/>
    <mergeCell ref="H254:I254"/>
    <mergeCell ref="B255:I255"/>
    <mergeCell ref="H264:I264"/>
    <mergeCell ref="E282:I282"/>
    <mergeCell ref="E283:I283"/>
    <mergeCell ref="A285:I285"/>
    <mergeCell ref="B286:E286"/>
    <mergeCell ref="H286:I286"/>
    <mergeCell ref="B287:I287"/>
    <mergeCell ref="E288:I288"/>
  </mergeCells>
  <conditionalFormatting sqref="H5:H1000">
    <cfRule type="expression" dxfId="5" priority="1">
      <formula>LEFT(H5,1)="✓"</formula>
    </cfRule>
  </conditionalFormatting>
  <conditionalFormatting sqref="H5:H1000">
    <cfRule type="expression" dxfId="6" priority="2">
      <formula>LEFT(H5,2)="상태"</formula>
    </cfRule>
  </conditionalFormatting>
  <dataValidations>
    <dataValidation type="list" allowBlank="1" showInputMessage="1" showErrorMessage="1" prompt="허용값 아님 - 목록에서 선택해 주세요: 논문,보고서,학술발표자료" sqref="B104:B106">
      <formula1>"논문,보고서,학술발표자료"</formula1>
    </dataValidation>
    <dataValidation type="list" allowBlank="1" showInputMessage="1" showErrorMessage="1" prompt="허용값 아님 - 목록에서 선택해 주세요: 신청,이수중,이수완료" sqref="D55:D58">
      <formula1>"신청,이수중,이수완료"</formula1>
    </dataValidation>
    <dataValidation type="list" allowBlank="1" showInputMessage="1" showErrorMessage="1" prompt="허용값 아님 - 목록에서 선택해 주세요: 교과,비교과,3품(AI)" sqref="B185:B188">
      <formula1>"교과,비교과,3품(AI)"</formula1>
    </dataValidation>
    <dataValidation type="list" allowBlank="1" showInputMessage="1" showErrorMessage="1" prompt="허용값 아님 - 목록에서 선택해 주세요: 참가,입선,장려,우수,최우수,대상" sqref="E145:E149">
      <formula1>"참가,입선,장려,우수,최우수,대상"</formula1>
    </dataValidation>
    <dataValidation type="list" allowBlank="1" showInputMessage="1" showErrorMessage="1" prompt="허용값 아님 - 목록에서 선택해 주세요: TOEIC,TOEFL iBT,TOEIC Speaking,OPIc,HSK,JPT,JLPT,DELF/DALF,DELE,기타" sqref="B249:B252">
      <formula1>"TOEIC,TOEFL iBT,TOEIC Speaking,OPIc,HSK,JPT,JLPT,DELF/DALF,DELE,기타"</formula1>
    </dataValidation>
    <dataValidation type="list" allowBlank="1" showInputMessage="1" showErrorMessage="1" prompt="허용값 아님 - 목록에서 선택해 주세요: Y,N" sqref="C17 C20 I121:I123 C136 G170:G172">
      <formula1>"Y,N"</formula1>
    </dataValidation>
    <dataValidation type="list" allowBlank="1" showInputMessage="1" showErrorMessage="1" prompt="허용값 아님 - 목록에서 선택해 주세요: 지도교수,수업 담당교수" sqref="C317:C318">
      <formula1>"지도교수,수업 담당교수"</formula1>
    </dataValidation>
    <dataValidation type="list" allowBlank="1" showInputMessage="1" showErrorMessage="1" prompt="허용값 아님 - 목록에서 선택해 주세요: 튜터,튜티,멘토,멘티,스터디,학습공동체" sqref="B231:B233">
      <formula1>"튜터,튜티,멘토,멘티,스터디,학습공동체"</formula1>
    </dataValidation>
    <dataValidation type="list" allowBlank="1" showInputMessage="1" showErrorMessage="1" prompt="허용값 아님 - 목록에서 선택해 주세요: 학부,석사,박사,석박통합" sqref="C13">
      <formula1>"학부,석사,박사,석박통합"</formula1>
    </dataValidation>
    <dataValidation type="list" allowBlank="1" showInputMessage="1" showErrorMessage="1" prompt="허용값 아님 - 목록에서 선택해 주세요: 출원,등록" sqref="D162:D163">
      <formula1>"출원,등록"</formula1>
    </dataValidation>
    <dataValidation type="list" allowBlank="1" showInputMessage="1" showErrorMessage="1" prompt="허용값 아님 - 목록에서 선택해 주세요: 특허,실용신안,디자인,SW등록" sqref="B162:B163">
      <formula1>"특허,실용신안,디자인,SW등록"</formula1>
    </dataValidation>
    <dataValidation type="list" allowBlank="1" showInputMessage="1" showErrorMessage="1" prompt="허용값 아님 - 목록에서 선택해 주세요: 값 있음,활동 없음,미수집,해당 없음" sqref="G23 G39 G49 G60 G67 G76 G83 G91 G100 G108 G117 G125 G133 G141 G151 G158 G166 G174 G181 G190 G198 G208 G217 G227 G235 G245 G254 G264 G271 G279 G286 G298 G305 G313">
      <formula1>"값 있음,활동 없음,미수집,해당 없음"</formula1>
    </dataValidation>
    <dataValidation type="list" allowBlank="1" showInputMessage="1" showErrorMessage="1" prompt="허용값 아님 - 목록에서 선택해 주세요: 주전공,복수전공,부전공,연계전공,융합전공,심화전공" sqref="B55:B58">
      <formula1>"주전공,복수전공,부전공,연계전공,융합전공,심화전공"</formula1>
    </dataValidation>
    <dataValidation type="list" allowBlank="1" showInputMessage="1" showErrorMessage="1" prompt="허용값 아님 - 목록에서 선택해 주세요: 교내,교외(국내),국외,유학생 봉사" sqref="B222:B225">
      <formula1>"교내,교외(국내),국외,유학생 봉사"</formula1>
    </dataValidation>
    <dataValidation type="list" allowBlank="1" showInputMessage="1" showErrorMessage="1" prompt="허용값 아님 - 목록에서 선택해 주세요: 이수중,이수완료,미이수,포기" sqref="C64">
      <formula1>"이수중,이수완료,미이수,포기"</formula1>
    </dataValidation>
    <dataValidation type="list" allowBlank="1" showInputMessage="1" showErrorMessage="1" prompt="허용값 아님 - 목록에서 선택해 주세요: 관련,일부 관련,무관" sqref="H121:H123">
      <formula1>"관련,일부 관련,무관"</formula1>
    </dataValidation>
    <dataValidation type="list" allowBlank="1" showInputMessage="1" showErrorMessage="1" prompt="허용값 아님 - 목록에서 선택해 주세요: 시스템 연동,학생 직접 입력,혼합" sqref="C19">
      <formula1>"시스템 연동,학생 직접 입력,혼합"</formula1>
    </dataValidation>
    <dataValidation type="list" allowBlank="1" showInputMessage="1" showErrorMessage="1" prompt="허용값 아님 - 목록에서 선택해 주세요: 국제학술지,국내학술지,국제학술대회,국내학술대회,교내" sqref="D104:D106">
      <formula1>"국제학술지,국내학술지,국제학술대회,국내학술대회,교내"</formula1>
    </dataValidation>
    <dataValidation type="list" allowBlank="1" showInputMessage="1" showErrorMessage="1" prompt="허용값 아님 - 목록에서 선택해 주세요: 게재,게재승인,투고,작성중" sqref="E104:E106">
      <formula1>"게재,게재승인,투고,작성중"</formula1>
    </dataValidation>
    <dataValidation type="list" allowBlank="1" showInputMessage="1" showErrorMessage="1" prompt="허용값 아님 - 목록에서 선택해 주세요: 이수,수강중,미이수" sqref="F185:F188">
      <formula1>"이수,수강중,미이수"</formula1>
    </dataValidation>
    <dataValidation type="list" allowBlank="1" showInputMessage="1" showErrorMessage="1" prompt="허용값 아님 - 목록에서 선택해 주세요: 신입학,편입학,재입학" sqref="C14">
      <formula1>"신입학,편입학,재입학"</formula1>
    </dataValidation>
    <dataValidation type="list" allowBlank="1" showInputMessage="1" showErrorMessage="1" prompt="허용값 아님 - 목록에서 선택해 주세요: 창업교과목,창업경진대회,사업자등록,창업동아리" sqref="B155:B156">
      <formula1>"창업교과목,창업경진대회,사업자등록,창업동아리"</formula1>
    </dataValidation>
    <dataValidation type="list" allowBlank="1" showInputMessage="1" showErrorMessage="1" prompt="허용값 아님 - 목록에서 선택해 주세요: 고용보험,재직·경력증명,없음" sqref="F129:F131">
      <formula1>"고용보험,재직·경력증명,없음"</formula1>
    </dataValidation>
    <dataValidation type="list" allowBlank="1" showInputMessage="1" showErrorMessage="1" prompt="허용값 아님 - 목록에서 선택해 주세요: 발표형,토론형,과제·보고서형,PBL형" sqref="D43:D47">
      <formula1>"발표형,토론형,과제·보고서형,PBL형"</formula1>
    </dataValidation>
    <dataValidation type="list" allowBlank="1" showInputMessage="1" showErrorMessage="1" prompt="허용값 아님 - 목록에서 선택해 주세요: A+,A0,B+,B0,C+,C0,D+,D0,F,P" sqref="E43:E47">
      <formula1>"A+,A0,B+,B0,C+,C0,D+,D0,F,P"</formula1>
    </dataValidation>
    <dataValidation type="list" allowBlank="1" showInputMessage="1" showErrorMessage="1" prompt="허용값 아님 - 목록에서 선택해 주세요: 교환학생,어학연수,해외봉사,국제연구,국제문화체험,해외학습" sqref="B170:B172">
      <formula1>"교환학생,어학연수,해외봉사,국제연구,국제문화체험,해외학습"</formula1>
    </dataValidation>
    <dataValidation type="list" allowBlank="1" showInputMessage="1" showErrorMessage="1" prompt="허용값 아님 - 목록에서 선택해 주세요: 대상,비대상" sqref="C62">
      <formula1>"대상,비대상"</formula1>
    </dataValidation>
    <dataValidation type="list" allowBlank="1" showInputMessage="1" showErrorMessage="1" prompt="허용값 아님 - 목록에서 선택해 주세요: 기초,활용,능숙" sqref="C202:C205">
      <formula1>"기초,활용,능숙"</formula1>
    </dataValidation>
    <dataValidation type="list" allowBlank="1" showInputMessage="1" showErrorMessage="1" prompt="허용값 아님 - 목록에서 선택해 주세요: 학부연구생,URP,학회,연구실 인턴,팀연구프로젝트" sqref="B95:B98">
      <formula1>"학부연구생,URP,학회,연구실 인턴,팀연구프로젝트"</formula1>
    </dataValidation>
    <dataValidation type="list" allowBlank="1" showInputMessage="1" showErrorMessage="1" prompt="허용값 아님 - 목록에서 선택해 주세요: AI캡스톤,AI대회,AI공모전,AI프로젝트" sqref="B194:B196">
      <formula1>"AI캡스톤,AI대회,AI공모전,AI프로젝트"</formula1>
    </dataValidation>
    <dataValidation type="list" allowBlank="1" showInputMessage="1" showErrorMessage="1" prompt="허용값 아님 - 목록에서 선택해 주세요: 재학,휴학,수료" sqref="C16">
      <formula1>"재학,휴학,수료"</formula1>
    </dataValidation>
    <dataValidation type="list" allowBlank="1" showInputMessage="1" showErrorMessage="1" prompt="허용값 아님 - 목록에서 선택해 주세요: 동아리,학생회,학회,기타단체" sqref="B212:B215">
      <formula1>"동아리,학생회,학회,기타단체"</formula1>
    </dataValidation>
    <dataValidation type="list" allowBlank="1" showInputMessage="1" showErrorMessage="1" prompt="허용값 아님 - 목록에서 선택해 주세요: 교내,지역,전국,국제" sqref="D145:D149 F194:F196">
      <formula1>"교내,지역,전국,국제"</formula1>
    </dataValidation>
    <dataValidation type="list" allowBlank="1" showInputMessage="1" showErrorMessage="1" prompt="허용값 아님 - 목록에서 선택해 주세요: 인턴십,현장실습,연구체험,문제해결프로젝트" sqref="B121:B123">
      <formula1>"인턴십,현장실습,연구체험,문제해결프로젝트"</formula1>
    </dataValidation>
    <dataValidation type="list" allowBlank="1" showInputMessage="1" showErrorMessage="1" prompt="허용값 아님 - 목록에서 선택해 주세요: 개인,팀" sqref="F145:F149">
      <formula1>"개인,팀"</formula1>
    </dataValidation>
    <dataValidation type="list" allowBlank="1" showInputMessage="1" showErrorMessage="1" prompt="허용값 아님 - 목록에서 선택해 주세요: 단독,공동" sqref="G162:G163">
      <formula1>"단독,공동"</formula1>
    </dataValidation>
    <dataValidation type="list" allowBlank="1" showInputMessage="1" showErrorMessage="1" prompt="허용값 아님 - 목록에서 선택해 주세요: 회장,부회장,부장,총무,부원" sqref="D212:D215">
      <formula1>"회장,부회장,부장,총무,부원"</formula1>
    </dataValidation>
    <dataValidation type="list" allowBlank="1" showInputMessage="1" showErrorMessage="1" prompt="허용값 아님 - 목록에서 선택해 주세요: 단독,제1저자,공동저자" sqref="F104:F106">
      <formula1>"단독,제1저자,공동저자"</formula1>
    </dataValidation>
    <dataValidation type="list" allowBlank="1" showInputMessage="1" showErrorMessage="1" prompt="허용값 아님 - 목록에서 선택해 주세요: 취득,진행중,미취득" sqref="C273:C277">
      <formula1>"취득,진행중,미취득"</formula1>
    </dataValidation>
    <dataValidation type="list" allowBlank="1" showInputMessage="1" showErrorMessage="1" prompt="허용값 아님 - 목록에서 선택해 주세요: 응시,1차 합격,2차 합격,최종 합격" sqref="C268:C269">
      <formula1>"응시,1차 합격,2차 합격,최종 합격"</formula1>
    </dataValidation>
  </dataValidations>
  <printOptions/>
  <pageMargins bottom="1.0" footer="0.0" header="0.0" left="0.75" right="0.75" top="1.0"/>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9BD5"/>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6.0"/>
    <col customWidth="1" min="2" max="2" width="22.0"/>
    <col customWidth="1" min="3" max="3" width="20.0"/>
    <col customWidth="1" min="4" max="5" width="17.0"/>
    <col customWidth="1" min="6" max="7" width="15.0"/>
    <col customWidth="1" min="8" max="8" width="17.0"/>
    <col customWidth="1" min="9" max="9" width="30.0"/>
    <col customWidth="1" min="10" max="26" width="8.71"/>
  </cols>
  <sheetData>
    <row r="1" ht="25.5" customHeight="1">
      <c r="A1" s="66" t="s">
        <v>1257</v>
      </c>
    </row>
    <row r="2" ht="30.0" customHeight="1">
      <c r="A2" s="16" t="s">
        <v>1259</v>
      </c>
    </row>
    <row r="3" ht="15.0" customHeight="1">
      <c r="A3" s="23" t="s">
        <v>73</v>
      </c>
      <c r="B3" s="25" t="s">
        <v>67</v>
      </c>
      <c r="C3" s="27" t="s">
        <v>89</v>
      </c>
      <c r="D3" s="28" t="s">
        <v>1263</v>
      </c>
      <c r="E3" s="30" t="s">
        <v>100</v>
      </c>
      <c r="F3" s="16" t="s">
        <v>1266</v>
      </c>
    </row>
    <row r="5" ht="21.75" customHeight="1">
      <c r="A5" s="33" t="s">
        <v>1267</v>
      </c>
      <c r="B5" s="8"/>
      <c r="C5" s="8"/>
      <c r="D5" s="8"/>
      <c r="E5" s="8"/>
      <c r="F5" s="8"/>
      <c r="G5" s="8"/>
      <c r="H5" s="8"/>
      <c r="I5" s="7"/>
    </row>
    <row r="6" ht="15.0" customHeight="1">
      <c r="B6" s="13" t="s">
        <v>107</v>
      </c>
      <c r="C6" s="13" t="s">
        <v>108</v>
      </c>
      <c r="D6" s="13" t="s">
        <v>111</v>
      </c>
      <c r="E6" s="36" t="s">
        <v>112</v>
      </c>
      <c r="F6" s="37"/>
      <c r="G6" s="37"/>
      <c r="H6" s="37"/>
      <c r="I6" s="38"/>
    </row>
    <row r="7">
      <c r="B7" s="17" t="s">
        <v>36</v>
      </c>
      <c r="C7" s="39" t="s">
        <v>229</v>
      </c>
      <c r="D7" s="40" t="s">
        <v>1276</v>
      </c>
      <c r="E7" s="41" t="s">
        <v>123</v>
      </c>
    </row>
    <row r="8">
      <c r="B8" s="17" t="s">
        <v>37</v>
      </c>
      <c r="C8" s="69" t="s">
        <v>56</v>
      </c>
      <c r="D8" s="40" t="s">
        <v>130</v>
      </c>
      <c r="E8" s="41"/>
    </row>
    <row r="9">
      <c r="B9" s="17" t="s">
        <v>38</v>
      </c>
      <c r="C9" s="69" t="s">
        <v>230</v>
      </c>
      <c r="D9" s="40" t="s">
        <v>130</v>
      </c>
      <c r="E9" s="41" t="s">
        <v>1279</v>
      </c>
    </row>
    <row r="10">
      <c r="B10" s="17" t="s">
        <v>1280</v>
      </c>
      <c r="C10" s="69" t="s">
        <v>231</v>
      </c>
      <c r="D10" s="40" t="s">
        <v>130</v>
      </c>
      <c r="E10" s="41" t="s">
        <v>1281</v>
      </c>
    </row>
    <row r="11">
      <c r="B11" s="17" t="s">
        <v>40</v>
      </c>
      <c r="C11" s="42">
        <v>4.0</v>
      </c>
      <c r="D11" s="40" t="s">
        <v>1282</v>
      </c>
      <c r="E11" s="41" t="s">
        <v>1283</v>
      </c>
    </row>
    <row r="12">
      <c r="B12" s="17" t="s">
        <v>139</v>
      </c>
      <c r="C12" s="42">
        <v>7.0</v>
      </c>
      <c r="D12" s="40" t="s">
        <v>78</v>
      </c>
      <c r="E12" s="41" t="s">
        <v>1285</v>
      </c>
    </row>
    <row r="13">
      <c r="B13" s="17" t="s">
        <v>143</v>
      </c>
      <c r="C13" s="69" t="s">
        <v>98</v>
      </c>
      <c r="D13" s="40" t="s">
        <v>147</v>
      </c>
      <c r="E13" s="41" t="s">
        <v>148</v>
      </c>
    </row>
    <row r="14">
      <c r="B14" s="17" t="s">
        <v>149</v>
      </c>
      <c r="C14" s="69" t="s">
        <v>239</v>
      </c>
      <c r="D14" s="40" t="s">
        <v>147</v>
      </c>
      <c r="E14" s="41" t="s">
        <v>151</v>
      </c>
    </row>
    <row r="15">
      <c r="B15" s="17" t="s">
        <v>155</v>
      </c>
      <c r="C15" s="39" t="s">
        <v>1288</v>
      </c>
      <c r="D15" s="49" t="s">
        <v>158</v>
      </c>
      <c r="E15" s="41" t="s">
        <v>1289</v>
      </c>
    </row>
    <row r="16">
      <c r="B16" s="17" t="s">
        <v>161</v>
      </c>
      <c r="C16" s="69" t="s">
        <v>248</v>
      </c>
      <c r="D16" s="40" t="s">
        <v>147</v>
      </c>
      <c r="E16" s="41"/>
    </row>
    <row r="17">
      <c r="B17" s="17" t="s">
        <v>162</v>
      </c>
      <c r="C17" s="42" t="s">
        <v>1189</v>
      </c>
      <c r="D17" s="40" t="s">
        <v>147</v>
      </c>
      <c r="E17" s="50" t="s">
        <v>1295</v>
      </c>
    </row>
    <row r="18">
      <c r="B18" s="17" t="s">
        <v>164</v>
      </c>
      <c r="C18" s="39" t="s">
        <v>252</v>
      </c>
      <c r="D18" s="49" t="s">
        <v>165</v>
      </c>
      <c r="E18" s="41" t="s">
        <v>1296</v>
      </c>
    </row>
    <row r="19">
      <c r="B19" s="17" t="s">
        <v>167</v>
      </c>
      <c r="C19" s="69" t="s">
        <v>481</v>
      </c>
      <c r="D19" s="40" t="s">
        <v>147</v>
      </c>
      <c r="E19" s="41"/>
    </row>
    <row r="20">
      <c r="B20" s="17" t="s">
        <v>1297</v>
      </c>
      <c r="C20" s="42" t="s">
        <v>249</v>
      </c>
      <c r="D20" s="40" t="s">
        <v>147</v>
      </c>
      <c r="E20" s="50" t="s">
        <v>1299</v>
      </c>
    </row>
    <row r="21" ht="15.75" customHeight="1"/>
    <row r="22" ht="21.75" customHeight="1">
      <c r="A22" s="33" t="s">
        <v>1301</v>
      </c>
      <c r="B22" s="8"/>
      <c r="C22" s="8"/>
      <c r="D22" s="8"/>
      <c r="E22" s="8"/>
      <c r="F22" s="8"/>
      <c r="G22" s="8"/>
      <c r="H22" s="8"/>
      <c r="I22" s="7"/>
    </row>
    <row r="23" ht="21.75" customHeight="1">
      <c r="A23" s="51">
        <v>1.0</v>
      </c>
      <c r="B23" s="52" t="s">
        <v>1312</v>
      </c>
      <c r="C23" s="53"/>
      <c r="D23" s="53"/>
      <c r="E23" s="54"/>
      <c r="F23" s="55" t="s">
        <v>178</v>
      </c>
      <c r="G23" s="71" t="s">
        <v>47</v>
      </c>
      <c r="H23" s="59" t="str">
        <f>IF(G23="",IF(COUNTA(C25:C27,B30:G37)&gt;0,"⚠ 상태 미선택(입력값 있음)","상태 미선택 → 미수집 간주"),IF(G23="값 있음",IF(COUNTA(C25:C27,B30:G37)=0,"⚠ 값 있음인데 입력값 없음","✓ 정상"),IF(COUNTA(C25:C27,B30:G37)&gt;0,"⚠ 상태와 입력값 불일치","✓ 정상")))</f>
        <v>✓ 정상</v>
      </c>
      <c r="I23" s="54"/>
    </row>
    <row r="24" ht="24.0" customHeight="1">
      <c r="B24" s="60" t="s">
        <v>1338</v>
      </c>
    </row>
    <row r="25" ht="15.75" customHeight="1">
      <c r="B25" s="17" t="s">
        <v>1340</v>
      </c>
      <c r="C25" s="42">
        <v>3.31</v>
      </c>
      <c r="D25" s="40" t="s">
        <v>1342</v>
      </c>
      <c r="E25" s="41" t="s">
        <v>1343</v>
      </c>
    </row>
    <row r="26" ht="15.75" customHeight="1">
      <c r="B26" s="17" t="s">
        <v>1345</v>
      </c>
      <c r="C26" s="42">
        <v>3.4</v>
      </c>
      <c r="D26" s="40" t="s">
        <v>1347</v>
      </c>
      <c r="E26" s="41" t="s">
        <v>1348</v>
      </c>
    </row>
    <row r="27" ht="15.75" customHeight="1">
      <c r="B27" s="17" t="s">
        <v>191</v>
      </c>
      <c r="C27" s="42">
        <v>4.5</v>
      </c>
      <c r="D27" s="40" t="s">
        <v>78</v>
      </c>
      <c r="E27" s="41" t="s">
        <v>1350</v>
      </c>
    </row>
    <row r="28" ht="15.75" customHeight="1">
      <c r="A28" s="62" t="s">
        <v>24</v>
      </c>
      <c r="B28" s="13" t="s">
        <v>193</v>
      </c>
      <c r="C28" s="13" t="s">
        <v>194</v>
      </c>
      <c r="D28" s="13" t="s">
        <v>195</v>
      </c>
      <c r="E28" s="13" t="s">
        <v>196</v>
      </c>
      <c r="F28" s="13" t="s">
        <v>197</v>
      </c>
      <c r="G28" s="13" t="s">
        <v>198</v>
      </c>
    </row>
    <row r="29" ht="25.5" customHeight="1">
      <c r="A29" s="63" t="s">
        <v>111</v>
      </c>
      <c r="B29" s="64" t="s">
        <v>1353</v>
      </c>
      <c r="C29" s="63" t="s">
        <v>78</v>
      </c>
      <c r="D29" s="63" t="s">
        <v>78</v>
      </c>
      <c r="E29" s="63" t="s">
        <v>78</v>
      </c>
      <c r="F29" s="63" t="s">
        <v>78</v>
      </c>
      <c r="G29" s="63" t="s">
        <v>1354</v>
      </c>
    </row>
    <row r="30" ht="15.75" customHeight="1">
      <c r="A30" s="65">
        <v>1.0</v>
      </c>
      <c r="B30" s="39" t="s">
        <v>1356</v>
      </c>
      <c r="C30" s="42">
        <v>18.0</v>
      </c>
      <c r="D30" s="42">
        <v>18.0</v>
      </c>
      <c r="E30" s="42">
        <v>3.1</v>
      </c>
      <c r="F30" s="42">
        <v>3.2</v>
      </c>
      <c r="G30" s="42"/>
    </row>
    <row r="31" ht="15.75" customHeight="1">
      <c r="A31" s="65">
        <v>2.0</v>
      </c>
      <c r="B31" s="39" t="s">
        <v>1358</v>
      </c>
      <c r="C31" s="42">
        <v>18.0</v>
      </c>
      <c r="D31" s="42">
        <v>18.0</v>
      </c>
      <c r="E31" s="42">
        <v>3.25</v>
      </c>
      <c r="F31" s="42">
        <v>3.3</v>
      </c>
      <c r="G31" s="42"/>
    </row>
    <row r="32" ht="15.75" customHeight="1">
      <c r="A32" s="65">
        <v>3.0</v>
      </c>
      <c r="B32" s="39" t="s">
        <v>301</v>
      </c>
      <c r="C32" s="42">
        <v>18.0</v>
      </c>
      <c r="D32" s="42">
        <v>17.0</v>
      </c>
      <c r="E32" s="42">
        <v>3.02</v>
      </c>
      <c r="F32" s="42">
        <v>3.1</v>
      </c>
      <c r="G32" s="42"/>
    </row>
    <row r="33" ht="15.75" customHeight="1">
      <c r="A33" s="65">
        <v>4.0</v>
      </c>
      <c r="B33" s="39" t="s">
        <v>302</v>
      </c>
      <c r="C33" s="42"/>
      <c r="D33" s="42"/>
      <c r="E33" s="42"/>
      <c r="F33" s="42"/>
      <c r="G33" s="69" t="s">
        <v>1364</v>
      </c>
    </row>
    <row r="34" ht="15.75" customHeight="1">
      <c r="A34" s="65">
        <v>5.0</v>
      </c>
      <c r="B34" s="39" t="s">
        <v>303</v>
      </c>
      <c r="C34" s="42"/>
      <c r="D34" s="42"/>
      <c r="E34" s="42"/>
      <c r="F34" s="42"/>
      <c r="G34" s="69" t="s">
        <v>1364</v>
      </c>
    </row>
    <row r="35" ht="15.75" customHeight="1">
      <c r="A35" s="65">
        <v>6.0</v>
      </c>
      <c r="B35" s="39" t="s">
        <v>304</v>
      </c>
      <c r="C35" s="42">
        <v>18.0</v>
      </c>
      <c r="D35" s="42">
        <v>18.0</v>
      </c>
      <c r="E35" s="42">
        <v>3.45</v>
      </c>
      <c r="F35" s="42">
        <v>3.5</v>
      </c>
      <c r="G35" s="42"/>
    </row>
    <row r="36" ht="15.75" customHeight="1">
      <c r="A36" s="65">
        <v>7.0</v>
      </c>
      <c r="B36" s="39" t="s">
        <v>305</v>
      </c>
      <c r="C36" s="42">
        <v>18.0</v>
      </c>
      <c r="D36" s="42">
        <v>18.0</v>
      </c>
      <c r="E36" s="42">
        <v>3.5</v>
      </c>
      <c r="F36" s="42">
        <v>3.55</v>
      </c>
      <c r="G36" s="42"/>
    </row>
    <row r="37" ht="15.75" customHeight="1">
      <c r="A37" s="65">
        <v>8.0</v>
      </c>
      <c r="B37" s="39" t="s">
        <v>306</v>
      </c>
      <c r="C37" s="42">
        <v>18.0</v>
      </c>
      <c r="D37" s="42">
        <v>18.0</v>
      </c>
      <c r="E37" s="42">
        <v>3.6</v>
      </c>
      <c r="F37" s="42">
        <v>3.62</v>
      </c>
      <c r="G37" s="42"/>
    </row>
    <row r="38" ht="15.75" customHeight="1"/>
    <row r="39" ht="21.75" customHeight="1">
      <c r="A39" s="51">
        <v>2.0</v>
      </c>
      <c r="B39" s="52" t="s">
        <v>127</v>
      </c>
      <c r="C39" s="53"/>
      <c r="D39" s="53"/>
      <c r="E39" s="54"/>
      <c r="F39" s="55" t="s">
        <v>178</v>
      </c>
      <c r="G39" s="71"/>
      <c r="H39" s="59" t="str">
        <f>IF(G39="",IF(COUNTA(B43:G47)&gt;0,"⚠ 상태 미선택(입력값 있음)","상태 미선택 → 미수집 간주"),IF(G39="값 있음",IF(COUNTA(B43:G47)=0,"⚠ 값 있음인데 입력값 없음","✓ 정상"),IF(COUNTA(B43:G47)&gt;0,"⚠ 상태와 입력값 불일치","✓ 정상")))</f>
        <v>상태 미선택 → 미수집 간주</v>
      </c>
      <c r="I39" s="54"/>
    </row>
    <row r="40" ht="24.0" customHeight="1">
      <c r="B40" s="60" t="s">
        <v>1371</v>
      </c>
    </row>
    <row r="41" ht="15.75" customHeight="1">
      <c r="A41" s="62" t="s">
        <v>24</v>
      </c>
      <c r="B41" s="13" t="s">
        <v>215</v>
      </c>
      <c r="C41" s="13" t="s">
        <v>193</v>
      </c>
      <c r="D41" s="13" t="s">
        <v>216</v>
      </c>
      <c r="E41" s="13" t="s">
        <v>217</v>
      </c>
      <c r="F41" s="13" t="s">
        <v>1372</v>
      </c>
      <c r="G41" s="13" t="s">
        <v>198</v>
      </c>
    </row>
    <row r="42" ht="37.5" customHeight="1">
      <c r="A42" s="63" t="s">
        <v>111</v>
      </c>
      <c r="B42" s="63" t="s">
        <v>130</v>
      </c>
      <c r="C42" s="64" t="s">
        <v>1373</v>
      </c>
      <c r="D42" s="64" t="s">
        <v>1374</v>
      </c>
      <c r="E42" s="64" t="s">
        <v>222</v>
      </c>
      <c r="F42" s="63" t="s">
        <v>1375</v>
      </c>
      <c r="G42" s="63" t="s">
        <v>130</v>
      </c>
    </row>
    <row r="43" ht="15.75" customHeight="1">
      <c r="A43" s="65">
        <v>1.0</v>
      </c>
      <c r="B43" s="42"/>
      <c r="C43" s="39"/>
      <c r="D43" s="42"/>
      <c r="E43" s="42"/>
      <c r="F43" s="42"/>
      <c r="G43" s="42"/>
    </row>
    <row r="44" ht="15.75" customHeight="1">
      <c r="A44" s="65">
        <v>2.0</v>
      </c>
      <c r="B44" s="42"/>
      <c r="C44" s="39"/>
      <c r="D44" s="42"/>
      <c r="E44" s="42"/>
      <c r="F44" s="42"/>
      <c r="G44" s="42"/>
    </row>
    <row r="45" ht="15.75" customHeight="1">
      <c r="A45" s="65">
        <v>3.0</v>
      </c>
      <c r="B45" s="42"/>
      <c r="C45" s="39"/>
      <c r="D45" s="42"/>
      <c r="E45" s="42"/>
      <c r="F45" s="42"/>
      <c r="G45" s="42"/>
    </row>
    <row r="46" ht="15.75" customHeight="1">
      <c r="A46" s="65">
        <v>4.0</v>
      </c>
      <c r="B46" s="42"/>
      <c r="C46" s="39"/>
      <c r="D46" s="42"/>
      <c r="E46" s="42"/>
      <c r="F46" s="42"/>
      <c r="G46" s="42"/>
    </row>
    <row r="47" ht="15.75" customHeight="1">
      <c r="A47" s="65">
        <v>5.0</v>
      </c>
      <c r="B47" s="42"/>
      <c r="C47" s="39"/>
      <c r="D47" s="42"/>
      <c r="E47" s="42"/>
      <c r="F47" s="42"/>
      <c r="G47" s="42"/>
    </row>
    <row r="48" ht="15.75" customHeight="1"/>
    <row r="49" ht="21.75" customHeight="1">
      <c r="A49" s="51">
        <v>3.0</v>
      </c>
      <c r="B49" s="52" t="s">
        <v>1380</v>
      </c>
      <c r="C49" s="53"/>
      <c r="D49" s="53"/>
      <c r="E49" s="54"/>
      <c r="F49" s="55" t="s">
        <v>178</v>
      </c>
      <c r="G49" s="71" t="s">
        <v>47</v>
      </c>
      <c r="H49" s="59" t="str">
        <f>IF(G49="",IF(COUNTA(C51:C52,B55:E58)&gt;0,"⚠ 상태 미선택(입력값 있음)","상태 미선택 → 미수집 간주"),IF(G49="값 있음",IF(COUNTA(C51:C52,B55:E58)=0,"⚠ 값 있음인데 입력값 없음","✓ 정상"),IF(COUNTA(C51:C52,B55:E58)&gt;0,"⚠ 상태와 입력값 불일치","✓ 정상")))</f>
        <v>✓ 정상</v>
      </c>
      <c r="I49" s="54"/>
    </row>
    <row r="50" ht="24.0" customHeight="1">
      <c r="B50" s="60" t="s">
        <v>1389</v>
      </c>
    </row>
    <row r="51" ht="15.75" customHeight="1">
      <c r="B51" s="17" t="s">
        <v>253</v>
      </c>
      <c r="C51" s="42">
        <v>123.0</v>
      </c>
      <c r="D51" s="40" t="s">
        <v>78</v>
      </c>
      <c r="E51" s="41" t="s">
        <v>1391</v>
      </c>
    </row>
    <row r="52" ht="15.75" customHeight="1">
      <c r="B52" s="17" t="s">
        <v>259</v>
      </c>
      <c r="C52" s="42">
        <v>1.0</v>
      </c>
      <c r="D52" s="40" t="s">
        <v>78</v>
      </c>
      <c r="E52" s="41" t="s">
        <v>1392</v>
      </c>
    </row>
    <row r="53" ht="15.75" customHeight="1">
      <c r="A53" s="62" t="s">
        <v>24</v>
      </c>
      <c r="B53" s="13" t="s">
        <v>263</v>
      </c>
      <c r="C53" s="13" t="s">
        <v>264</v>
      </c>
      <c r="D53" s="13" t="s">
        <v>265</v>
      </c>
      <c r="E53" s="13" t="s">
        <v>266</v>
      </c>
    </row>
    <row r="54" ht="25.5" customHeight="1">
      <c r="A54" s="63" t="s">
        <v>111</v>
      </c>
      <c r="B54" s="64" t="s">
        <v>1393</v>
      </c>
      <c r="C54" s="63" t="s">
        <v>130</v>
      </c>
      <c r="D54" s="64" t="s">
        <v>1394</v>
      </c>
      <c r="E54" s="63" t="s">
        <v>78</v>
      </c>
    </row>
    <row r="55" ht="15.75" customHeight="1">
      <c r="A55" s="65">
        <v>1.0</v>
      </c>
      <c r="B55" s="69" t="s">
        <v>369</v>
      </c>
      <c r="C55" s="69" t="s">
        <v>1396</v>
      </c>
      <c r="D55" s="69" t="s">
        <v>370</v>
      </c>
      <c r="E55" s="42">
        <v>72.0</v>
      </c>
    </row>
    <row r="56" ht="15.75" customHeight="1">
      <c r="A56" s="65">
        <v>2.0</v>
      </c>
      <c r="B56" s="69" t="s">
        <v>1397</v>
      </c>
      <c r="C56" s="69" t="s">
        <v>1398</v>
      </c>
      <c r="D56" s="69" t="s">
        <v>370</v>
      </c>
      <c r="E56" s="42">
        <v>30.0</v>
      </c>
    </row>
    <row r="57" ht="15.75" customHeight="1">
      <c r="A57" s="65">
        <v>3.0</v>
      </c>
      <c r="B57" s="69"/>
      <c r="C57" s="42"/>
      <c r="D57" s="69"/>
      <c r="E57" s="42"/>
    </row>
    <row r="58" ht="15.75" customHeight="1">
      <c r="A58" s="65">
        <v>4.0</v>
      </c>
      <c r="B58" s="69"/>
      <c r="C58" s="42"/>
      <c r="D58" s="69"/>
      <c r="E58" s="42"/>
    </row>
    <row r="59" ht="15.75" customHeight="1"/>
    <row r="60" ht="21.75" customHeight="1">
      <c r="A60" s="70">
        <v>4.0</v>
      </c>
      <c r="B60" s="72" t="s">
        <v>180</v>
      </c>
      <c r="C60" s="53"/>
      <c r="D60" s="53"/>
      <c r="E60" s="54"/>
      <c r="F60" s="73" t="s">
        <v>178</v>
      </c>
      <c r="G60" s="71" t="s">
        <v>51</v>
      </c>
      <c r="H60" s="74" t="str">
        <f>IF(G60="",IF(COUNTA(C62:C64)&gt;0,"⚠ 상태 미선택(입력값 있음)","상태 미선택 → 미수집 간주"),IF(G60="값 있음",IF(COUNTA(C62:C64)=0,"⚠ 값 있음인데 입력값 없음","✓ 정상"),IF(COUNTA(C62:C64)&gt;0,"⚠ 상태와 입력값 불일치","✓ 정상")))</f>
        <v>✓ 정상</v>
      </c>
      <c r="I60" s="54"/>
    </row>
    <row r="61" ht="24.0" customHeight="1">
      <c r="B61" s="60" t="s">
        <v>1411</v>
      </c>
    </row>
    <row r="62" ht="15.75" customHeight="1">
      <c r="B62" s="17" t="s">
        <v>280</v>
      </c>
      <c r="C62" s="42"/>
      <c r="D62" s="40" t="s">
        <v>147</v>
      </c>
      <c r="E62" s="41" t="s">
        <v>1412</v>
      </c>
    </row>
    <row r="63" ht="15.75" customHeight="1">
      <c r="B63" s="17" t="s">
        <v>285</v>
      </c>
      <c r="C63" s="42"/>
      <c r="D63" s="40" t="s">
        <v>130</v>
      </c>
      <c r="E63" s="41" t="s">
        <v>1414</v>
      </c>
    </row>
    <row r="64" ht="15.75" customHeight="1">
      <c r="B64" s="17" t="s">
        <v>265</v>
      </c>
      <c r="C64" s="42"/>
      <c r="D64" s="40" t="s">
        <v>147</v>
      </c>
      <c r="E64" s="50" t="s">
        <v>1416</v>
      </c>
    </row>
    <row r="65" ht="15.75" customHeight="1"/>
    <row r="66" ht="21.75" customHeight="1">
      <c r="A66" s="33" t="s">
        <v>1419</v>
      </c>
      <c r="B66" s="8"/>
      <c r="C66" s="8"/>
      <c r="D66" s="8"/>
      <c r="E66" s="8"/>
      <c r="F66" s="8"/>
      <c r="G66" s="8"/>
      <c r="H66" s="8"/>
      <c r="I66" s="7"/>
    </row>
    <row r="67" ht="21.75" customHeight="1">
      <c r="A67" s="51">
        <v>5.0</v>
      </c>
      <c r="B67" s="75" t="s">
        <v>1427</v>
      </c>
      <c r="C67" s="53"/>
      <c r="D67" s="53"/>
      <c r="E67" s="54"/>
      <c r="F67" s="55" t="s">
        <v>178</v>
      </c>
      <c r="G67" s="71" t="s">
        <v>47</v>
      </c>
      <c r="H67" s="59" t="str">
        <f>IF(G67="",IF(COUNTA(C69:C74)&gt;0,"⚠ 상태 미선택(입력값 있음)","상태 미선택 → 미수집 간주"),IF(G67="값 있음",IF(COUNTA(C69:C74)=0,"⚠ 값 있음인데 입력값 없음","✓ 정상"),IF(COUNTA(C69:C74)&gt;0,"⚠ 상태와 입력값 불일치","✓ 정상")))</f>
        <v>✓ 정상</v>
      </c>
      <c r="I67" s="54"/>
    </row>
    <row r="68" ht="24.0" customHeight="1">
      <c r="B68" s="60" t="s">
        <v>1434</v>
      </c>
    </row>
    <row r="69" ht="15.75" customHeight="1">
      <c r="B69" s="17" t="s">
        <v>310</v>
      </c>
      <c r="C69" s="42" t="s">
        <v>1436</v>
      </c>
      <c r="D69" s="40" t="s">
        <v>130</v>
      </c>
      <c r="E69" s="41" t="s">
        <v>1437</v>
      </c>
    </row>
    <row r="70" ht="15.75" customHeight="1">
      <c r="B70" s="17" t="s">
        <v>1438</v>
      </c>
      <c r="C70" s="42">
        <v>91.0</v>
      </c>
      <c r="D70" s="40" t="s">
        <v>1439</v>
      </c>
      <c r="E70" s="50" t="s">
        <v>1440</v>
      </c>
    </row>
    <row r="71" ht="15.75" customHeight="1">
      <c r="B71" s="17" t="s">
        <v>1441</v>
      </c>
      <c r="C71" s="42"/>
      <c r="D71" s="40" t="s">
        <v>1443</v>
      </c>
      <c r="E71" s="50" t="s">
        <v>1444</v>
      </c>
    </row>
    <row r="72" ht="15.75" customHeight="1">
      <c r="B72" s="17" t="s">
        <v>320</v>
      </c>
      <c r="C72" s="42"/>
      <c r="D72" s="40" t="s">
        <v>78</v>
      </c>
      <c r="E72" s="41" t="s">
        <v>1446</v>
      </c>
    </row>
    <row r="73" ht="15.75" customHeight="1">
      <c r="B73" s="17" t="s">
        <v>1447</v>
      </c>
      <c r="C73" s="42"/>
      <c r="D73" s="40" t="s">
        <v>78</v>
      </c>
      <c r="E73" s="41" t="s">
        <v>323</v>
      </c>
    </row>
    <row r="74" ht="15.75" customHeight="1">
      <c r="B74" s="17" t="s">
        <v>1448</v>
      </c>
      <c r="C74" s="42"/>
      <c r="D74" s="40" t="s">
        <v>1449</v>
      </c>
      <c r="E74" s="41"/>
    </row>
    <row r="75" ht="15.75" customHeight="1"/>
    <row r="76" ht="21.75" customHeight="1">
      <c r="A76" s="51">
        <v>6.0</v>
      </c>
      <c r="B76" s="52" t="s">
        <v>1450</v>
      </c>
      <c r="C76" s="53"/>
      <c r="D76" s="53"/>
      <c r="E76" s="54"/>
      <c r="F76" s="55" t="s">
        <v>178</v>
      </c>
      <c r="G76" s="71" t="s">
        <v>950</v>
      </c>
      <c r="H76" s="59" t="str">
        <f>IF(G76="",IF(COUNTA(C78:C81)&gt;0,"⚠ 상태 미선택(입력값 있음)","상태 미선택 → 미수집 간주"),IF(G76="값 있음",IF(COUNTA(C78:C81)=0,"⚠ 값 있음인데 입력값 없음","✓ 정상"),IF(COUNTA(C78:C81)&gt;0,"⚠ 상태와 입력값 불일치","✓ 정상")))</f>
        <v>✓ 정상</v>
      </c>
      <c r="I76" s="54"/>
    </row>
    <row r="77" ht="24.0" customHeight="1">
      <c r="B77" s="60" t="s">
        <v>1459</v>
      </c>
    </row>
    <row r="78" ht="15.75" customHeight="1">
      <c r="B78" s="17" t="s">
        <v>310</v>
      </c>
      <c r="C78" s="42"/>
      <c r="D78" s="40" t="s">
        <v>130</v>
      </c>
      <c r="E78" s="41" t="s">
        <v>1466</v>
      </c>
    </row>
    <row r="79" ht="15.75" customHeight="1">
      <c r="B79" s="17" t="s">
        <v>1469</v>
      </c>
      <c r="C79" s="42"/>
      <c r="D79" s="40" t="s">
        <v>78</v>
      </c>
      <c r="E79" s="41"/>
    </row>
    <row r="80" ht="15.75" customHeight="1">
      <c r="B80" s="17" t="s">
        <v>1470</v>
      </c>
      <c r="C80" s="42"/>
      <c r="D80" s="40" t="s">
        <v>78</v>
      </c>
      <c r="E80" s="41"/>
    </row>
    <row r="81" ht="15.75" customHeight="1">
      <c r="B81" s="17" t="s">
        <v>341</v>
      </c>
      <c r="C81" s="42"/>
      <c r="D81" s="40" t="s">
        <v>130</v>
      </c>
      <c r="E81" s="41" t="s">
        <v>343</v>
      </c>
    </row>
    <row r="82" ht="15.75" customHeight="1"/>
    <row r="83" ht="21.75" customHeight="1">
      <c r="A83" s="76">
        <v>7.0</v>
      </c>
      <c r="B83" s="77" t="s">
        <v>1477</v>
      </c>
      <c r="C83" s="53"/>
      <c r="D83" s="53"/>
      <c r="E83" s="54"/>
      <c r="F83" s="78" t="s">
        <v>178</v>
      </c>
      <c r="G83" s="71" t="s">
        <v>950</v>
      </c>
      <c r="H83" s="79" t="str">
        <f>IF(G83="",IF(COUNTA(C85:C88)&gt;0,"⚠ 상태 미선택(입력값 있음)","상태 미선택 → 미수집 간주"),IF(G83="값 있음",IF(COUNTA(C85:C88)=0,"⚠ 값 있음인데 입력값 없음","✓ 정상"),IF(COUNTA(C85:C88)&gt;0,"⚠ 상태와 입력값 불일치","✓ 정상")))</f>
        <v>✓ 정상</v>
      </c>
      <c r="I83" s="54"/>
    </row>
    <row r="84" ht="15.0" customHeight="1">
      <c r="B84" s="60" t="s">
        <v>1483</v>
      </c>
    </row>
    <row r="85" ht="15.75" customHeight="1">
      <c r="B85" s="17" t="s">
        <v>310</v>
      </c>
      <c r="C85" s="42"/>
      <c r="D85" s="40" t="s">
        <v>130</v>
      </c>
      <c r="E85" s="41" t="s">
        <v>1485</v>
      </c>
    </row>
    <row r="86" ht="15.75" customHeight="1">
      <c r="B86" s="17" t="s">
        <v>356</v>
      </c>
      <c r="C86" s="42"/>
      <c r="D86" s="40" t="s">
        <v>78</v>
      </c>
      <c r="E86" s="41"/>
    </row>
    <row r="87" ht="15.75" customHeight="1">
      <c r="B87" s="17" t="s">
        <v>360</v>
      </c>
      <c r="C87" s="42"/>
      <c r="D87" s="40" t="s">
        <v>78</v>
      </c>
      <c r="E87" s="41"/>
    </row>
    <row r="88" ht="15.75" customHeight="1">
      <c r="B88" s="17" t="s">
        <v>361</v>
      </c>
      <c r="C88" s="42"/>
      <c r="D88" s="40" t="s">
        <v>78</v>
      </c>
      <c r="E88" s="41"/>
    </row>
    <row r="89" ht="15.75" customHeight="1"/>
    <row r="90" ht="21.75" customHeight="1">
      <c r="A90" s="33" t="s">
        <v>1489</v>
      </c>
      <c r="B90" s="8"/>
      <c r="C90" s="8"/>
      <c r="D90" s="8"/>
      <c r="E90" s="8"/>
      <c r="F90" s="8"/>
      <c r="G90" s="8"/>
      <c r="H90" s="8"/>
      <c r="I90" s="7"/>
    </row>
    <row r="91" ht="21.75" customHeight="1">
      <c r="A91" s="51">
        <v>8.0</v>
      </c>
      <c r="B91" s="52" t="s">
        <v>1492</v>
      </c>
      <c r="C91" s="53"/>
      <c r="D91" s="53"/>
      <c r="E91" s="54"/>
      <c r="F91" s="55" t="s">
        <v>178</v>
      </c>
      <c r="G91" s="71" t="s">
        <v>950</v>
      </c>
      <c r="H91" s="59" t="str">
        <f>IF(G91="",IF(COUNTA(B95:H98)&gt;0,"⚠ 상태 미선택(입력값 있음)","상태 미선택 → 미수집 간주"),IF(G91="값 있음",IF(COUNTA(B95:H98)=0,"⚠ 값 있음인데 입력값 없음","✓ 정상"),IF(COUNTA(B95:H98)&gt;0,"⚠ 상태와 입력값 불일치","✓ 정상")))</f>
        <v>✓ 정상</v>
      </c>
      <c r="I91" s="54"/>
    </row>
    <row r="92" ht="24.0" customHeight="1">
      <c r="B92" s="60" t="s">
        <v>1499</v>
      </c>
    </row>
    <row r="93" ht="15.75" customHeight="1">
      <c r="A93" s="62" t="s">
        <v>24</v>
      </c>
      <c r="B93" s="13" t="s">
        <v>377</v>
      </c>
      <c r="C93" s="13" t="s">
        <v>1500</v>
      </c>
      <c r="D93" s="13" t="s">
        <v>379</v>
      </c>
      <c r="E93" s="13" t="s">
        <v>380</v>
      </c>
      <c r="F93" s="13" t="s">
        <v>381</v>
      </c>
      <c r="G93" s="13" t="s">
        <v>1502</v>
      </c>
      <c r="H93" s="13" t="s">
        <v>383</v>
      </c>
    </row>
    <row r="94" ht="25.5" customHeight="1">
      <c r="A94" s="63" t="s">
        <v>111</v>
      </c>
      <c r="B94" s="64" t="s">
        <v>1504</v>
      </c>
      <c r="C94" s="63" t="s">
        <v>1506</v>
      </c>
      <c r="D94" s="63" t="s">
        <v>130</v>
      </c>
      <c r="E94" s="64" t="s">
        <v>158</v>
      </c>
      <c r="F94" s="64" t="s">
        <v>1507</v>
      </c>
      <c r="G94" s="63" t="s">
        <v>78</v>
      </c>
      <c r="H94" s="63" t="s">
        <v>130</v>
      </c>
    </row>
    <row r="95" ht="15.75" customHeight="1">
      <c r="A95" s="65">
        <v>1.0</v>
      </c>
      <c r="B95" s="42"/>
      <c r="C95" s="42"/>
      <c r="D95" s="42"/>
      <c r="E95" s="39"/>
      <c r="F95" s="39"/>
      <c r="G95" s="42"/>
      <c r="H95" s="42"/>
    </row>
    <row r="96" ht="15.75" customHeight="1">
      <c r="A96" s="65">
        <v>2.0</v>
      </c>
      <c r="B96" s="42"/>
      <c r="C96" s="42"/>
      <c r="D96" s="42"/>
      <c r="E96" s="39"/>
      <c r="F96" s="39"/>
      <c r="G96" s="42"/>
      <c r="H96" s="42"/>
    </row>
    <row r="97" ht="15.75" customHeight="1">
      <c r="A97" s="65">
        <v>3.0</v>
      </c>
      <c r="B97" s="42"/>
      <c r="C97" s="42"/>
      <c r="D97" s="42"/>
      <c r="E97" s="39"/>
      <c r="F97" s="39"/>
      <c r="G97" s="42"/>
      <c r="H97" s="42"/>
    </row>
    <row r="98" ht="15.75" customHeight="1">
      <c r="A98" s="65">
        <v>4.0</v>
      </c>
      <c r="B98" s="42"/>
      <c r="C98" s="42"/>
      <c r="D98" s="42"/>
      <c r="E98" s="39"/>
      <c r="F98" s="39"/>
      <c r="G98" s="42"/>
      <c r="H98" s="42"/>
    </row>
    <row r="99" ht="15.75" customHeight="1"/>
    <row r="100" ht="21.75" customHeight="1">
      <c r="A100" s="51">
        <v>9.0</v>
      </c>
      <c r="B100" s="52" t="s">
        <v>1514</v>
      </c>
      <c r="C100" s="53"/>
      <c r="D100" s="53"/>
      <c r="E100" s="54"/>
      <c r="F100" s="55" t="s">
        <v>178</v>
      </c>
      <c r="G100" s="71" t="s">
        <v>950</v>
      </c>
      <c r="H100" s="59" t="str">
        <f>IF(G100="",IF(COUNTA(B104:G106)&gt;0,"⚠ 상태 미선택(입력값 있음)","상태 미선택 → 미수집 간주"),IF(G100="값 있음",IF(COUNTA(B104:G106)=0,"⚠ 값 있음인데 입력값 없음","✓ 정상"),IF(COUNTA(B104:G106)&gt;0,"⚠ 상태와 입력값 불일치","✓ 정상")))</f>
        <v>✓ 정상</v>
      </c>
      <c r="I100" s="54"/>
    </row>
    <row r="101" ht="24.0" customHeight="1">
      <c r="B101" s="60" t="s">
        <v>1523</v>
      </c>
    </row>
    <row r="102" ht="15.75" customHeight="1">
      <c r="A102" s="62" t="s">
        <v>24</v>
      </c>
      <c r="B102" s="13" t="s">
        <v>400</v>
      </c>
      <c r="C102" s="13" t="s">
        <v>401</v>
      </c>
      <c r="D102" s="13" t="s">
        <v>402</v>
      </c>
      <c r="E102" s="13" t="s">
        <v>403</v>
      </c>
      <c r="F102" s="13" t="s">
        <v>404</v>
      </c>
      <c r="G102" s="13" t="s">
        <v>1525</v>
      </c>
    </row>
    <row r="103" ht="37.5" customHeight="1">
      <c r="A103" s="63" t="s">
        <v>111</v>
      </c>
      <c r="B103" s="64" t="s">
        <v>1526</v>
      </c>
      <c r="C103" s="63" t="s">
        <v>130</v>
      </c>
      <c r="D103" s="64" t="s">
        <v>1529</v>
      </c>
      <c r="E103" s="64" t="s">
        <v>1531</v>
      </c>
      <c r="F103" s="64" t="s">
        <v>1532</v>
      </c>
      <c r="G103" s="64" t="s">
        <v>158</v>
      </c>
    </row>
    <row r="104" ht="15.75" customHeight="1">
      <c r="A104" s="65">
        <v>1.0</v>
      </c>
      <c r="B104" s="42"/>
      <c r="C104" s="42"/>
      <c r="D104" s="42"/>
      <c r="E104" s="42"/>
      <c r="F104" s="42"/>
      <c r="G104" s="39"/>
    </row>
    <row r="105" ht="15.75" customHeight="1">
      <c r="A105" s="65">
        <v>2.0</v>
      </c>
      <c r="B105" s="42"/>
      <c r="C105" s="42"/>
      <c r="D105" s="42"/>
      <c r="E105" s="42"/>
      <c r="F105" s="42"/>
      <c r="G105" s="39"/>
    </row>
    <row r="106" ht="15.75" customHeight="1">
      <c r="A106" s="65">
        <v>3.0</v>
      </c>
      <c r="B106" s="42"/>
      <c r="C106" s="42"/>
      <c r="D106" s="42"/>
      <c r="E106" s="42"/>
      <c r="F106" s="42"/>
      <c r="G106" s="39"/>
    </row>
    <row r="107" ht="15.75" customHeight="1"/>
    <row r="108" ht="21.75" customHeight="1">
      <c r="A108" s="70">
        <v>10.0</v>
      </c>
      <c r="B108" s="80" t="s">
        <v>1538</v>
      </c>
      <c r="C108" s="53"/>
      <c r="D108" s="53"/>
      <c r="E108" s="54"/>
      <c r="F108" s="73" t="s">
        <v>178</v>
      </c>
      <c r="G108" s="71"/>
      <c r="H108" s="74" t="str">
        <f>IF(G108="",IF(COUNTA(B112:E114)&gt;0,"⚠ 상태 미선택(입력값 있음)","상태 미선택 → 미수집 간주"),IF(G108="값 있음",IF(COUNTA(B112:E114)=0,"⚠ 값 있음인데 입력값 없음","✓ 정상"),IF(COUNTA(B112:E114)&gt;0,"⚠ 상태와 입력값 불일치","✓ 정상")))</f>
        <v>상태 미선택 → 미수집 간주</v>
      </c>
      <c r="I108" s="54"/>
    </row>
    <row r="109" ht="24.0" customHeight="1">
      <c r="B109" s="60" t="s">
        <v>1552</v>
      </c>
    </row>
    <row r="110" ht="15.75" customHeight="1">
      <c r="A110" s="62" t="s">
        <v>24</v>
      </c>
      <c r="B110" s="13" t="s">
        <v>215</v>
      </c>
      <c r="C110" s="13" t="s">
        <v>193</v>
      </c>
      <c r="D110" s="13" t="s">
        <v>1555</v>
      </c>
      <c r="E110" s="13" t="s">
        <v>430</v>
      </c>
    </row>
    <row r="111" ht="25.5" customHeight="1">
      <c r="A111" s="63" t="s">
        <v>111</v>
      </c>
      <c r="B111" s="63" t="s">
        <v>130</v>
      </c>
      <c r="C111" s="64" t="s">
        <v>1557</v>
      </c>
      <c r="D111" s="63" t="s">
        <v>78</v>
      </c>
      <c r="E111" s="63" t="s">
        <v>130</v>
      </c>
    </row>
    <row r="112" ht="15.75" customHeight="1">
      <c r="A112" s="65">
        <v>1.0</v>
      </c>
      <c r="B112" s="42"/>
      <c r="C112" s="39"/>
      <c r="D112" s="42"/>
      <c r="E112" s="42"/>
    </row>
    <row r="113" ht="15.75" customHeight="1">
      <c r="A113" s="65">
        <v>2.0</v>
      </c>
      <c r="B113" s="42"/>
      <c r="C113" s="39"/>
      <c r="D113" s="42"/>
      <c r="E113" s="42"/>
    </row>
    <row r="114" ht="15.75" customHeight="1">
      <c r="A114" s="65">
        <v>3.0</v>
      </c>
      <c r="B114" s="42"/>
      <c r="C114" s="39"/>
      <c r="D114" s="42"/>
      <c r="E114" s="42"/>
    </row>
    <row r="115" ht="15.75" customHeight="1"/>
    <row r="116" ht="21.75" customHeight="1">
      <c r="A116" s="33" t="s">
        <v>1563</v>
      </c>
      <c r="B116" s="8"/>
      <c r="C116" s="8"/>
      <c r="D116" s="8"/>
      <c r="E116" s="8"/>
      <c r="F116" s="8"/>
      <c r="G116" s="8"/>
      <c r="H116" s="8"/>
      <c r="I116" s="7"/>
    </row>
    <row r="117" ht="21.75" customHeight="1">
      <c r="A117" s="51">
        <v>11.0</v>
      </c>
      <c r="B117" s="52" t="s">
        <v>1567</v>
      </c>
      <c r="C117" s="53"/>
      <c r="D117" s="53"/>
      <c r="E117" s="54"/>
      <c r="F117" s="55" t="s">
        <v>178</v>
      </c>
      <c r="G117" s="71" t="s">
        <v>950</v>
      </c>
      <c r="H117" s="59" t="str">
        <f>IF(G117="",IF(COUNTA(B121:I123)&gt;0,"⚠ 상태 미선택(입력값 있음)","상태 미선택 → 미수집 간주"),IF(G117="값 있음",IF(COUNTA(B121:I123)=0,"⚠ 값 있음인데 입력값 없음","✓ 정상"),IF(COUNTA(B121:I123)&gt;0,"⚠ 상태와 입력값 불일치","✓ 정상")))</f>
        <v>✓ 정상</v>
      </c>
      <c r="I117" s="54"/>
    </row>
    <row r="118" ht="24.0" customHeight="1">
      <c r="B118" s="60" t="s">
        <v>1571</v>
      </c>
    </row>
    <row r="119" ht="15.75" customHeight="1">
      <c r="A119" s="62" t="s">
        <v>24</v>
      </c>
      <c r="B119" s="13" t="s">
        <v>400</v>
      </c>
      <c r="C119" s="13" t="s">
        <v>450</v>
      </c>
      <c r="D119" s="13" t="s">
        <v>1572</v>
      </c>
      <c r="E119" s="13" t="s">
        <v>380</v>
      </c>
      <c r="F119" s="13" t="s">
        <v>381</v>
      </c>
      <c r="G119" s="13" t="s">
        <v>1573</v>
      </c>
      <c r="H119" s="13" t="s">
        <v>454</v>
      </c>
      <c r="I119" s="62" t="s">
        <v>1574</v>
      </c>
    </row>
    <row r="120" ht="25.5" customHeight="1">
      <c r="A120" s="63" t="s">
        <v>111</v>
      </c>
      <c r="B120" s="64" t="s">
        <v>1575</v>
      </c>
      <c r="C120" s="63" t="s">
        <v>130</v>
      </c>
      <c r="D120" s="63" t="s">
        <v>130</v>
      </c>
      <c r="E120" s="64" t="s">
        <v>158</v>
      </c>
      <c r="F120" s="64" t="s">
        <v>158</v>
      </c>
      <c r="G120" s="63" t="s">
        <v>78</v>
      </c>
      <c r="H120" s="64" t="s">
        <v>1577</v>
      </c>
      <c r="I120" s="64" t="s">
        <v>462</v>
      </c>
    </row>
    <row r="121" ht="15.75" customHeight="1">
      <c r="A121" s="65">
        <v>1.0</v>
      </c>
      <c r="B121" s="42"/>
      <c r="C121" s="42"/>
      <c r="D121" s="42"/>
      <c r="E121" s="39"/>
      <c r="F121" s="39"/>
      <c r="G121" s="42"/>
      <c r="H121" s="42"/>
      <c r="I121" s="42"/>
    </row>
    <row r="122" ht="15.75" customHeight="1">
      <c r="A122" s="65">
        <v>2.0</v>
      </c>
      <c r="B122" s="42"/>
      <c r="C122" s="42"/>
      <c r="D122" s="42"/>
      <c r="E122" s="39"/>
      <c r="F122" s="39"/>
      <c r="G122" s="42"/>
      <c r="H122" s="42"/>
      <c r="I122" s="42"/>
    </row>
    <row r="123" ht="15.75" customHeight="1">
      <c r="A123" s="65">
        <v>3.0</v>
      </c>
      <c r="B123" s="42"/>
      <c r="C123" s="42"/>
      <c r="D123" s="42"/>
      <c r="E123" s="39"/>
      <c r="F123" s="39"/>
      <c r="G123" s="42"/>
      <c r="H123" s="42"/>
      <c r="I123" s="42"/>
    </row>
    <row r="124" ht="15.75" customHeight="1"/>
    <row r="125" ht="21.75" customHeight="1">
      <c r="A125" s="51">
        <v>12.0</v>
      </c>
      <c r="B125" s="52" t="s">
        <v>330</v>
      </c>
      <c r="C125" s="53"/>
      <c r="D125" s="53"/>
      <c r="E125" s="54"/>
      <c r="F125" s="55" t="s">
        <v>178</v>
      </c>
      <c r="G125" s="71"/>
      <c r="H125" s="59" t="str">
        <f>IF(G125="",IF(COUNTA(B129:F131)&gt;0,"⚠ 상태 미선택(입력값 있음)","상태 미선택 → 미수집 간주"),IF(G125="값 있음",IF(COUNTA(B129:F131)=0,"⚠ 값 있음인데 입력값 없음","✓ 정상"),IF(COUNTA(B129:F131)&gt;0,"⚠ 상태와 입력값 불일치","✓ 정상")))</f>
        <v>상태 미선택 → 미수집 간주</v>
      </c>
      <c r="I125" s="54"/>
    </row>
    <row r="126" ht="24.0" customHeight="1">
      <c r="B126" s="60" t="s">
        <v>1598</v>
      </c>
    </row>
    <row r="127" ht="15.75" customHeight="1">
      <c r="A127" s="62" t="s">
        <v>24</v>
      </c>
      <c r="B127" s="13" t="s">
        <v>480</v>
      </c>
      <c r="C127" s="13" t="s">
        <v>482</v>
      </c>
      <c r="D127" s="13" t="s">
        <v>1600</v>
      </c>
      <c r="E127" s="13" t="s">
        <v>486</v>
      </c>
      <c r="F127" s="13" t="s">
        <v>487</v>
      </c>
    </row>
    <row r="128" ht="25.5" customHeight="1">
      <c r="A128" s="63" t="s">
        <v>111</v>
      </c>
      <c r="B128" s="63" t="s">
        <v>130</v>
      </c>
      <c r="C128" s="63" t="s">
        <v>130</v>
      </c>
      <c r="D128" s="63" t="s">
        <v>78</v>
      </c>
      <c r="E128" s="63" t="s">
        <v>78</v>
      </c>
      <c r="F128" s="64" t="s">
        <v>1603</v>
      </c>
    </row>
    <row r="129" ht="15.75" customHeight="1">
      <c r="A129" s="65">
        <v>1.0</v>
      </c>
      <c r="B129" s="42"/>
      <c r="C129" s="42"/>
      <c r="D129" s="42"/>
      <c r="E129" s="42"/>
      <c r="F129" s="42"/>
    </row>
    <row r="130" ht="15.75" customHeight="1">
      <c r="A130" s="65">
        <v>2.0</v>
      </c>
      <c r="B130" s="42"/>
      <c r="C130" s="42"/>
      <c r="D130" s="42"/>
      <c r="E130" s="42"/>
      <c r="F130" s="42"/>
    </row>
    <row r="131" ht="15.75" customHeight="1">
      <c r="A131" s="65">
        <v>3.0</v>
      </c>
      <c r="B131" s="42"/>
      <c r="C131" s="42"/>
      <c r="D131" s="42"/>
      <c r="E131" s="42"/>
      <c r="F131" s="42"/>
    </row>
    <row r="132" ht="15.75" customHeight="1"/>
    <row r="133" ht="21.75" customHeight="1">
      <c r="A133" s="76">
        <v>13.0</v>
      </c>
      <c r="B133" s="77" t="s">
        <v>1607</v>
      </c>
      <c r="C133" s="53"/>
      <c r="D133" s="53"/>
      <c r="E133" s="54"/>
      <c r="F133" s="78" t="s">
        <v>178</v>
      </c>
      <c r="G133" s="71" t="s">
        <v>950</v>
      </c>
      <c r="H133" s="79" t="str">
        <f>IF(G133="",IF(COUNTA(C135:C138)&gt;0,"⚠ 상태 미선택(입력값 있음)","상태 미선택 → 미수집 간주"),IF(G133="값 있음",IF(COUNTA(C135:C138)=0,"⚠ 값 있음인데 입력값 없음","✓ 정상"),IF(COUNTA(C135:C138)&gt;0,"⚠ 상태와 입력값 불일치","✓ 정상")))</f>
        <v>✓ 정상</v>
      </c>
      <c r="I133" s="54"/>
    </row>
    <row r="134" ht="24.0" customHeight="1">
      <c r="B134" s="60" t="s">
        <v>1616</v>
      </c>
    </row>
    <row r="135" ht="15.75" customHeight="1">
      <c r="B135" s="17" t="s">
        <v>1617</v>
      </c>
      <c r="C135" s="42"/>
      <c r="D135" s="40" t="s">
        <v>78</v>
      </c>
      <c r="E135" s="41"/>
    </row>
    <row r="136" ht="15.75" customHeight="1">
      <c r="B136" s="17" t="s">
        <v>521</v>
      </c>
      <c r="C136" s="42"/>
      <c r="D136" s="40" t="s">
        <v>147</v>
      </c>
      <c r="E136" s="50" t="s">
        <v>462</v>
      </c>
    </row>
    <row r="137" ht="15.75" customHeight="1">
      <c r="B137" s="17" t="s">
        <v>1619</v>
      </c>
      <c r="C137" s="42"/>
      <c r="D137" s="40" t="s">
        <v>130</v>
      </c>
      <c r="E137" s="41"/>
    </row>
    <row r="138" ht="30.0" customHeight="1">
      <c r="B138" s="17" t="s">
        <v>524</v>
      </c>
      <c r="C138" s="42"/>
      <c r="D138" s="40" t="s">
        <v>525</v>
      </c>
      <c r="E138" s="50" t="s">
        <v>1622</v>
      </c>
    </row>
    <row r="139" ht="15.75" customHeight="1"/>
    <row r="140" ht="21.75" customHeight="1">
      <c r="A140" s="33" t="s">
        <v>1624</v>
      </c>
      <c r="B140" s="8"/>
      <c r="C140" s="8"/>
      <c r="D140" s="8"/>
      <c r="E140" s="8"/>
      <c r="F140" s="8"/>
      <c r="G140" s="8"/>
      <c r="H140" s="8"/>
      <c r="I140" s="7"/>
    </row>
    <row r="141" ht="21.75" customHeight="1">
      <c r="A141" s="51">
        <v>14.0</v>
      </c>
      <c r="B141" s="52" t="s">
        <v>1628</v>
      </c>
      <c r="C141" s="53"/>
      <c r="D141" s="53"/>
      <c r="E141" s="54"/>
      <c r="F141" s="55" t="s">
        <v>178</v>
      </c>
      <c r="G141" s="71" t="s">
        <v>950</v>
      </c>
      <c r="H141" s="59" t="str">
        <f>IF(G141="",IF(COUNTA(B145:H149)&gt;0,"⚠ 상태 미선택(입력값 있음)","상태 미선택 → 미수집 간주"),IF(G141="값 있음",IF(COUNTA(B145:H149)=0,"⚠ 값 있음인데 입력값 없음","✓ 정상"),IF(COUNTA(B145:H149)&gt;0,"⚠ 상태와 입력값 불일치","✓ 정상")))</f>
        <v>✓ 정상</v>
      </c>
      <c r="I141" s="54"/>
    </row>
    <row r="142" ht="24.0" customHeight="1">
      <c r="B142" s="60" t="s">
        <v>1639</v>
      </c>
    </row>
    <row r="143" ht="15.75" customHeight="1">
      <c r="A143" s="62" t="s">
        <v>24</v>
      </c>
      <c r="B143" s="13" t="s">
        <v>552</v>
      </c>
      <c r="C143" s="13" t="s">
        <v>553</v>
      </c>
      <c r="D143" s="13" t="s">
        <v>554</v>
      </c>
      <c r="E143" s="13" t="s">
        <v>555</v>
      </c>
      <c r="F143" s="13" t="s">
        <v>556</v>
      </c>
      <c r="G143" s="13" t="s">
        <v>557</v>
      </c>
      <c r="H143" s="13" t="s">
        <v>558</v>
      </c>
    </row>
    <row r="144" ht="25.5" customHeight="1">
      <c r="A144" s="63" t="s">
        <v>111</v>
      </c>
      <c r="B144" s="63" t="s">
        <v>130</v>
      </c>
      <c r="C144" s="63" t="s">
        <v>130</v>
      </c>
      <c r="D144" s="64" t="s">
        <v>1642</v>
      </c>
      <c r="E144" s="64" t="s">
        <v>1643</v>
      </c>
      <c r="F144" s="64" t="s">
        <v>1644</v>
      </c>
      <c r="G144" s="63" t="s">
        <v>130</v>
      </c>
      <c r="H144" s="64" t="s">
        <v>158</v>
      </c>
    </row>
    <row r="145" ht="15.75" customHeight="1">
      <c r="A145" s="65">
        <v>1.0</v>
      </c>
      <c r="B145" s="42"/>
      <c r="C145" s="42"/>
      <c r="D145" s="42"/>
      <c r="E145" s="42"/>
      <c r="F145" s="42"/>
      <c r="G145" s="42"/>
      <c r="H145" s="39"/>
    </row>
    <row r="146" ht="15.75" customHeight="1">
      <c r="A146" s="65">
        <v>2.0</v>
      </c>
      <c r="B146" s="42"/>
      <c r="C146" s="42"/>
      <c r="D146" s="42"/>
      <c r="E146" s="42"/>
      <c r="F146" s="42"/>
      <c r="G146" s="42"/>
      <c r="H146" s="39"/>
    </row>
    <row r="147" ht="15.75" customHeight="1">
      <c r="A147" s="65">
        <v>3.0</v>
      </c>
      <c r="B147" s="42"/>
      <c r="C147" s="42"/>
      <c r="D147" s="42"/>
      <c r="E147" s="42"/>
      <c r="F147" s="42"/>
      <c r="G147" s="42"/>
      <c r="H147" s="39"/>
    </row>
    <row r="148" ht="15.75" customHeight="1">
      <c r="A148" s="65">
        <v>4.0</v>
      </c>
      <c r="B148" s="42"/>
      <c r="C148" s="42"/>
      <c r="D148" s="42"/>
      <c r="E148" s="42"/>
      <c r="F148" s="42"/>
      <c r="G148" s="42"/>
      <c r="H148" s="39"/>
    </row>
    <row r="149" ht="15.75" customHeight="1">
      <c r="A149" s="65">
        <v>5.0</v>
      </c>
      <c r="B149" s="42"/>
      <c r="C149" s="42"/>
      <c r="D149" s="42"/>
      <c r="E149" s="42"/>
      <c r="F149" s="42"/>
      <c r="G149" s="42"/>
      <c r="H149" s="39"/>
    </row>
    <row r="150" ht="15.75" customHeight="1"/>
    <row r="151" ht="21.75" customHeight="1">
      <c r="A151" s="51">
        <v>15.0</v>
      </c>
      <c r="B151" s="52" t="s">
        <v>374</v>
      </c>
      <c r="C151" s="53"/>
      <c r="D151" s="53"/>
      <c r="E151" s="54"/>
      <c r="F151" s="55" t="s">
        <v>178</v>
      </c>
      <c r="G151" s="71"/>
      <c r="H151" s="59" t="str">
        <f>IF(G151="",IF(COUNTA(B155:E156)&gt;0,"⚠ 상태 미선택(입력값 있음)","상태 미선택 → 미수집 간주"),IF(G151="값 있음",IF(COUNTA(B155:E156)=0,"⚠ 값 있음인데 입력값 없음","✓ 정상"),IF(COUNTA(B155:E156)&gt;0,"⚠ 상태와 입력값 불일치","✓ 정상")))</f>
        <v>상태 미선택 → 미수집 간주</v>
      </c>
      <c r="I151" s="54"/>
    </row>
    <row r="152" ht="15.0" customHeight="1">
      <c r="B152" s="60" t="s">
        <v>1657</v>
      </c>
    </row>
    <row r="153" ht="15.75" customHeight="1">
      <c r="A153" s="62" t="s">
        <v>24</v>
      </c>
      <c r="B153" s="13" t="s">
        <v>400</v>
      </c>
      <c r="C153" s="13" t="s">
        <v>1661</v>
      </c>
      <c r="D153" s="13" t="s">
        <v>555</v>
      </c>
      <c r="E153" s="13" t="s">
        <v>558</v>
      </c>
    </row>
    <row r="154" ht="25.5" customHeight="1">
      <c r="A154" s="63" t="s">
        <v>111</v>
      </c>
      <c r="B154" s="64" t="s">
        <v>1662</v>
      </c>
      <c r="C154" s="63" t="s">
        <v>130</v>
      </c>
      <c r="D154" s="63" t="s">
        <v>130</v>
      </c>
      <c r="E154" s="64" t="s">
        <v>158</v>
      </c>
    </row>
    <row r="155" ht="15.75" customHeight="1">
      <c r="A155" s="65">
        <v>1.0</v>
      </c>
      <c r="B155" s="42"/>
      <c r="C155" s="42"/>
      <c r="D155" s="42"/>
      <c r="E155" s="39"/>
    </row>
    <row r="156" ht="15.75" customHeight="1">
      <c r="A156" s="65">
        <v>2.0</v>
      </c>
      <c r="B156" s="42"/>
      <c r="C156" s="42"/>
      <c r="D156" s="42"/>
      <c r="E156" s="39"/>
    </row>
    <row r="157" ht="15.75" customHeight="1"/>
    <row r="158" ht="21.75" customHeight="1">
      <c r="A158" s="70">
        <v>16.0</v>
      </c>
      <c r="B158" s="72" t="s">
        <v>1667</v>
      </c>
      <c r="C158" s="53"/>
      <c r="D158" s="53"/>
      <c r="E158" s="54"/>
      <c r="F158" s="73" t="s">
        <v>178</v>
      </c>
      <c r="G158" s="71"/>
      <c r="H158" s="74" t="str">
        <f>IF(G158="",IF(COUNTA(B162:G163)&gt;0,"⚠ 상태 미선택(입력값 있음)","상태 미선택 → 미수집 간주"),IF(G158="값 있음",IF(COUNTA(B162:G163)=0,"⚠ 값 있음인데 입력값 없음","✓ 정상"),IF(COUNTA(B162:G163)&gt;0,"⚠ 상태와 입력값 불일치","✓ 정상")))</f>
        <v>상태 미선택 → 미수집 간주</v>
      </c>
      <c r="I158" s="54"/>
    </row>
    <row r="159" ht="24.0" customHeight="1">
      <c r="B159" s="60" t="s">
        <v>1673</v>
      </c>
    </row>
    <row r="160" ht="15.75" customHeight="1">
      <c r="A160" s="62" t="s">
        <v>24</v>
      </c>
      <c r="B160" s="13" t="s">
        <v>400</v>
      </c>
      <c r="C160" s="13" t="s">
        <v>608</v>
      </c>
      <c r="D160" s="13" t="s">
        <v>403</v>
      </c>
      <c r="E160" s="13" t="s">
        <v>1677</v>
      </c>
      <c r="F160" s="13" t="s">
        <v>558</v>
      </c>
      <c r="G160" s="13" t="s">
        <v>613</v>
      </c>
    </row>
    <row r="161" ht="25.5" customHeight="1">
      <c r="A161" s="63" t="s">
        <v>111</v>
      </c>
      <c r="B161" s="64" t="s">
        <v>1680</v>
      </c>
      <c r="C161" s="63" t="s">
        <v>130</v>
      </c>
      <c r="D161" s="64" t="s">
        <v>1682</v>
      </c>
      <c r="E161" s="63" t="s">
        <v>130</v>
      </c>
      <c r="F161" s="64" t="s">
        <v>158</v>
      </c>
      <c r="G161" s="64" t="s">
        <v>1685</v>
      </c>
    </row>
    <row r="162" ht="15.75" customHeight="1">
      <c r="A162" s="65">
        <v>1.0</v>
      </c>
      <c r="B162" s="42"/>
      <c r="C162" s="42"/>
      <c r="D162" s="42"/>
      <c r="E162" s="42"/>
      <c r="F162" s="39"/>
      <c r="G162" s="42"/>
    </row>
    <row r="163" ht="15.75" customHeight="1">
      <c r="A163" s="65">
        <v>2.0</v>
      </c>
      <c r="B163" s="42"/>
      <c r="C163" s="42"/>
      <c r="D163" s="42"/>
      <c r="E163" s="42"/>
      <c r="F163" s="39"/>
      <c r="G163" s="42"/>
    </row>
    <row r="164" ht="15.75" customHeight="1"/>
    <row r="165" ht="21.75" customHeight="1">
      <c r="A165" s="33" t="s">
        <v>620</v>
      </c>
      <c r="B165" s="8"/>
      <c r="C165" s="8"/>
      <c r="D165" s="8"/>
      <c r="E165" s="8"/>
      <c r="F165" s="8"/>
      <c r="G165" s="8"/>
      <c r="H165" s="8"/>
      <c r="I165" s="7"/>
    </row>
    <row r="166" ht="21.75" customHeight="1">
      <c r="A166" s="51">
        <v>17.0</v>
      </c>
      <c r="B166" s="52" t="s">
        <v>1698</v>
      </c>
      <c r="C166" s="53"/>
      <c r="D166" s="53"/>
      <c r="E166" s="54"/>
      <c r="F166" s="55" t="s">
        <v>178</v>
      </c>
      <c r="G166" s="71"/>
      <c r="H166" s="59" t="str">
        <f>IF(G166="",IF(COUNTA(B170:G172)&gt;0,"⚠ 상태 미선택(입력값 있음)","상태 미선택 → 미수집 간주"),IF(G166="값 있음",IF(COUNTA(B170:G172)=0,"⚠ 값 있음인데 입력값 없음","✓ 정상"),IF(COUNTA(B170:G172)&gt;0,"⚠ 상태와 입력값 불일치","✓ 정상")))</f>
        <v>상태 미선택 → 미수집 간주</v>
      </c>
      <c r="I166" s="54"/>
    </row>
    <row r="167" ht="24.0" customHeight="1">
      <c r="B167" s="60" t="s">
        <v>1701</v>
      </c>
    </row>
    <row r="168" ht="15.75" customHeight="1">
      <c r="A168" s="62" t="s">
        <v>24</v>
      </c>
      <c r="B168" s="13" t="s">
        <v>400</v>
      </c>
      <c r="C168" s="13" t="s">
        <v>633</v>
      </c>
      <c r="D168" s="13" t="s">
        <v>1702</v>
      </c>
      <c r="E168" s="13" t="s">
        <v>1704</v>
      </c>
      <c r="F168" s="13" t="s">
        <v>639</v>
      </c>
      <c r="G168" s="62" t="s">
        <v>1705</v>
      </c>
    </row>
    <row r="169" ht="37.5" customHeight="1">
      <c r="A169" s="63" t="s">
        <v>111</v>
      </c>
      <c r="B169" s="64" t="s">
        <v>1706</v>
      </c>
      <c r="C169" s="63" t="s">
        <v>130</v>
      </c>
      <c r="D169" s="63" t="s">
        <v>130</v>
      </c>
      <c r="E169" s="63" t="s">
        <v>78</v>
      </c>
      <c r="F169" s="64" t="s">
        <v>158</v>
      </c>
      <c r="G169" s="64" t="s">
        <v>462</v>
      </c>
    </row>
    <row r="170" ht="15.75" customHeight="1">
      <c r="A170" s="65">
        <v>1.0</v>
      </c>
      <c r="B170" s="42"/>
      <c r="C170" s="42"/>
      <c r="D170" s="42"/>
      <c r="E170" s="42"/>
      <c r="F170" s="39"/>
      <c r="G170" s="42"/>
    </row>
    <row r="171" ht="15.75" customHeight="1">
      <c r="A171" s="65">
        <v>2.0</v>
      </c>
      <c r="B171" s="42"/>
      <c r="C171" s="42"/>
      <c r="D171" s="42"/>
      <c r="E171" s="42"/>
      <c r="F171" s="39"/>
      <c r="G171" s="42"/>
    </row>
    <row r="172" ht="15.75" customHeight="1">
      <c r="A172" s="65">
        <v>3.0</v>
      </c>
      <c r="B172" s="42"/>
      <c r="C172" s="42"/>
      <c r="D172" s="42"/>
      <c r="E172" s="42"/>
      <c r="F172" s="39"/>
      <c r="G172" s="42"/>
    </row>
    <row r="173" ht="15.75" customHeight="1"/>
    <row r="174" ht="21.75" customHeight="1">
      <c r="A174" s="70">
        <v>18.0</v>
      </c>
      <c r="B174" s="72" t="s">
        <v>431</v>
      </c>
      <c r="C174" s="53"/>
      <c r="D174" s="53"/>
      <c r="E174" s="54"/>
      <c r="F174" s="73" t="s">
        <v>178</v>
      </c>
      <c r="G174" s="71"/>
      <c r="H174" s="74" t="str">
        <f>IF(G174="",IF(COUNTA(C176:C178)&gt;0,"⚠ 상태 미선택(입력값 있음)","상태 미선택 → 미수집 간주"),IF(G174="값 있음",IF(COUNTA(C176:C178)=0,"⚠ 값 있음인데 입력값 없음","✓ 정상"),IF(COUNTA(C176:C178)&gt;0,"⚠ 상태와 입력값 불일치","✓ 정상")))</f>
        <v>상태 미선택 → 미수집 간주</v>
      </c>
      <c r="I174" s="54"/>
    </row>
    <row r="175" ht="24.0" customHeight="1">
      <c r="B175" s="60" t="s">
        <v>1731</v>
      </c>
    </row>
    <row r="176" ht="15.75" customHeight="1">
      <c r="B176" s="17" t="s">
        <v>660</v>
      </c>
      <c r="C176" s="42"/>
      <c r="D176" s="40" t="s">
        <v>78</v>
      </c>
      <c r="E176" s="41" t="s">
        <v>1734</v>
      </c>
    </row>
    <row r="177" ht="15.75" customHeight="1">
      <c r="B177" s="17" t="s">
        <v>667</v>
      </c>
      <c r="C177" s="42"/>
      <c r="D177" s="40" t="s">
        <v>78</v>
      </c>
      <c r="E177" s="41"/>
    </row>
    <row r="178" ht="15.75" customHeight="1">
      <c r="B178" s="17" t="s">
        <v>668</v>
      </c>
      <c r="C178" s="42"/>
      <c r="D178" s="40" t="s">
        <v>130</v>
      </c>
      <c r="E178" s="41" t="s">
        <v>1738</v>
      </c>
    </row>
    <row r="179" ht="15.75" customHeight="1"/>
    <row r="180" ht="21.75" customHeight="1">
      <c r="A180" s="33" t="s">
        <v>1740</v>
      </c>
      <c r="B180" s="8"/>
      <c r="C180" s="8"/>
      <c r="D180" s="8"/>
      <c r="E180" s="8"/>
      <c r="F180" s="8"/>
      <c r="G180" s="8"/>
      <c r="H180" s="8"/>
      <c r="I180" s="7"/>
    </row>
    <row r="181" ht="21.75" customHeight="1">
      <c r="A181" s="51">
        <v>19.0</v>
      </c>
      <c r="B181" s="75" t="s">
        <v>1743</v>
      </c>
      <c r="C181" s="53"/>
      <c r="D181" s="53"/>
      <c r="E181" s="54"/>
      <c r="F181" s="55" t="s">
        <v>178</v>
      </c>
      <c r="G181" s="71" t="s">
        <v>950</v>
      </c>
      <c r="H181" s="59" t="str">
        <f>IF(G181="",IF(COUNTA(B185:F188)&gt;0,"⚠ 상태 미선택(입력값 있음)","상태 미선택 → 미수집 간주"),IF(G181="값 있음",IF(COUNTA(B185:F188)=0,"⚠ 값 있음인데 입력값 없음","✓ 정상"),IF(COUNTA(B185:F188)&gt;0,"⚠ 상태와 입력값 불일치","✓ 정상")))</f>
        <v>✓ 정상</v>
      </c>
      <c r="I181" s="54"/>
    </row>
    <row r="182" ht="24.0" customHeight="1">
      <c r="B182" s="60" t="s">
        <v>1755</v>
      </c>
    </row>
    <row r="183" ht="15.75" customHeight="1">
      <c r="A183" s="62" t="s">
        <v>24</v>
      </c>
      <c r="B183" s="13" t="s">
        <v>20</v>
      </c>
      <c r="C183" s="13" t="s">
        <v>695</v>
      </c>
      <c r="D183" s="13" t="s">
        <v>1756</v>
      </c>
      <c r="E183" s="13" t="s">
        <v>698</v>
      </c>
      <c r="F183" s="13" t="s">
        <v>699</v>
      </c>
    </row>
    <row r="184" ht="25.5" customHeight="1">
      <c r="A184" s="63" t="s">
        <v>111</v>
      </c>
      <c r="B184" s="64" t="s">
        <v>1757</v>
      </c>
      <c r="C184" s="63" t="s">
        <v>130</v>
      </c>
      <c r="D184" s="63" t="s">
        <v>78</v>
      </c>
      <c r="E184" s="64" t="s">
        <v>158</v>
      </c>
      <c r="F184" s="64" t="s">
        <v>1759</v>
      </c>
    </row>
    <row r="185" ht="15.75" customHeight="1">
      <c r="A185" s="65">
        <v>1.0</v>
      </c>
      <c r="B185" s="42"/>
      <c r="C185" s="42"/>
      <c r="D185" s="42"/>
      <c r="E185" s="39"/>
      <c r="F185" s="42"/>
    </row>
    <row r="186" ht="15.75" customHeight="1">
      <c r="A186" s="65">
        <v>2.0</v>
      </c>
      <c r="B186" s="42"/>
      <c r="C186" s="42"/>
      <c r="D186" s="42"/>
      <c r="E186" s="39"/>
      <c r="F186" s="42"/>
    </row>
    <row r="187" ht="15.75" customHeight="1">
      <c r="A187" s="65">
        <v>3.0</v>
      </c>
      <c r="B187" s="42"/>
      <c r="C187" s="42"/>
      <c r="D187" s="42"/>
      <c r="E187" s="39"/>
      <c r="F187" s="42"/>
    </row>
    <row r="188" ht="15.75" customHeight="1">
      <c r="A188" s="65">
        <v>4.0</v>
      </c>
      <c r="B188" s="42"/>
      <c r="C188" s="42"/>
      <c r="D188" s="42"/>
      <c r="E188" s="39"/>
      <c r="F188" s="42"/>
    </row>
    <row r="189" ht="15.75" customHeight="1"/>
    <row r="190" ht="21.75" customHeight="1">
      <c r="A190" s="70">
        <v>20.0</v>
      </c>
      <c r="B190" s="80" t="s">
        <v>1760</v>
      </c>
      <c r="C190" s="53"/>
      <c r="D190" s="53"/>
      <c r="E190" s="54"/>
      <c r="F190" s="73" t="s">
        <v>178</v>
      </c>
      <c r="G190" s="71"/>
      <c r="H190" s="74" t="str">
        <f>IF(G190="",IF(COUNTA(B194:G196)&gt;0,"⚠ 상태 미선택(입력값 있음)","상태 미선택 → 미수집 간주"),IF(G190="값 있음",IF(COUNTA(B194:G196)=0,"⚠ 값 있음인데 입력값 없음","✓ 정상"),IF(COUNTA(B194:G196)&gt;0,"⚠ 상태와 입력값 불일치","✓ 정상")))</f>
        <v>상태 미선택 → 미수집 간주</v>
      </c>
      <c r="I190" s="54"/>
    </row>
    <row r="191" ht="24.0" customHeight="1">
      <c r="B191" s="60" t="s">
        <v>1776</v>
      </c>
    </row>
    <row r="192" ht="15.75" customHeight="1">
      <c r="A192" s="62" t="s">
        <v>24</v>
      </c>
      <c r="B192" s="13" t="s">
        <v>400</v>
      </c>
      <c r="C192" s="13" t="s">
        <v>608</v>
      </c>
      <c r="D192" s="13" t="s">
        <v>557</v>
      </c>
      <c r="E192" s="13" t="s">
        <v>1781</v>
      </c>
      <c r="F192" s="13" t="s">
        <v>554</v>
      </c>
      <c r="G192" s="13" t="s">
        <v>558</v>
      </c>
    </row>
    <row r="193" ht="25.5" customHeight="1">
      <c r="A193" s="63" t="s">
        <v>111</v>
      </c>
      <c r="B193" s="64" t="s">
        <v>1783</v>
      </c>
      <c r="C193" s="63" t="s">
        <v>130</v>
      </c>
      <c r="D193" s="63" t="s">
        <v>130</v>
      </c>
      <c r="E193" s="63" t="s">
        <v>130</v>
      </c>
      <c r="F193" s="64" t="s">
        <v>1784</v>
      </c>
      <c r="G193" s="64" t="s">
        <v>158</v>
      </c>
    </row>
    <row r="194" ht="15.75" customHeight="1">
      <c r="A194" s="65">
        <v>1.0</v>
      </c>
      <c r="B194" s="42"/>
      <c r="C194" s="42"/>
      <c r="D194" s="42"/>
      <c r="E194" s="42"/>
      <c r="F194" s="42"/>
      <c r="G194" s="39"/>
    </row>
    <row r="195" ht="15.75" customHeight="1">
      <c r="A195" s="65">
        <v>2.0</v>
      </c>
      <c r="B195" s="42"/>
      <c r="C195" s="42"/>
      <c r="D195" s="42"/>
      <c r="E195" s="42"/>
      <c r="F195" s="42"/>
      <c r="G195" s="39"/>
    </row>
    <row r="196" ht="15.75" customHeight="1">
      <c r="A196" s="65">
        <v>3.0</v>
      </c>
      <c r="B196" s="42"/>
      <c r="C196" s="42"/>
      <c r="D196" s="42"/>
      <c r="E196" s="42"/>
      <c r="F196" s="42"/>
      <c r="G196" s="39"/>
    </row>
    <row r="197" ht="15.75" customHeight="1"/>
    <row r="198" ht="21.75" customHeight="1">
      <c r="A198" s="51">
        <v>21.0</v>
      </c>
      <c r="B198" s="52" t="s">
        <v>504</v>
      </c>
      <c r="C198" s="53"/>
      <c r="D198" s="53"/>
      <c r="E198" s="54"/>
      <c r="F198" s="55" t="s">
        <v>178</v>
      </c>
      <c r="G198" s="71"/>
      <c r="H198" s="59" t="str">
        <f>IF(G198="",IF(COUNTA(B202:D205)&gt;0,"⚠ 상태 미선택(입력값 있음)","상태 미선택 → 미수집 간주"),IF(G198="값 있음",IF(COUNTA(B202:D205)=0,"⚠ 값 있음인데 입력값 없음","✓ 정상"),IF(COUNTA(B202:D205)&gt;0,"⚠ 상태와 입력값 불일치","✓ 정상")))</f>
        <v>상태 미선택 → 미수집 간주</v>
      </c>
      <c r="I198" s="54"/>
    </row>
    <row r="199" ht="24.0" customHeight="1">
      <c r="B199" s="60" t="s">
        <v>1796</v>
      </c>
    </row>
    <row r="200" ht="15.75" customHeight="1">
      <c r="A200" s="62" t="s">
        <v>24</v>
      </c>
      <c r="B200" s="13" t="s">
        <v>753</v>
      </c>
      <c r="C200" s="13" t="s">
        <v>755</v>
      </c>
      <c r="D200" s="13" t="s">
        <v>756</v>
      </c>
    </row>
    <row r="201" ht="15.0" customHeight="1">
      <c r="A201" s="63" t="s">
        <v>111</v>
      </c>
      <c r="B201" s="63" t="s">
        <v>759</v>
      </c>
      <c r="C201" s="64" t="s">
        <v>1799</v>
      </c>
      <c r="D201" s="63" t="s">
        <v>525</v>
      </c>
    </row>
    <row r="202" ht="36.0" customHeight="1">
      <c r="A202" s="65">
        <v>1.0</v>
      </c>
      <c r="B202" s="42"/>
      <c r="C202" s="42"/>
      <c r="D202" s="42"/>
    </row>
    <row r="203" ht="36.0" customHeight="1">
      <c r="A203" s="65">
        <v>2.0</v>
      </c>
      <c r="B203" s="42"/>
      <c r="C203" s="42"/>
      <c r="D203" s="42"/>
    </row>
    <row r="204" ht="36.0" customHeight="1">
      <c r="A204" s="65">
        <v>3.0</v>
      </c>
      <c r="B204" s="42"/>
      <c r="C204" s="42"/>
      <c r="D204" s="42"/>
    </row>
    <row r="205" ht="36.0" customHeight="1">
      <c r="A205" s="65">
        <v>4.0</v>
      </c>
      <c r="B205" s="42"/>
      <c r="C205" s="42"/>
      <c r="D205" s="42"/>
    </row>
    <row r="206" ht="15.75" customHeight="1"/>
    <row r="207" ht="21.75" customHeight="1">
      <c r="A207" s="33" t="s">
        <v>1806</v>
      </c>
      <c r="B207" s="8"/>
      <c r="C207" s="8"/>
      <c r="D207" s="8"/>
      <c r="E207" s="8"/>
      <c r="F207" s="8"/>
      <c r="G207" s="8"/>
      <c r="H207" s="8"/>
      <c r="I207" s="7"/>
    </row>
    <row r="208" ht="21.75" customHeight="1">
      <c r="A208" s="51">
        <v>22.0</v>
      </c>
      <c r="B208" s="52" t="s">
        <v>1809</v>
      </c>
      <c r="C208" s="53"/>
      <c r="D208" s="53"/>
      <c r="E208" s="54"/>
      <c r="F208" s="55" t="s">
        <v>178</v>
      </c>
      <c r="G208" s="71" t="s">
        <v>950</v>
      </c>
      <c r="H208" s="59" t="str">
        <f>IF(G208="",IF(COUNTA(B212:I215)&gt;0,"⚠ 상태 미선택(입력값 있음)","상태 미선택 → 미수집 간주"),IF(G208="값 있음",IF(COUNTA(B212:I215)=0,"⚠ 값 있음인데 입력값 없음","✓ 정상"),IF(COUNTA(B212:I215)&gt;0,"⚠ 상태와 입력값 불일치","✓ 정상")))</f>
        <v>✓ 정상</v>
      </c>
      <c r="I208" s="54"/>
    </row>
    <row r="209" ht="24.0" customHeight="1">
      <c r="B209" s="60" t="s">
        <v>1824</v>
      </c>
    </row>
    <row r="210" ht="15.75" customHeight="1">
      <c r="A210" s="62" t="s">
        <v>24</v>
      </c>
      <c r="B210" s="13" t="s">
        <v>400</v>
      </c>
      <c r="C210" s="13" t="s">
        <v>809</v>
      </c>
      <c r="D210" s="13" t="s">
        <v>811</v>
      </c>
      <c r="E210" s="13" t="s">
        <v>380</v>
      </c>
      <c r="F210" s="13" t="s">
        <v>381</v>
      </c>
      <c r="G210" s="13" t="s">
        <v>1828</v>
      </c>
      <c r="H210" s="13" t="s">
        <v>1829</v>
      </c>
      <c r="I210" s="13" t="s">
        <v>1831</v>
      </c>
    </row>
    <row r="211" ht="25.5" customHeight="1">
      <c r="A211" s="63" t="s">
        <v>111</v>
      </c>
      <c r="B211" s="64" t="s">
        <v>1832</v>
      </c>
      <c r="C211" s="63" t="s">
        <v>130</v>
      </c>
      <c r="D211" s="64" t="s">
        <v>1834</v>
      </c>
      <c r="E211" s="64" t="s">
        <v>158</v>
      </c>
      <c r="F211" s="64" t="s">
        <v>1836</v>
      </c>
      <c r="G211" s="63" t="s">
        <v>78</v>
      </c>
      <c r="H211" s="63" t="s">
        <v>78</v>
      </c>
      <c r="I211" s="63" t="s">
        <v>130</v>
      </c>
    </row>
    <row r="212" ht="15.75" customHeight="1">
      <c r="A212" s="65">
        <v>1.0</v>
      </c>
      <c r="B212" s="42"/>
      <c r="C212" s="42"/>
      <c r="D212" s="42"/>
      <c r="E212" s="39"/>
      <c r="F212" s="39"/>
      <c r="G212" s="42"/>
      <c r="H212" s="42"/>
      <c r="I212" s="42"/>
    </row>
    <row r="213" ht="15.75" customHeight="1">
      <c r="A213" s="65">
        <v>2.0</v>
      </c>
      <c r="B213" s="42"/>
      <c r="C213" s="42"/>
      <c r="D213" s="42"/>
      <c r="E213" s="39"/>
      <c r="F213" s="39"/>
      <c r="G213" s="42"/>
      <c r="H213" s="42"/>
      <c r="I213" s="42"/>
    </row>
    <row r="214" ht="15.75" customHeight="1">
      <c r="A214" s="65">
        <v>3.0</v>
      </c>
      <c r="B214" s="42"/>
      <c r="C214" s="42"/>
      <c r="D214" s="42"/>
      <c r="E214" s="39"/>
      <c r="F214" s="39"/>
      <c r="G214" s="42"/>
      <c r="H214" s="42"/>
      <c r="I214" s="42"/>
    </row>
    <row r="215" ht="15.75" customHeight="1">
      <c r="A215" s="65">
        <v>4.0</v>
      </c>
      <c r="B215" s="42"/>
      <c r="C215" s="42"/>
      <c r="D215" s="42"/>
      <c r="E215" s="39"/>
      <c r="F215" s="39"/>
      <c r="G215" s="42"/>
      <c r="H215" s="42"/>
      <c r="I215" s="42"/>
    </row>
    <row r="216" ht="15.75" customHeight="1"/>
    <row r="217" ht="21.75" customHeight="1">
      <c r="A217" s="51">
        <v>23.0</v>
      </c>
      <c r="B217" s="52" t="s">
        <v>564</v>
      </c>
      <c r="C217" s="53"/>
      <c r="D217" s="53"/>
      <c r="E217" s="54"/>
      <c r="F217" s="55" t="s">
        <v>178</v>
      </c>
      <c r="G217" s="71" t="s">
        <v>950</v>
      </c>
      <c r="H217" s="59" t="str">
        <f>IF(G217="",IF(COUNTA(C219,B222:E225)&gt;0,"⚠ 상태 미선택(입력값 있음)","상태 미선택 → 미수집 간주"),IF(G217="값 있음",IF(COUNTA(C219,B222:E225)=0,"⚠ 값 있음인데 입력값 없음","✓ 정상"),IF(COUNTA(C219,B222:E225)&gt;0,"⚠ 상태와 입력값 불일치","✓ 정상")))</f>
        <v>✓ 정상</v>
      </c>
      <c r="I217" s="54"/>
    </row>
    <row r="218" ht="24.0" customHeight="1">
      <c r="B218" s="60" t="s">
        <v>1855</v>
      </c>
    </row>
    <row r="219" ht="15.75" customHeight="1">
      <c r="B219" s="17" t="s">
        <v>1856</v>
      </c>
      <c r="C219" s="42"/>
      <c r="D219" s="40" t="s">
        <v>78</v>
      </c>
      <c r="E219" s="50" t="s">
        <v>1858</v>
      </c>
    </row>
    <row r="220" ht="15.75" customHeight="1">
      <c r="A220" s="62" t="s">
        <v>24</v>
      </c>
      <c r="B220" s="13" t="s">
        <v>20</v>
      </c>
      <c r="C220" s="13" t="s">
        <v>1859</v>
      </c>
      <c r="D220" s="13" t="s">
        <v>1860</v>
      </c>
      <c r="E220" s="13" t="s">
        <v>558</v>
      </c>
    </row>
    <row r="221" ht="25.5" customHeight="1">
      <c r="A221" s="63" t="s">
        <v>111</v>
      </c>
      <c r="B221" s="64" t="s">
        <v>1863</v>
      </c>
      <c r="C221" s="63" t="s">
        <v>130</v>
      </c>
      <c r="D221" s="63" t="s">
        <v>78</v>
      </c>
      <c r="E221" s="64" t="s">
        <v>158</v>
      </c>
    </row>
    <row r="222" ht="15.75" customHeight="1">
      <c r="A222" s="65">
        <v>1.0</v>
      </c>
      <c r="B222" s="42"/>
      <c r="C222" s="42"/>
      <c r="D222" s="42"/>
      <c r="E222" s="39"/>
    </row>
    <row r="223" ht="15.75" customHeight="1">
      <c r="A223" s="65">
        <v>2.0</v>
      </c>
      <c r="B223" s="42"/>
      <c r="C223" s="42"/>
      <c r="D223" s="42"/>
      <c r="E223" s="39"/>
    </row>
    <row r="224" ht="15.75" customHeight="1">
      <c r="A224" s="65">
        <v>3.0</v>
      </c>
      <c r="B224" s="42"/>
      <c r="C224" s="42"/>
      <c r="D224" s="42"/>
      <c r="E224" s="39"/>
    </row>
    <row r="225" ht="15.75" customHeight="1">
      <c r="A225" s="65">
        <v>4.0</v>
      </c>
      <c r="B225" s="42"/>
      <c r="C225" s="42"/>
      <c r="D225" s="42"/>
      <c r="E225" s="39"/>
    </row>
    <row r="226" ht="15.75" customHeight="1"/>
    <row r="227" ht="21.75" customHeight="1">
      <c r="A227" s="76">
        <v>24.0</v>
      </c>
      <c r="B227" s="77" t="s">
        <v>1874</v>
      </c>
      <c r="C227" s="53"/>
      <c r="D227" s="53"/>
      <c r="E227" s="54"/>
      <c r="F227" s="78" t="s">
        <v>178</v>
      </c>
      <c r="G227" s="71"/>
      <c r="H227" s="79" t="str">
        <f>IF(G227="",IF(COUNTA(B231:E233)&gt;0,"⚠ 상태 미선택(입력값 있음)","상태 미선택 → 미수집 간주"),IF(G227="값 있음",IF(COUNTA(B231:E233)=0,"⚠ 값 있음인데 입력값 없음","✓ 정상"),IF(COUNTA(B231:E233)&gt;0,"⚠ 상태와 입력값 불일치","✓ 정상")))</f>
        <v>상태 미선택 → 미수집 간주</v>
      </c>
      <c r="I227" s="54"/>
    </row>
    <row r="228" ht="15.0" customHeight="1">
      <c r="B228" s="60" t="s">
        <v>1886</v>
      </c>
    </row>
    <row r="229" ht="15.75" customHeight="1">
      <c r="A229" s="62" t="s">
        <v>24</v>
      </c>
      <c r="B229" s="13" t="s">
        <v>400</v>
      </c>
      <c r="C229" s="13" t="s">
        <v>871</v>
      </c>
      <c r="D229" s="13" t="s">
        <v>1889</v>
      </c>
      <c r="E229" s="13" t="s">
        <v>1890</v>
      </c>
    </row>
    <row r="230" ht="25.5" customHeight="1">
      <c r="A230" s="63" t="s">
        <v>111</v>
      </c>
      <c r="B230" s="64" t="s">
        <v>1893</v>
      </c>
      <c r="C230" s="63" t="s">
        <v>130</v>
      </c>
      <c r="D230" s="63" t="s">
        <v>130</v>
      </c>
      <c r="E230" s="63" t="s">
        <v>78</v>
      </c>
    </row>
    <row r="231" ht="15.75" customHeight="1">
      <c r="A231" s="65">
        <v>1.0</v>
      </c>
      <c r="B231" s="42"/>
      <c r="C231" s="42"/>
      <c r="D231" s="42"/>
      <c r="E231" s="42"/>
    </row>
    <row r="232" ht="15.75" customHeight="1">
      <c r="A232" s="65">
        <v>2.0</v>
      </c>
      <c r="B232" s="42"/>
      <c r="C232" s="42"/>
      <c r="D232" s="42"/>
      <c r="E232" s="42"/>
    </row>
    <row r="233" ht="15.75" customHeight="1">
      <c r="A233" s="65">
        <v>3.0</v>
      </c>
      <c r="B233" s="42"/>
      <c r="C233" s="42"/>
      <c r="D233" s="42"/>
      <c r="E233" s="42"/>
    </row>
    <row r="234" ht="15.75" customHeight="1"/>
    <row r="235" ht="21.75" customHeight="1">
      <c r="A235" s="76">
        <v>25.0</v>
      </c>
      <c r="B235" s="77" t="s">
        <v>611</v>
      </c>
      <c r="C235" s="53"/>
      <c r="D235" s="53"/>
      <c r="E235" s="54"/>
      <c r="F235" s="78" t="s">
        <v>178</v>
      </c>
      <c r="G235" s="71"/>
      <c r="H235" s="79" t="str">
        <f>IF(G235="",IF(COUNTA(B239:G242)&gt;0,"⚠ 상태 미선택(입력값 있음)","상태 미선택 → 미수집 간주"),IF(G235="값 있음",IF(COUNTA(B239:G242)=0,"⚠ 값 있음인데 입력값 없음","✓ 정상"),IF(COUNTA(B239:G242)&gt;0,"⚠ 상태와 입력값 불일치","✓ 정상")))</f>
        <v>상태 미선택 → 미수집 간주</v>
      </c>
      <c r="I235" s="54"/>
    </row>
    <row r="236" ht="24.0" customHeight="1">
      <c r="B236" s="60" t="s">
        <v>1905</v>
      </c>
    </row>
    <row r="237" ht="15.75" customHeight="1">
      <c r="A237" s="62" t="s">
        <v>24</v>
      </c>
      <c r="B237" s="13" t="s">
        <v>215</v>
      </c>
      <c r="C237" s="13" t="s">
        <v>193</v>
      </c>
      <c r="D237" s="13" t="s">
        <v>901</v>
      </c>
      <c r="E237" s="13" t="s">
        <v>902</v>
      </c>
      <c r="F237" s="13" t="s">
        <v>1912</v>
      </c>
      <c r="G237" s="13" t="s">
        <v>904</v>
      </c>
    </row>
    <row r="238" ht="25.5" customHeight="1">
      <c r="A238" s="63" t="s">
        <v>111</v>
      </c>
      <c r="B238" s="63" t="s">
        <v>130</v>
      </c>
      <c r="C238" s="64" t="s">
        <v>1915</v>
      </c>
      <c r="D238" s="63" t="s">
        <v>78</v>
      </c>
      <c r="E238" s="63" t="s">
        <v>78</v>
      </c>
      <c r="F238" s="63" t="s">
        <v>78</v>
      </c>
      <c r="G238" s="63" t="s">
        <v>130</v>
      </c>
    </row>
    <row r="239" ht="15.75" customHeight="1">
      <c r="A239" s="65">
        <v>1.0</v>
      </c>
      <c r="B239" s="42"/>
      <c r="C239" s="39"/>
      <c r="D239" s="42"/>
      <c r="E239" s="42"/>
      <c r="F239" s="42"/>
      <c r="G239" s="42"/>
    </row>
    <row r="240" ht="15.75" customHeight="1">
      <c r="A240" s="65">
        <v>2.0</v>
      </c>
      <c r="B240" s="42"/>
      <c r="C240" s="39"/>
      <c r="D240" s="42"/>
      <c r="E240" s="42"/>
      <c r="F240" s="42"/>
      <c r="G240" s="42"/>
    </row>
    <row r="241" ht="15.75" customHeight="1">
      <c r="A241" s="65">
        <v>3.0</v>
      </c>
      <c r="B241" s="42"/>
      <c r="C241" s="39"/>
      <c r="D241" s="42"/>
      <c r="E241" s="42"/>
      <c r="F241" s="42"/>
      <c r="G241" s="42"/>
    </row>
    <row r="242" ht="15.75" customHeight="1">
      <c r="A242" s="65">
        <v>4.0</v>
      </c>
      <c r="B242" s="42"/>
      <c r="C242" s="39"/>
      <c r="D242" s="42"/>
      <c r="E242" s="42"/>
      <c r="F242" s="42"/>
      <c r="G242" s="42"/>
    </row>
    <row r="243" ht="15.75" customHeight="1"/>
    <row r="244" ht="21.75" customHeight="1">
      <c r="A244" s="33" t="s">
        <v>1924</v>
      </c>
      <c r="B244" s="8"/>
      <c r="C244" s="8"/>
      <c r="D244" s="8"/>
      <c r="E244" s="8"/>
      <c r="F244" s="8"/>
      <c r="G244" s="8"/>
      <c r="H244" s="8"/>
      <c r="I244" s="7"/>
    </row>
    <row r="245" ht="21.75" customHeight="1">
      <c r="A245" s="51">
        <v>26.0</v>
      </c>
      <c r="B245" s="52" t="s">
        <v>1928</v>
      </c>
      <c r="C245" s="53"/>
      <c r="D245" s="53"/>
      <c r="E245" s="54"/>
      <c r="F245" s="55" t="s">
        <v>178</v>
      </c>
      <c r="G245" s="71" t="s">
        <v>950</v>
      </c>
      <c r="H245" s="59" t="str">
        <f>IF(G245="",IF(COUNTA(B249:F252)&gt;0,"⚠ 상태 미선택(입력값 있음)","상태 미선택 → 미수집 간주"),IF(G245="값 있음",IF(COUNTA(B249:F252)=0,"⚠ 값 있음인데 입력값 없음","✓ 정상"),IF(COUNTA(B249:F252)&gt;0,"⚠ 상태와 입력값 불일치","✓ 정상")))</f>
        <v>✓ 정상</v>
      </c>
      <c r="I245" s="54"/>
    </row>
    <row r="246" ht="24.0" customHeight="1">
      <c r="B246" s="60" t="s">
        <v>1932</v>
      </c>
    </row>
    <row r="247" ht="15.75" customHeight="1">
      <c r="A247" s="62" t="s">
        <v>24</v>
      </c>
      <c r="B247" s="13" t="s">
        <v>931</v>
      </c>
      <c r="C247" s="13" t="s">
        <v>932</v>
      </c>
      <c r="D247" s="13" t="s">
        <v>1937</v>
      </c>
      <c r="E247" s="13" t="s">
        <v>934</v>
      </c>
      <c r="F247" s="13" t="s">
        <v>935</v>
      </c>
    </row>
    <row r="248" ht="37.5" customHeight="1">
      <c r="A248" s="63" t="s">
        <v>111</v>
      </c>
      <c r="B248" s="64" t="s">
        <v>1939</v>
      </c>
      <c r="C248" s="63" t="s">
        <v>78</v>
      </c>
      <c r="D248" s="63" t="s">
        <v>1941</v>
      </c>
      <c r="E248" s="64" t="s">
        <v>165</v>
      </c>
      <c r="F248" s="64" t="s">
        <v>165</v>
      </c>
    </row>
    <row r="249" ht="15.75" customHeight="1">
      <c r="A249" s="65">
        <v>1.0</v>
      </c>
      <c r="B249" s="42"/>
      <c r="C249" s="42"/>
      <c r="D249" s="42"/>
      <c r="E249" s="39"/>
      <c r="F249" s="39"/>
    </row>
    <row r="250" ht="15.75" customHeight="1">
      <c r="A250" s="65">
        <v>2.0</v>
      </c>
      <c r="B250" s="42"/>
      <c r="C250" s="42"/>
      <c r="D250" s="42"/>
      <c r="E250" s="39"/>
      <c r="F250" s="39"/>
    </row>
    <row r="251" ht="15.75" customHeight="1">
      <c r="A251" s="65">
        <v>3.0</v>
      </c>
      <c r="B251" s="42"/>
      <c r="C251" s="42"/>
      <c r="D251" s="42"/>
      <c r="E251" s="39"/>
      <c r="F251" s="39"/>
    </row>
    <row r="252" ht="15.75" customHeight="1">
      <c r="A252" s="65">
        <v>4.0</v>
      </c>
      <c r="B252" s="42"/>
      <c r="C252" s="42"/>
      <c r="D252" s="42"/>
      <c r="E252" s="39"/>
      <c r="F252" s="39"/>
    </row>
    <row r="253" ht="15.75" customHeight="1"/>
    <row r="254" ht="21.75" customHeight="1">
      <c r="A254" s="51">
        <v>27.0</v>
      </c>
      <c r="B254" s="52" t="s">
        <v>1944</v>
      </c>
      <c r="C254" s="53"/>
      <c r="D254" s="53"/>
      <c r="E254" s="54"/>
      <c r="F254" s="55" t="s">
        <v>178</v>
      </c>
      <c r="G254" s="71" t="s">
        <v>950</v>
      </c>
      <c r="H254" s="59" t="str">
        <f>IF(G254="",IF(COUNTA(B258:E262)&gt;0,"⚠ 상태 미선택(입력값 있음)","상태 미선택 → 미수집 간주"),IF(G254="값 있음",IF(COUNTA(B258:E262)=0,"⚠ 값 있음인데 입력값 없음","✓ 정상"),IF(COUNTA(B258:E262)&gt;0,"⚠ 상태와 입력값 불일치","✓ 정상")))</f>
        <v>✓ 정상</v>
      </c>
      <c r="I254" s="54"/>
    </row>
    <row r="255" ht="24.0" customHeight="1">
      <c r="B255" s="60" t="s">
        <v>1956</v>
      </c>
    </row>
    <row r="256" ht="15.75" customHeight="1">
      <c r="A256" s="62" t="s">
        <v>24</v>
      </c>
      <c r="B256" s="13" t="s">
        <v>954</v>
      </c>
      <c r="C256" s="13" t="s">
        <v>1957</v>
      </c>
      <c r="D256" s="13" t="s">
        <v>956</v>
      </c>
      <c r="E256" s="13" t="s">
        <v>957</v>
      </c>
    </row>
    <row r="257" ht="15.0" customHeight="1">
      <c r="A257" s="63" t="s">
        <v>111</v>
      </c>
      <c r="B257" s="63" t="s">
        <v>130</v>
      </c>
      <c r="C257" s="63" t="s">
        <v>130</v>
      </c>
      <c r="D257" s="63" t="s">
        <v>130</v>
      </c>
      <c r="E257" s="64" t="s">
        <v>165</v>
      </c>
    </row>
    <row r="258" ht="15.75" customHeight="1">
      <c r="A258" s="65">
        <v>1.0</v>
      </c>
      <c r="B258" s="42"/>
      <c r="C258" s="42"/>
      <c r="D258" s="42"/>
      <c r="E258" s="39"/>
    </row>
    <row r="259" ht="15.75" customHeight="1">
      <c r="A259" s="65">
        <v>2.0</v>
      </c>
      <c r="B259" s="42"/>
      <c r="C259" s="42"/>
      <c r="D259" s="42"/>
      <c r="E259" s="39"/>
    </row>
    <row r="260" ht="15.75" customHeight="1">
      <c r="A260" s="65">
        <v>3.0</v>
      </c>
      <c r="B260" s="42"/>
      <c r="C260" s="42"/>
      <c r="D260" s="42"/>
      <c r="E260" s="39"/>
    </row>
    <row r="261" ht="15.75" customHeight="1">
      <c r="A261" s="65">
        <v>4.0</v>
      </c>
      <c r="B261" s="42"/>
      <c r="C261" s="42"/>
      <c r="D261" s="42"/>
      <c r="E261" s="39"/>
    </row>
    <row r="262" ht="15.75" customHeight="1">
      <c r="A262" s="65">
        <v>5.0</v>
      </c>
      <c r="B262" s="42"/>
      <c r="C262" s="42"/>
      <c r="D262" s="42"/>
      <c r="E262" s="39"/>
    </row>
    <row r="263" ht="15.75" customHeight="1"/>
    <row r="264" ht="21.75" customHeight="1">
      <c r="A264" s="70">
        <v>28.0</v>
      </c>
      <c r="B264" s="72" t="s">
        <v>1962</v>
      </c>
      <c r="C264" s="53"/>
      <c r="D264" s="53"/>
      <c r="E264" s="54"/>
      <c r="F264" s="73" t="s">
        <v>178</v>
      </c>
      <c r="G264" s="71"/>
      <c r="H264" s="74" t="str">
        <f>IF(G264="",IF(COUNTA(B268:D269)&gt;0,"⚠ 상태 미선택(입력값 있음)","상태 미선택 → 미수집 간주"),IF(G264="값 있음",IF(COUNTA(B268:D269)=0,"⚠ 값 있음인데 입력값 없음","✓ 정상"),IF(COUNTA(B268:D269)&gt;0,"⚠ 상태와 입력값 불일치","✓ 정상")))</f>
        <v>상태 미선택 → 미수집 간주</v>
      </c>
      <c r="I264" s="54"/>
    </row>
    <row r="265" ht="15.0" customHeight="1">
      <c r="B265" s="60" t="s">
        <v>1973</v>
      </c>
    </row>
    <row r="266" ht="15.75" customHeight="1">
      <c r="A266" s="62" t="s">
        <v>24</v>
      </c>
      <c r="B266" s="13" t="s">
        <v>931</v>
      </c>
      <c r="C266" s="13" t="s">
        <v>972</v>
      </c>
      <c r="D266" s="13" t="s">
        <v>974</v>
      </c>
    </row>
    <row r="267" ht="25.5" customHeight="1">
      <c r="A267" s="63" t="s">
        <v>111</v>
      </c>
      <c r="B267" s="63" t="s">
        <v>130</v>
      </c>
      <c r="C267" s="64" t="s">
        <v>1982</v>
      </c>
      <c r="D267" s="64" t="s">
        <v>977</v>
      </c>
    </row>
    <row r="268" ht="15.75" customHeight="1">
      <c r="A268" s="65">
        <v>1.0</v>
      </c>
      <c r="B268" s="42"/>
      <c r="C268" s="42"/>
      <c r="D268" s="39"/>
    </row>
    <row r="269" ht="15.75" customHeight="1">
      <c r="A269" s="65">
        <v>2.0</v>
      </c>
      <c r="B269" s="42"/>
      <c r="C269" s="42"/>
      <c r="D269" s="39"/>
    </row>
    <row r="270" ht="15.75" customHeight="1"/>
    <row r="271" ht="21.75" customHeight="1">
      <c r="A271" s="70">
        <v>29.0</v>
      </c>
      <c r="B271" s="80" t="s">
        <v>1985</v>
      </c>
      <c r="C271" s="53"/>
      <c r="D271" s="53"/>
      <c r="E271" s="54"/>
      <c r="F271" s="73" t="s">
        <v>178</v>
      </c>
      <c r="G271" s="71" t="s">
        <v>47</v>
      </c>
      <c r="H271" s="74" t="str">
        <f>IF(G271="",IF(COUNTA(C273:C277)&gt;0,"⚠ 상태 미선택(입력값 있음)","상태 미선택 → 미수집 간주"),IF(G271="값 있음",IF(COUNTA(C273:C277)=0,"⚠ 값 있음인데 입력값 없음","✓ 정상"),IF(COUNTA(C273:C277)&gt;0,"⚠ 상태와 입력값 불일치","✓ 정상")))</f>
        <v>✓ 정상</v>
      </c>
      <c r="I271" s="54"/>
    </row>
    <row r="272" ht="24.0" customHeight="1">
      <c r="B272" s="60" t="s">
        <v>1996</v>
      </c>
    </row>
    <row r="273" ht="15.75" customHeight="1">
      <c r="B273" s="17" t="s">
        <v>993</v>
      </c>
      <c r="C273" s="69" t="s">
        <v>1042</v>
      </c>
      <c r="D273" s="40" t="s">
        <v>147</v>
      </c>
      <c r="E273" s="50" t="s">
        <v>1999</v>
      </c>
    </row>
    <row r="274" ht="15.75" customHeight="1">
      <c r="B274" s="17" t="s">
        <v>998</v>
      </c>
      <c r="C274" s="69" t="s">
        <v>1231</v>
      </c>
      <c r="D274" s="40" t="s">
        <v>147</v>
      </c>
      <c r="E274" s="50" t="s">
        <v>2000</v>
      </c>
    </row>
    <row r="275" ht="15.75" customHeight="1">
      <c r="B275" s="17" t="s">
        <v>1002</v>
      </c>
      <c r="C275" s="69" t="s">
        <v>1231</v>
      </c>
      <c r="D275" s="40" t="s">
        <v>147</v>
      </c>
      <c r="E275" s="50" t="s">
        <v>2002</v>
      </c>
    </row>
    <row r="276" ht="15.75" customHeight="1">
      <c r="B276" s="9" t="s">
        <v>2004</v>
      </c>
      <c r="C276" s="69" t="s">
        <v>1231</v>
      </c>
      <c r="D276" s="40" t="s">
        <v>147</v>
      </c>
      <c r="E276" s="50" t="s">
        <v>2005</v>
      </c>
    </row>
    <row r="277" ht="15.75" customHeight="1">
      <c r="B277" s="17" t="s">
        <v>1007</v>
      </c>
      <c r="C277" s="69" t="s">
        <v>1231</v>
      </c>
      <c r="D277" s="40" t="s">
        <v>147</v>
      </c>
      <c r="E277" s="50" t="s">
        <v>2008</v>
      </c>
    </row>
    <row r="278" ht="15.75" customHeight="1"/>
    <row r="279" ht="21.75" customHeight="1">
      <c r="A279" s="70">
        <v>30.0</v>
      </c>
      <c r="B279" s="72" t="s">
        <v>743</v>
      </c>
      <c r="C279" s="53"/>
      <c r="D279" s="53"/>
      <c r="E279" s="54"/>
      <c r="F279" s="73" t="s">
        <v>178</v>
      </c>
      <c r="G279" s="71" t="s">
        <v>47</v>
      </c>
      <c r="H279" s="74" t="str">
        <f>IF(G279="",IF(COUNTA(C281:C283)&gt;0,"⚠ 상태 미선택(입력값 있음)","상태 미선택 → 미수집 간주"),IF(G279="값 있음",IF(COUNTA(C281:C283)=0,"⚠ 값 있음인데 입력값 없음","✓ 정상"),IF(COUNTA(C281:C283)&gt;0,"⚠ 상태와 입력값 불일치","✓ 정상")))</f>
        <v>✓ 정상</v>
      </c>
      <c r="I279" s="54"/>
    </row>
    <row r="280" ht="15.0" customHeight="1">
      <c r="B280" s="60" t="s">
        <v>2020</v>
      </c>
    </row>
    <row r="281" ht="15.75" customHeight="1">
      <c r="B281" s="17" t="s">
        <v>2021</v>
      </c>
      <c r="C281" s="42">
        <v>35.0</v>
      </c>
      <c r="D281" s="40" t="s">
        <v>78</v>
      </c>
      <c r="E281" s="41"/>
    </row>
    <row r="282" ht="15.75" customHeight="1">
      <c r="B282" s="17" t="s">
        <v>2022</v>
      </c>
      <c r="C282" s="42">
        <v>90.0</v>
      </c>
      <c r="D282" s="40" t="s">
        <v>78</v>
      </c>
      <c r="E282" s="41" t="s">
        <v>2023</v>
      </c>
    </row>
    <row r="283" ht="15.75" customHeight="1">
      <c r="B283" s="17" t="s">
        <v>1037</v>
      </c>
      <c r="C283" s="39" t="s">
        <v>1075</v>
      </c>
      <c r="D283" s="49" t="s">
        <v>165</v>
      </c>
      <c r="E283" s="41"/>
    </row>
    <row r="284" ht="15.75" customHeight="1"/>
    <row r="285" ht="21.75" customHeight="1">
      <c r="A285" s="33" t="s">
        <v>2024</v>
      </c>
      <c r="B285" s="8"/>
      <c r="C285" s="8"/>
      <c r="D285" s="8"/>
      <c r="E285" s="8"/>
      <c r="F285" s="8"/>
      <c r="G285" s="8"/>
      <c r="H285" s="8"/>
      <c r="I285" s="7"/>
    </row>
    <row r="286" ht="21.75" customHeight="1">
      <c r="A286" s="70">
        <v>31.0</v>
      </c>
      <c r="B286" s="80" t="s">
        <v>2025</v>
      </c>
      <c r="C286" s="53"/>
      <c r="D286" s="53"/>
      <c r="E286" s="54"/>
      <c r="F286" s="73" t="s">
        <v>178</v>
      </c>
      <c r="G286" s="71"/>
      <c r="H286" s="74" t="str">
        <f>IF(G286="",IF(COUNTA(C288,B291:D296)&gt;0,"⚠ 상태 미선택(입력값 있음)","상태 미선택 → 미수집 간주"),IF(G286="값 있음",IF(COUNTA(C288,B291:D296)=0,"⚠ 값 있음인데 입력값 없음","✓ 정상"),IF(COUNTA(C288,B291:D296)&gt;0,"⚠ 상태와 입력값 불일치","✓ 정상")))</f>
        <v>상태 미선택 → 미수집 간주</v>
      </c>
      <c r="I286" s="54"/>
    </row>
    <row r="287" ht="24.0" customHeight="1">
      <c r="B287" s="60" t="s">
        <v>2042</v>
      </c>
    </row>
    <row r="288" ht="15.75" customHeight="1">
      <c r="B288" s="17" t="s">
        <v>1058</v>
      </c>
      <c r="C288" s="39"/>
      <c r="D288" s="49" t="s">
        <v>165</v>
      </c>
      <c r="E288" s="41"/>
    </row>
    <row r="289" ht="15.75" customHeight="1">
      <c r="A289" s="62" t="s">
        <v>24</v>
      </c>
      <c r="B289" s="13" t="s">
        <v>1059</v>
      </c>
      <c r="C289" s="13" t="s">
        <v>1060</v>
      </c>
      <c r="D289" s="13" t="s">
        <v>902</v>
      </c>
    </row>
    <row r="290" ht="15.0" customHeight="1">
      <c r="A290" s="63" t="s">
        <v>111</v>
      </c>
      <c r="B290" s="63" t="s">
        <v>1061</v>
      </c>
      <c r="C290" s="63" t="s">
        <v>78</v>
      </c>
      <c r="D290" s="63" t="s">
        <v>78</v>
      </c>
    </row>
    <row r="291" ht="15.75" customHeight="1">
      <c r="A291" s="65">
        <v>1.0</v>
      </c>
      <c r="B291" s="42"/>
      <c r="C291" s="42"/>
      <c r="D291" s="42"/>
    </row>
    <row r="292" ht="15.75" customHeight="1">
      <c r="A292" s="65">
        <v>2.0</v>
      </c>
      <c r="B292" s="42"/>
      <c r="C292" s="42"/>
      <c r="D292" s="42"/>
    </row>
    <row r="293" ht="15.75" customHeight="1">
      <c r="A293" s="65">
        <v>3.0</v>
      </c>
      <c r="B293" s="42"/>
      <c r="C293" s="42"/>
      <c r="D293" s="42"/>
    </row>
    <row r="294" ht="15.75" customHeight="1">
      <c r="A294" s="65">
        <v>4.0</v>
      </c>
      <c r="B294" s="42"/>
      <c r="C294" s="42"/>
      <c r="D294" s="42"/>
    </row>
    <row r="295" ht="15.75" customHeight="1">
      <c r="A295" s="65">
        <v>5.0</v>
      </c>
      <c r="B295" s="42"/>
      <c r="C295" s="42"/>
      <c r="D295" s="42"/>
    </row>
    <row r="296" ht="15.75" customHeight="1">
      <c r="A296" s="65">
        <v>6.0</v>
      </c>
      <c r="B296" s="42"/>
      <c r="C296" s="42"/>
      <c r="D296" s="42"/>
    </row>
    <row r="297" ht="15.75" customHeight="1"/>
    <row r="298" ht="21.75" customHeight="1">
      <c r="A298" s="70">
        <v>32.0</v>
      </c>
      <c r="B298" s="72" t="s">
        <v>786</v>
      </c>
      <c r="C298" s="53"/>
      <c r="D298" s="53"/>
      <c r="E298" s="54"/>
      <c r="F298" s="73" t="s">
        <v>178</v>
      </c>
      <c r="G298" s="71"/>
      <c r="H298" s="74" t="str">
        <f>IF(G298="",IF(COUNTA(C300:C303)&gt;0,"⚠ 상태 미선택(입력값 있음)","상태 미선택 → 미수집 간주"),IF(G298="값 있음",IF(COUNTA(C300:C303)=0,"⚠ 값 있음인데 입력값 없음","✓ 정상"),IF(COUNTA(C300:C303)&gt;0,"⚠ 상태와 입력값 불일치","✓ 정상")))</f>
        <v>상태 미선택 → 미수집 간주</v>
      </c>
      <c r="I298" s="54"/>
    </row>
    <row r="299" ht="15.0" customHeight="1">
      <c r="B299" s="60" t="s">
        <v>2051</v>
      </c>
    </row>
    <row r="300" ht="15.75" customHeight="1">
      <c r="B300" s="17" t="s">
        <v>1058</v>
      </c>
      <c r="C300" s="39"/>
      <c r="D300" s="49" t="s">
        <v>165</v>
      </c>
      <c r="E300" s="41"/>
    </row>
    <row r="301" ht="15.75" customHeight="1">
      <c r="B301" s="17" t="s">
        <v>1077</v>
      </c>
      <c r="C301" s="42"/>
      <c r="D301" s="40" t="s">
        <v>78</v>
      </c>
      <c r="E301" s="41"/>
    </row>
    <row r="302" ht="15.75" customHeight="1">
      <c r="B302" s="17" t="s">
        <v>902</v>
      </c>
      <c r="C302" s="42"/>
      <c r="D302" s="40" t="s">
        <v>78</v>
      </c>
      <c r="E302" s="41"/>
    </row>
    <row r="303" ht="30.0" customHeight="1">
      <c r="B303" s="17" t="s">
        <v>1079</v>
      </c>
      <c r="C303" s="42"/>
      <c r="D303" s="40" t="s">
        <v>130</v>
      </c>
      <c r="E303" s="41" t="s">
        <v>1080</v>
      </c>
    </row>
    <row r="304" ht="15.75" customHeight="1"/>
    <row r="305" ht="21.75" customHeight="1">
      <c r="A305" s="76">
        <v>33.0</v>
      </c>
      <c r="B305" s="77" t="s">
        <v>2055</v>
      </c>
      <c r="C305" s="53"/>
      <c r="D305" s="53"/>
      <c r="E305" s="54"/>
      <c r="F305" s="78" t="s">
        <v>178</v>
      </c>
      <c r="G305" s="71"/>
      <c r="H305" s="79" t="str">
        <f>IF(G305="",IF(COUNTA(B309:G311)&gt;0,"⚠ 상태 미선택(입력값 있음)","상태 미선택 → 미수집 간주"),IF(G305="값 있음",IF(COUNTA(B309:G311)=0,"⚠ 값 있음인데 입력값 없음","✓ 정상"),IF(COUNTA(B309:G311)&gt;0,"⚠ 상태와 입력값 불일치","✓ 정상")))</f>
        <v>상태 미선택 → 미수집 간주</v>
      </c>
      <c r="I305" s="54"/>
    </row>
    <row r="306" ht="24.0" customHeight="1">
      <c r="B306" s="60" t="s">
        <v>2063</v>
      </c>
    </row>
    <row r="307" ht="15.75" customHeight="1">
      <c r="A307" s="62" t="s">
        <v>24</v>
      </c>
      <c r="B307" s="13" t="s">
        <v>2064</v>
      </c>
      <c r="C307" s="13" t="s">
        <v>1090</v>
      </c>
      <c r="D307" s="13" t="s">
        <v>2065</v>
      </c>
      <c r="E307" s="13" t="s">
        <v>2066</v>
      </c>
      <c r="F307" s="13" t="s">
        <v>2067</v>
      </c>
      <c r="G307" s="13" t="s">
        <v>2068</v>
      </c>
    </row>
    <row r="308" ht="15.0" customHeight="1">
      <c r="A308" s="63" t="s">
        <v>111</v>
      </c>
      <c r="B308" s="63" t="s">
        <v>2070</v>
      </c>
      <c r="C308" s="63" t="s">
        <v>130</v>
      </c>
      <c r="D308" s="63" t="s">
        <v>525</v>
      </c>
      <c r="E308" s="63" t="s">
        <v>525</v>
      </c>
      <c r="F308" s="63" t="s">
        <v>525</v>
      </c>
      <c r="G308" s="63" t="s">
        <v>2072</v>
      </c>
    </row>
    <row r="309" ht="60.0" customHeight="1">
      <c r="A309" s="65">
        <v>1.0</v>
      </c>
      <c r="B309" s="42"/>
      <c r="C309" s="42"/>
      <c r="D309" s="42"/>
      <c r="E309" s="42"/>
      <c r="F309" s="42"/>
      <c r="G309" s="42"/>
    </row>
    <row r="310" ht="60.0" customHeight="1">
      <c r="A310" s="65">
        <v>2.0</v>
      </c>
      <c r="B310" s="42"/>
      <c r="C310" s="42"/>
      <c r="D310" s="42"/>
      <c r="E310" s="42"/>
      <c r="F310" s="42"/>
      <c r="G310" s="42"/>
    </row>
    <row r="311" ht="60.0" customHeight="1">
      <c r="A311" s="65">
        <v>3.0</v>
      </c>
      <c r="B311" s="42"/>
      <c r="C311" s="42"/>
      <c r="D311" s="42"/>
      <c r="E311" s="42"/>
      <c r="F311" s="42"/>
      <c r="G311" s="42"/>
    </row>
    <row r="312" ht="15.75" customHeight="1"/>
    <row r="313" ht="21.75" customHeight="1">
      <c r="A313" s="76">
        <v>34.0</v>
      </c>
      <c r="B313" s="77" t="s">
        <v>826</v>
      </c>
      <c r="C313" s="53"/>
      <c r="D313" s="53"/>
      <c r="E313" s="54"/>
      <c r="F313" s="78" t="s">
        <v>178</v>
      </c>
      <c r="G313" s="71"/>
      <c r="H313" s="79" t="str">
        <f>IF(G313="",IF(COUNTA(B317:F318)&gt;0,"⚠ 상태 미선택(입력값 있음)","상태 미선택 → 미수집 간주"),IF(G313="값 있음",IF(COUNTA(B317:F318)=0,"⚠ 값 있음인데 입력값 없음","✓ 정상"),IF(COUNTA(B317:F318)&gt;0,"⚠ 상태와 입력값 불일치","✓ 정상")))</f>
        <v>상태 미선택 → 미수집 간주</v>
      </c>
      <c r="I313" s="54"/>
    </row>
    <row r="314" ht="15.0" customHeight="1">
      <c r="B314" s="60" t="s">
        <v>2080</v>
      </c>
    </row>
    <row r="315" ht="15.75" customHeight="1">
      <c r="A315" s="62" t="s">
        <v>24</v>
      </c>
      <c r="B315" s="13" t="s">
        <v>2081</v>
      </c>
      <c r="C315" s="13" t="s">
        <v>1112</v>
      </c>
      <c r="D315" s="13" t="s">
        <v>1114</v>
      </c>
      <c r="E315" s="13" t="s">
        <v>1115</v>
      </c>
      <c r="F315" s="13" t="s">
        <v>1116</v>
      </c>
    </row>
    <row r="316" ht="15.0" customHeight="1">
      <c r="A316" s="63" t="s">
        <v>111</v>
      </c>
      <c r="B316" s="63" t="s">
        <v>130</v>
      </c>
      <c r="C316" s="64" t="s">
        <v>2083</v>
      </c>
      <c r="D316" s="63" t="s">
        <v>130</v>
      </c>
      <c r="E316" s="63" t="s">
        <v>525</v>
      </c>
      <c r="F316" s="64" t="s">
        <v>165</v>
      </c>
    </row>
    <row r="317" ht="36.0" customHeight="1">
      <c r="A317" s="65">
        <v>1.0</v>
      </c>
      <c r="B317" s="42"/>
      <c r="C317" s="42"/>
      <c r="D317" s="42"/>
      <c r="E317" s="42"/>
      <c r="F317" s="39"/>
    </row>
    <row r="318" ht="36.0" customHeight="1">
      <c r="A318" s="65">
        <v>2.0</v>
      </c>
      <c r="B318" s="42"/>
      <c r="C318" s="42"/>
      <c r="D318" s="42"/>
      <c r="E318" s="42"/>
      <c r="F318" s="39"/>
    </row>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4">
    <mergeCell ref="A1:I1"/>
    <mergeCell ref="A2:I2"/>
    <mergeCell ref="F3:I3"/>
    <mergeCell ref="A5:I5"/>
    <mergeCell ref="E6:I6"/>
    <mergeCell ref="E7:I7"/>
    <mergeCell ref="E8:I8"/>
    <mergeCell ref="E9:I9"/>
    <mergeCell ref="E10:I10"/>
    <mergeCell ref="E11:I11"/>
    <mergeCell ref="E12:I12"/>
    <mergeCell ref="E13:I13"/>
    <mergeCell ref="E14:I14"/>
    <mergeCell ref="E15:I15"/>
    <mergeCell ref="E16:I16"/>
    <mergeCell ref="E17:I17"/>
    <mergeCell ref="E18:I18"/>
    <mergeCell ref="E19:I19"/>
    <mergeCell ref="E20:I20"/>
    <mergeCell ref="A22:I22"/>
    <mergeCell ref="H23:I23"/>
    <mergeCell ref="B23:E23"/>
    <mergeCell ref="B24:I24"/>
    <mergeCell ref="E25:I25"/>
    <mergeCell ref="E26:I26"/>
    <mergeCell ref="E27:I27"/>
    <mergeCell ref="H39:I39"/>
    <mergeCell ref="B40:I40"/>
    <mergeCell ref="B39:E39"/>
    <mergeCell ref="B49:E49"/>
    <mergeCell ref="H49:I49"/>
    <mergeCell ref="B50:I50"/>
    <mergeCell ref="E51:I51"/>
    <mergeCell ref="E52:I52"/>
    <mergeCell ref="H60:I60"/>
    <mergeCell ref="B60:E60"/>
    <mergeCell ref="B61:I61"/>
    <mergeCell ref="E62:I62"/>
    <mergeCell ref="E63:I63"/>
    <mergeCell ref="E64:I64"/>
    <mergeCell ref="A66:I66"/>
    <mergeCell ref="H67:I67"/>
    <mergeCell ref="B67:E67"/>
    <mergeCell ref="B68:I68"/>
    <mergeCell ref="E69:I69"/>
    <mergeCell ref="E70:I70"/>
    <mergeCell ref="E71:I71"/>
    <mergeCell ref="E72:I72"/>
    <mergeCell ref="E73:I73"/>
    <mergeCell ref="E74:I74"/>
    <mergeCell ref="B76:E76"/>
    <mergeCell ref="H76:I76"/>
    <mergeCell ref="B77:I77"/>
    <mergeCell ref="E78:I78"/>
    <mergeCell ref="E79:I79"/>
    <mergeCell ref="E80:I80"/>
    <mergeCell ref="E81:I81"/>
    <mergeCell ref="B83:E83"/>
    <mergeCell ref="H83:I83"/>
    <mergeCell ref="B84:I84"/>
    <mergeCell ref="E85:I85"/>
    <mergeCell ref="E86:I86"/>
    <mergeCell ref="E87:I87"/>
    <mergeCell ref="E88:I88"/>
    <mergeCell ref="A90:I90"/>
    <mergeCell ref="B91:E91"/>
    <mergeCell ref="H91:I91"/>
    <mergeCell ref="B92:I92"/>
    <mergeCell ref="H100:I100"/>
    <mergeCell ref="B101:I101"/>
    <mergeCell ref="B100:E100"/>
    <mergeCell ref="B108:E108"/>
    <mergeCell ref="H108:I108"/>
    <mergeCell ref="B109:I109"/>
    <mergeCell ref="A116:I116"/>
    <mergeCell ref="H117:I117"/>
    <mergeCell ref="B118:I118"/>
    <mergeCell ref="B117:E117"/>
    <mergeCell ref="B125:E125"/>
    <mergeCell ref="H125:I125"/>
    <mergeCell ref="B126:I126"/>
    <mergeCell ref="B133:E133"/>
    <mergeCell ref="H133:I133"/>
    <mergeCell ref="B134:I134"/>
    <mergeCell ref="E135:I135"/>
    <mergeCell ref="E136:I136"/>
    <mergeCell ref="E137:I137"/>
    <mergeCell ref="E138:I138"/>
    <mergeCell ref="A140:I140"/>
    <mergeCell ref="H141:I141"/>
    <mergeCell ref="B142:I142"/>
    <mergeCell ref="B141:E141"/>
    <mergeCell ref="B151:E151"/>
    <mergeCell ref="H151:I151"/>
    <mergeCell ref="B152:I152"/>
    <mergeCell ref="B158:E158"/>
    <mergeCell ref="H158:I158"/>
    <mergeCell ref="B159:I159"/>
    <mergeCell ref="B264:E264"/>
    <mergeCell ref="B265:I265"/>
    <mergeCell ref="B271:E271"/>
    <mergeCell ref="H271:I271"/>
    <mergeCell ref="B272:I272"/>
    <mergeCell ref="E273:I273"/>
    <mergeCell ref="E274:I274"/>
    <mergeCell ref="E275:I275"/>
    <mergeCell ref="E276:I276"/>
    <mergeCell ref="E277:I277"/>
    <mergeCell ref="B279:E279"/>
    <mergeCell ref="H279:I279"/>
    <mergeCell ref="B280:I280"/>
    <mergeCell ref="E281:I281"/>
    <mergeCell ref="B305:E305"/>
    <mergeCell ref="H305:I305"/>
    <mergeCell ref="B306:I306"/>
    <mergeCell ref="B313:E313"/>
    <mergeCell ref="H313:I313"/>
    <mergeCell ref="B314:I314"/>
    <mergeCell ref="B298:E298"/>
    <mergeCell ref="H298:I298"/>
    <mergeCell ref="B299:I299"/>
    <mergeCell ref="E300:I300"/>
    <mergeCell ref="E301:I301"/>
    <mergeCell ref="E302:I302"/>
    <mergeCell ref="E303:I303"/>
    <mergeCell ref="A165:I165"/>
    <mergeCell ref="B166:E166"/>
    <mergeCell ref="H166:I166"/>
    <mergeCell ref="B167:I167"/>
    <mergeCell ref="B174:E174"/>
    <mergeCell ref="H174:I174"/>
    <mergeCell ref="B175:I175"/>
    <mergeCell ref="E176:I176"/>
    <mergeCell ref="E177:I177"/>
    <mergeCell ref="E178:I178"/>
    <mergeCell ref="A180:I180"/>
    <mergeCell ref="B181:E181"/>
    <mergeCell ref="H181:I181"/>
    <mergeCell ref="B182:I182"/>
    <mergeCell ref="B190:E190"/>
    <mergeCell ref="H190:I190"/>
    <mergeCell ref="B191:I191"/>
    <mergeCell ref="B198:E198"/>
    <mergeCell ref="H198:I198"/>
    <mergeCell ref="B199:I199"/>
    <mergeCell ref="A207:I207"/>
    <mergeCell ref="B208:E208"/>
    <mergeCell ref="H208:I208"/>
    <mergeCell ref="B209:I209"/>
    <mergeCell ref="B217:E217"/>
    <mergeCell ref="H217:I217"/>
    <mergeCell ref="B218:I218"/>
    <mergeCell ref="E219:I219"/>
    <mergeCell ref="B227:E227"/>
    <mergeCell ref="H227:I227"/>
    <mergeCell ref="B228:I228"/>
    <mergeCell ref="B235:E235"/>
    <mergeCell ref="H235:I235"/>
    <mergeCell ref="B236:I236"/>
    <mergeCell ref="A244:I244"/>
    <mergeCell ref="B245:E245"/>
    <mergeCell ref="H245:I245"/>
    <mergeCell ref="B246:I246"/>
    <mergeCell ref="B254:E254"/>
    <mergeCell ref="H254:I254"/>
    <mergeCell ref="B255:I255"/>
    <mergeCell ref="H264:I264"/>
    <mergeCell ref="E282:I282"/>
    <mergeCell ref="E283:I283"/>
    <mergeCell ref="A285:I285"/>
    <mergeCell ref="B286:E286"/>
    <mergeCell ref="H286:I286"/>
    <mergeCell ref="B287:I287"/>
    <mergeCell ref="E288:I288"/>
  </mergeCells>
  <conditionalFormatting sqref="H5:H1000">
    <cfRule type="expression" dxfId="5" priority="1">
      <formula>LEFT(H5,1)="✓"</formula>
    </cfRule>
  </conditionalFormatting>
  <conditionalFormatting sqref="H5:H1000">
    <cfRule type="expression" dxfId="6" priority="2">
      <formula>LEFT(H5,2)="상태"</formula>
    </cfRule>
  </conditionalFormatting>
  <dataValidations>
    <dataValidation type="list" allowBlank="1" showInputMessage="1" showErrorMessage="1" prompt="허용값 아님 - 목록에서 선택해 주세요: 논문,보고서,학술발표자료" sqref="B104:B106">
      <formula1>"논문,보고서,학술발표자료"</formula1>
    </dataValidation>
    <dataValidation type="list" allowBlank="1" showInputMessage="1" showErrorMessage="1" prompt="허용값 아님 - 목록에서 선택해 주세요: 신청,이수중,이수완료" sqref="D55:D58">
      <formula1>"신청,이수중,이수완료"</formula1>
    </dataValidation>
    <dataValidation type="list" allowBlank="1" showInputMessage="1" showErrorMessage="1" prompt="허용값 아님 - 목록에서 선택해 주세요: 교과,비교과,3품(AI)" sqref="B185:B188">
      <formula1>"교과,비교과,3품(AI)"</formula1>
    </dataValidation>
    <dataValidation type="list" allowBlank="1" showInputMessage="1" showErrorMessage="1" prompt="허용값 아님 - 목록에서 선택해 주세요: 참가,입선,장려,우수,최우수,대상" sqref="E145:E149">
      <formula1>"참가,입선,장려,우수,최우수,대상"</formula1>
    </dataValidation>
    <dataValidation type="list" allowBlank="1" showInputMessage="1" showErrorMessage="1" prompt="허용값 아님 - 목록에서 선택해 주세요: TOEIC,TOEFL iBT,TOEIC Speaking,OPIc,HSK,JPT,JLPT,DELF/DALF,DELE,기타" sqref="B249:B252">
      <formula1>"TOEIC,TOEFL iBT,TOEIC Speaking,OPIc,HSK,JPT,JLPT,DELF/DALF,DELE,기타"</formula1>
    </dataValidation>
    <dataValidation type="list" allowBlank="1" showInputMessage="1" showErrorMessage="1" prompt="허용값 아님 - 목록에서 선택해 주세요: Y,N" sqref="C17 C20 I121:I123 C136 G170:G172">
      <formula1>"Y,N"</formula1>
    </dataValidation>
    <dataValidation type="list" allowBlank="1" showInputMessage="1" showErrorMessage="1" prompt="허용값 아님 - 목록에서 선택해 주세요: 지도교수,수업 담당교수" sqref="C317:C318">
      <formula1>"지도교수,수업 담당교수"</formula1>
    </dataValidation>
    <dataValidation type="list" allowBlank="1" showInputMessage="1" showErrorMessage="1" prompt="허용값 아님 - 목록에서 선택해 주세요: 튜터,튜티,멘토,멘티,스터디,학습공동체" sqref="B231:B233">
      <formula1>"튜터,튜티,멘토,멘티,스터디,학습공동체"</formula1>
    </dataValidation>
    <dataValidation type="list" allowBlank="1" showInputMessage="1" showErrorMessage="1" prompt="허용값 아님 - 목록에서 선택해 주세요: 학부,석사,박사,석박통합" sqref="C13">
      <formula1>"학부,석사,박사,석박통합"</formula1>
    </dataValidation>
    <dataValidation type="list" allowBlank="1" showInputMessage="1" showErrorMessage="1" prompt="허용값 아님 - 목록에서 선택해 주세요: 출원,등록" sqref="D162:D163">
      <formula1>"출원,등록"</formula1>
    </dataValidation>
    <dataValidation type="list" allowBlank="1" showInputMessage="1" showErrorMessage="1" prompt="허용값 아님 - 목록에서 선택해 주세요: 특허,실용신안,디자인,SW등록" sqref="B162:B163">
      <formula1>"특허,실용신안,디자인,SW등록"</formula1>
    </dataValidation>
    <dataValidation type="list" allowBlank="1" showInputMessage="1" showErrorMessage="1" prompt="허용값 아님 - 목록에서 선택해 주세요: 값 있음,활동 없음,미수집,해당 없음" sqref="G23 G39 G49 G60 G67 G76 G83 G91 G100 G108 G117 G125 G133 G141 G151 G158 G166 G174 G181 G190 G198 G208 G217 G227 G235 G245 G254 G264 G271 G279 G286 G298 G305 G313">
      <formula1>"값 있음,활동 없음,미수집,해당 없음"</formula1>
    </dataValidation>
    <dataValidation type="list" allowBlank="1" showInputMessage="1" showErrorMessage="1" prompt="허용값 아님 - 목록에서 선택해 주세요: 주전공,복수전공,부전공,연계전공,융합전공,심화전공" sqref="B55:B58">
      <formula1>"주전공,복수전공,부전공,연계전공,융합전공,심화전공"</formula1>
    </dataValidation>
    <dataValidation type="list" allowBlank="1" showInputMessage="1" showErrorMessage="1" prompt="허용값 아님 - 목록에서 선택해 주세요: 교내,교외(국내),국외,유학생 봉사" sqref="B222:B225">
      <formula1>"교내,교외(국내),국외,유학생 봉사"</formula1>
    </dataValidation>
    <dataValidation type="list" allowBlank="1" showInputMessage="1" showErrorMessage="1" prompt="허용값 아님 - 목록에서 선택해 주세요: 이수중,이수완료,미이수,포기" sqref="C64">
      <formula1>"이수중,이수완료,미이수,포기"</formula1>
    </dataValidation>
    <dataValidation type="list" allowBlank="1" showInputMessage="1" showErrorMessage="1" prompt="허용값 아님 - 목록에서 선택해 주세요: 관련,일부 관련,무관" sqref="H121:H123">
      <formula1>"관련,일부 관련,무관"</formula1>
    </dataValidation>
    <dataValidation type="list" allowBlank="1" showInputMessage="1" showErrorMessage="1" prompt="허용값 아님 - 목록에서 선택해 주세요: 시스템 연동,학생 직접 입력,혼합" sqref="C19">
      <formula1>"시스템 연동,학생 직접 입력,혼합"</formula1>
    </dataValidation>
    <dataValidation type="list" allowBlank="1" showInputMessage="1" showErrorMessage="1" prompt="허용값 아님 - 목록에서 선택해 주세요: 국제학술지,국내학술지,국제학술대회,국내학술대회,교내" sqref="D104:D106">
      <formula1>"국제학술지,국내학술지,국제학술대회,국내학술대회,교내"</formula1>
    </dataValidation>
    <dataValidation type="list" allowBlank="1" showInputMessage="1" showErrorMessage="1" prompt="허용값 아님 - 목록에서 선택해 주세요: 게재,게재승인,투고,작성중" sqref="E104:E106">
      <formula1>"게재,게재승인,투고,작성중"</formula1>
    </dataValidation>
    <dataValidation type="list" allowBlank="1" showInputMessage="1" showErrorMessage="1" prompt="허용값 아님 - 목록에서 선택해 주세요: 이수,수강중,미이수" sqref="F185:F188">
      <formula1>"이수,수강중,미이수"</formula1>
    </dataValidation>
    <dataValidation type="list" allowBlank="1" showInputMessage="1" showErrorMessage="1" prompt="허용값 아님 - 목록에서 선택해 주세요: 신입학,편입학,재입학" sqref="C14">
      <formula1>"신입학,편입학,재입학"</formula1>
    </dataValidation>
    <dataValidation type="list" allowBlank="1" showInputMessage="1" showErrorMessage="1" prompt="허용값 아님 - 목록에서 선택해 주세요: 창업교과목,창업경진대회,사업자등록,창업동아리" sqref="B155:B156">
      <formula1>"창업교과목,창업경진대회,사업자등록,창업동아리"</formula1>
    </dataValidation>
    <dataValidation type="list" allowBlank="1" showInputMessage="1" showErrorMessage="1" prompt="허용값 아님 - 목록에서 선택해 주세요: 고용보험,재직·경력증명,없음" sqref="F129:F131">
      <formula1>"고용보험,재직·경력증명,없음"</formula1>
    </dataValidation>
    <dataValidation type="list" allowBlank="1" showInputMessage="1" showErrorMessage="1" prompt="허용값 아님 - 목록에서 선택해 주세요: 발표형,토론형,과제·보고서형,PBL형" sqref="D43:D47">
      <formula1>"발표형,토론형,과제·보고서형,PBL형"</formula1>
    </dataValidation>
    <dataValidation type="list" allowBlank="1" showInputMessage="1" showErrorMessage="1" prompt="허용값 아님 - 목록에서 선택해 주세요: A+,A0,B+,B0,C+,C0,D+,D0,F,P" sqref="E43:E47">
      <formula1>"A+,A0,B+,B0,C+,C0,D+,D0,F,P"</formula1>
    </dataValidation>
    <dataValidation type="list" allowBlank="1" showInputMessage="1" showErrorMessage="1" prompt="허용값 아님 - 목록에서 선택해 주세요: 교환학생,어학연수,해외봉사,국제연구,국제문화체험,해외학습" sqref="B170:B172">
      <formula1>"교환학생,어학연수,해외봉사,국제연구,국제문화체험,해외학습"</formula1>
    </dataValidation>
    <dataValidation type="list" allowBlank="1" showInputMessage="1" showErrorMessage="1" prompt="허용값 아님 - 목록에서 선택해 주세요: 대상,비대상" sqref="C62">
      <formula1>"대상,비대상"</formula1>
    </dataValidation>
    <dataValidation type="list" allowBlank="1" showInputMessage="1" showErrorMessage="1" prompt="허용값 아님 - 목록에서 선택해 주세요: 기초,활용,능숙" sqref="C202:C205">
      <formula1>"기초,활용,능숙"</formula1>
    </dataValidation>
    <dataValidation type="list" allowBlank="1" showInputMessage="1" showErrorMessage="1" prompt="허용값 아님 - 목록에서 선택해 주세요: 학부연구생,URP,학회,연구실 인턴,팀연구프로젝트" sqref="B95:B98">
      <formula1>"학부연구생,URP,학회,연구실 인턴,팀연구프로젝트"</formula1>
    </dataValidation>
    <dataValidation type="list" allowBlank="1" showInputMessage="1" showErrorMessage="1" prompt="허용값 아님 - 목록에서 선택해 주세요: AI캡스톤,AI대회,AI공모전,AI프로젝트" sqref="B194:B196">
      <formula1>"AI캡스톤,AI대회,AI공모전,AI프로젝트"</formula1>
    </dataValidation>
    <dataValidation type="list" allowBlank="1" showInputMessage="1" showErrorMessage="1" prompt="허용값 아님 - 목록에서 선택해 주세요: 재학,휴학,수료" sqref="C16">
      <formula1>"재학,휴학,수료"</formula1>
    </dataValidation>
    <dataValidation type="list" allowBlank="1" showInputMessage="1" showErrorMessage="1" prompt="허용값 아님 - 목록에서 선택해 주세요: 동아리,학생회,학회,기타단체" sqref="B212:B215">
      <formula1>"동아리,학생회,학회,기타단체"</formula1>
    </dataValidation>
    <dataValidation type="list" allowBlank="1" showInputMessage="1" showErrorMessage="1" prompt="허용값 아님 - 목록에서 선택해 주세요: 교내,지역,전국,국제" sqref="D145:D149 F194:F196">
      <formula1>"교내,지역,전국,국제"</formula1>
    </dataValidation>
    <dataValidation type="list" allowBlank="1" showInputMessage="1" showErrorMessage="1" prompt="허용값 아님 - 목록에서 선택해 주세요: 인턴십,현장실습,연구체험,문제해결프로젝트" sqref="B121:B123">
      <formula1>"인턴십,현장실습,연구체험,문제해결프로젝트"</formula1>
    </dataValidation>
    <dataValidation type="list" allowBlank="1" showInputMessage="1" showErrorMessage="1" prompt="허용값 아님 - 목록에서 선택해 주세요: 개인,팀" sqref="F145:F149">
      <formula1>"개인,팀"</formula1>
    </dataValidation>
    <dataValidation type="list" allowBlank="1" showInputMessage="1" showErrorMessage="1" prompt="허용값 아님 - 목록에서 선택해 주세요: 단독,공동" sqref="G162:G163">
      <formula1>"단독,공동"</formula1>
    </dataValidation>
    <dataValidation type="list" allowBlank="1" showInputMessage="1" showErrorMessage="1" prompt="허용값 아님 - 목록에서 선택해 주세요: 회장,부회장,부장,총무,부원" sqref="D212:D215">
      <formula1>"회장,부회장,부장,총무,부원"</formula1>
    </dataValidation>
    <dataValidation type="list" allowBlank="1" showInputMessage="1" showErrorMessage="1" prompt="허용값 아님 - 목록에서 선택해 주세요: 단독,제1저자,공동저자" sqref="F104:F106">
      <formula1>"단독,제1저자,공동저자"</formula1>
    </dataValidation>
    <dataValidation type="list" allowBlank="1" showInputMessage="1" showErrorMessage="1" prompt="허용값 아님 - 목록에서 선택해 주세요: 취득,진행중,미취득" sqref="C273:C277">
      <formula1>"취득,진행중,미취득"</formula1>
    </dataValidation>
    <dataValidation type="list" allowBlank="1" showInputMessage="1" showErrorMessage="1" prompt="허용값 아님 - 목록에서 선택해 주세요: 응시,1차 합격,2차 합격,최종 합격" sqref="C268:C269">
      <formula1>"응시,1차 합격,2차 합격,최종 합격"</formula1>
    </dataValidation>
  </dataValidations>
  <printOptions/>
  <pageMargins bottom="1.0" footer="0.0" header="0.0" left="0.75" right="0.75" top="1.0"/>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9BD5"/>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6.0"/>
    <col customWidth="1" min="2" max="2" width="22.0"/>
    <col customWidth="1" min="3" max="3" width="20.0"/>
    <col customWidth="1" min="4" max="5" width="17.0"/>
    <col customWidth="1" min="6" max="7" width="15.0"/>
    <col customWidth="1" min="8" max="8" width="17.0"/>
    <col customWidth="1" min="9" max="9" width="30.0"/>
    <col customWidth="1" min="10" max="26" width="8.71"/>
  </cols>
  <sheetData>
    <row r="1" ht="25.5" customHeight="1">
      <c r="A1" s="66" t="s">
        <v>1495</v>
      </c>
    </row>
    <row r="2" ht="30.0" customHeight="1">
      <c r="A2" s="16" t="s">
        <v>1497</v>
      </c>
    </row>
    <row r="3" ht="15.0" customHeight="1">
      <c r="A3" s="23" t="s">
        <v>73</v>
      </c>
      <c r="B3" s="25" t="s">
        <v>67</v>
      </c>
      <c r="C3" s="27" t="s">
        <v>89</v>
      </c>
      <c r="D3" s="28" t="s">
        <v>1503</v>
      </c>
      <c r="E3" s="30" t="s">
        <v>100</v>
      </c>
      <c r="F3" s="16" t="s">
        <v>1511</v>
      </c>
    </row>
    <row r="5" ht="21.75" customHeight="1">
      <c r="A5" s="33" t="s">
        <v>1513</v>
      </c>
      <c r="B5" s="8"/>
      <c r="C5" s="8"/>
      <c r="D5" s="8"/>
      <c r="E5" s="8"/>
      <c r="F5" s="8"/>
      <c r="G5" s="8"/>
      <c r="H5" s="8"/>
      <c r="I5" s="7"/>
    </row>
    <row r="6" ht="15.0" customHeight="1">
      <c r="B6" s="13" t="s">
        <v>107</v>
      </c>
      <c r="C6" s="13" t="s">
        <v>108</v>
      </c>
      <c r="D6" s="13" t="s">
        <v>111</v>
      </c>
      <c r="E6" s="36" t="s">
        <v>112</v>
      </c>
      <c r="F6" s="37"/>
      <c r="G6" s="37"/>
      <c r="H6" s="37"/>
      <c r="I6" s="38"/>
    </row>
    <row r="7">
      <c r="B7" s="17" t="s">
        <v>36</v>
      </c>
      <c r="C7" s="39" t="s">
        <v>244</v>
      </c>
      <c r="D7" s="40" t="s">
        <v>1521</v>
      </c>
      <c r="E7" s="41" t="s">
        <v>123</v>
      </c>
    </row>
    <row r="8">
      <c r="B8" s="17" t="s">
        <v>37</v>
      </c>
      <c r="C8" s="69" t="s">
        <v>58</v>
      </c>
      <c r="D8" s="40" t="s">
        <v>130</v>
      </c>
      <c r="E8" s="41"/>
    </row>
    <row r="9">
      <c r="B9" s="17" t="s">
        <v>38</v>
      </c>
      <c r="C9" s="69" t="s">
        <v>245</v>
      </c>
      <c r="D9" s="40" t="s">
        <v>130</v>
      </c>
      <c r="E9" s="41" t="s">
        <v>1524</v>
      </c>
    </row>
    <row r="10">
      <c r="B10" s="17" t="s">
        <v>1527</v>
      </c>
      <c r="C10" s="69" t="s">
        <v>1528</v>
      </c>
      <c r="D10" s="40" t="s">
        <v>130</v>
      </c>
      <c r="E10" s="41" t="s">
        <v>1530</v>
      </c>
    </row>
    <row r="11">
      <c r="B11" s="17" t="s">
        <v>40</v>
      </c>
      <c r="C11" s="42" t="s">
        <v>1533</v>
      </c>
      <c r="D11" s="40" t="s">
        <v>1534</v>
      </c>
      <c r="E11" s="41" t="s">
        <v>1535</v>
      </c>
    </row>
    <row r="12">
      <c r="B12" s="17" t="s">
        <v>139</v>
      </c>
      <c r="C12" s="42" t="s">
        <v>1537</v>
      </c>
      <c r="D12" s="40" t="s">
        <v>78</v>
      </c>
      <c r="E12" s="41" t="s">
        <v>1539</v>
      </c>
    </row>
    <row r="13">
      <c r="B13" s="17" t="s">
        <v>143</v>
      </c>
      <c r="C13" s="69" t="s">
        <v>98</v>
      </c>
      <c r="D13" s="40" t="s">
        <v>147</v>
      </c>
      <c r="E13" s="41" t="s">
        <v>148</v>
      </c>
    </row>
    <row r="14">
      <c r="B14" s="17" t="s">
        <v>149</v>
      </c>
      <c r="C14" s="69" t="s">
        <v>239</v>
      </c>
      <c r="D14" s="40" t="s">
        <v>147</v>
      </c>
      <c r="E14" s="41" t="s">
        <v>151</v>
      </c>
    </row>
    <row r="15">
      <c r="B15" s="17" t="s">
        <v>155</v>
      </c>
      <c r="C15" s="39" t="s">
        <v>1542</v>
      </c>
      <c r="D15" s="49" t="s">
        <v>158</v>
      </c>
      <c r="E15" s="41" t="s">
        <v>1544</v>
      </c>
    </row>
    <row r="16">
      <c r="B16" s="17" t="s">
        <v>161</v>
      </c>
      <c r="C16" s="69" t="s">
        <v>248</v>
      </c>
      <c r="D16" s="40" t="s">
        <v>147</v>
      </c>
      <c r="E16" s="41"/>
    </row>
    <row r="17">
      <c r="B17" s="17" t="s">
        <v>162</v>
      </c>
      <c r="C17" s="42"/>
      <c r="D17" s="40" t="s">
        <v>147</v>
      </c>
      <c r="E17" s="50" t="s">
        <v>1546</v>
      </c>
    </row>
    <row r="18">
      <c r="B18" s="17" t="s">
        <v>164</v>
      </c>
      <c r="C18" s="39" t="s">
        <v>1547</v>
      </c>
      <c r="D18" s="49" t="s">
        <v>165</v>
      </c>
      <c r="E18" s="41" t="s">
        <v>1548</v>
      </c>
    </row>
    <row r="19">
      <c r="B19" s="17" t="s">
        <v>167</v>
      </c>
      <c r="C19" s="69" t="s">
        <v>1549</v>
      </c>
      <c r="D19" s="40" t="s">
        <v>147</v>
      </c>
      <c r="E19" s="41"/>
    </row>
    <row r="20">
      <c r="B20" s="17" t="s">
        <v>1550</v>
      </c>
      <c r="C20" s="42" t="s">
        <v>249</v>
      </c>
      <c r="D20" s="40" t="s">
        <v>147</v>
      </c>
      <c r="E20" s="50" t="s">
        <v>1551</v>
      </c>
    </row>
    <row r="21" ht="15.75" customHeight="1"/>
    <row r="22" ht="21.75" customHeight="1">
      <c r="A22" s="33" t="s">
        <v>1553</v>
      </c>
      <c r="B22" s="8"/>
      <c r="C22" s="8"/>
      <c r="D22" s="8"/>
      <c r="E22" s="8"/>
      <c r="F22" s="8"/>
      <c r="G22" s="8"/>
      <c r="H22" s="8"/>
      <c r="I22" s="7"/>
    </row>
    <row r="23" ht="21.75" customHeight="1">
      <c r="A23" s="51">
        <v>1.0</v>
      </c>
      <c r="B23" s="52" t="s">
        <v>1556</v>
      </c>
      <c r="C23" s="53"/>
      <c r="D23" s="53"/>
      <c r="E23" s="54"/>
      <c r="F23" s="55" t="s">
        <v>178</v>
      </c>
      <c r="G23" s="71" t="s">
        <v>47</v>
      </c>
      <c r="H23" s="59" t="str">
        <f>IF(G23="",IF(COUNTA(C25:C27,B30:G37)&gt;0,"⚠ 상태 미선택(입력값 있음)","상태 미선택 → 미수집 간주"),IF(G23="값 있음",IF(COUNTA(C25:C27,B30:G37)=0,"⚠ 값 있음인데 입력값 없음","✓ 정상"),IF(COUNTA(C25:C27,B30:G37)&gt;0,"⚠ 상태와 입력값 불일치","✓ 정상")))</f>
        <v>✓ 정상</v>
      </c>
      <c r="I23" s="54"/>
    </row>
    <row r="24" ht="24.0" customHeight="1">
      <c r="B24" s="60" t="s">
        <v>1576</v>
      </c>
    </row>
    <row r="25" ht="15.75" customHeight="1">
      <c r="B25" s="17" t="s">
        <v>1580</v>
      </c>
      <c r="C25" s="42" t="s">
        <v>1581</v>
      </c>
      <c r="D25" s="40" t="s">
        <v>1584</v>
      </c>
      <c r="E25" s="41" t="s">
        <v>1587</v>
      </c>
    </row>
    <row r="26" ht="15.75" customHeight="1">
      <c r="B26" s="17" t="s">
        <v>1589</v>
      </c>
      <c r="C26" s="42"/>
      <c r="D26" s="40" t="s">
        <v>1590</v>
      </c>
      <c r="E26" s="41" t="s">
        <v>1591</v>
      </c>
    </row>
    <row r="27" ht="15.75" customHeight="1">
      <c r="B27" s="17" t="s">
        <v>191</v>
      </c>
      <c r="C27" s="42">
        <v>4.5</v>
      </c>
      <c r="D27" s="40" t="s">
        <v>78</v>
      </c>
      <c r="E27" s="41" t="s">
        <v>1593</v>
      </c>
    </row>
    <row r="28" ht="15.75" customHeight="1">
      <c r="A28" s="62" t="s">
        <v>24</v>
      </c>
      <c r="B28" s="13" t="s">
        <v>193</v>
      </c>
      <c r="C28" s="13" t="s">
        <v>194</v>
      </c>
      <c r="D28" s="13" t="s">
        <v>195</v>
      </c>
      <c r="E28" s="13" t="s">
        <v>196</v>
      </c>
      <c r="F28" s="13" t="s">
        <v>197</v>
      </c>
      <c r="G28" s="13" t="s">
        <v>198</v>
      </c>
    </row>
    <row r="29" ht="25.5" customHeight="1">
      <c r="A29" s="63" t="s">
        <v>111</v>
      </c>
      <c r="B29" s="64" t="s">
        <v>1596</v>
      </c>
      <c r="C29" s="63" t="s">
        <v>78</v>
      </c>
      <c r="D29" s="63" t="s">
        <v>78</v>
      </c>
      <c r="E29" s="63" t="s">
        <v>78</v>
      </c>
      <c r="F29" s="63" t="s">
        <v>78</v>
      </c>
      <c r="G29" s="63" t="s">
        <v>1597</v>
      </c>
    </row>
    <row r="30" ht="15.75" customHeight="1">
      <c r="A30" s="65">
        <v>1.0</v>
      </c>
      <c r="B30" s="39" t="s">
        <v>1599</v>
      </c>
      <c r="C30" s="42">
        <v>19.0</v>
      </c>
      <c r="D30" s="42">
        <v>19.0</v>
      </c>
      <c r="E30" s="42" t="s">
        <v>1601</v>
      </c>
      <c r="F30" s="42"/>
      <c r="G30" s="42"/>
    </row>
    <row r="31" ht="15.75" customHeight="1">
      <c r="A31" s="65">
        <v>2.0</v>
      </c>
      <c r="B31" s="39" t="s">
        <v>306</v>
      </c>
      <c r="C31" s="42" t="s">
        <v>1602</v>
      </c>
      <c r="D31" s="42">
        <v>18.0</v>
      </c>
      <c r="E31" s="42">
        <v>3.81</v>
      </c>
      <c r="F31" s="42">
        <v>3.9</v>
      </c>
      <c r="G31" s="42"/>
    </row>
    <row r="32" ht="15.75" customHeight="1">
      <c r="A32" s="65">
        <v>3.0</v>
      </c>
      <c r="B32" s="39"/>
      <c r="C32" s="42"/>
      <c r="D32" s="42"/>
      <c r="E32" s="42"/>
      <c r="F32" s="42"/>
      <c r="G32" s="42"/>
    </row>
    <row r="33" ht="15.75" customHeight="1">
      <c r="A33" s="65">
        <v>4.0</v>
      </c>
      <c r="B33" s="39"/>
      <c r="C33" s="42"/>
      <c r="D33" s="42"/>
      <c r="E33" s="42"/>
      <c r="F33" s="42"/>
      <c r="G33" s="42"/>
    </row>
    <row r="34" ht="15.75" customHeight="1">
      <c r="A34" s="65">
        <v>5.0</v>
      </c>
      <c r="B34" s="39"/>
      <c r="C34" s="42"/>
      <c r="D34" s="42"/>
      <c r="E34" s="42"/>
      <c r="F34" s="42"/>
      <c r="G34" s="42"/>
    </row>
    <row r="35" ht="15.75" customHeight="1">
      <c r="A35" s="65">
        <v>6.0</v>
      </c>
      <c r="B35" s="39"/>
      <c r="C35" s="42"/>
      <c r="D35" s="42"/>
      <c r="E35" s="42"/>
      <c r="F35" s="42"/>
      <c r="G35" s="42"/>
    </row>
    <row r="36" ht="15.75" customHeight="1">
      <c r="A36" s="65">
        <v>7.0</v>
      </c>
      <c r="B36" s="39"/>
      <c r="C36" s="42"/>
      <c r="D36" s="42"/>
      <c r="E36" s="42"/>
      <c r="F36" s="42"/>
      <c r="G36" s="42"/>
    </row>
    <row r="37" ht="15.75" customHeight="1">
      <c r="A37" s="65">
        <v>8.0</v>
      </c>
      <c r="B37" s="39"/>
      <c r="C37" s="42"/>
      <c r="D37" s="42"/>
      <c r="E37" s="42"/>
      <c r="F37" s="42"/>
      <c r="G37" s="42"/>
    </row>
    <row r="38" ht="15.75" customHeight="1"/>
    <row r="39" ht="21.75" customHeight="1">
      <c r="A39" s="51">
        <v>2.0</v>
      </c>
      <c r="B39" s="52" t="s">
        <v>127</v>
      </c>
      <c r="C39" s="53"/>
      <c r="D39" s="53"/>
      <c r="E39" s="54"/>
      <c r="F39" s="55" t="s">
        <v>178</v>
      </c>
      <c r="G39" s="71" t="s">
        <v>47</v>
      </c>
      <c r="H39" s="59" t="str">
        <f>IF(G39="",IF(COUNTA(B43:G47)&gt;0,"⚠ 상태 미선택(입력값 있음)","상태 미선택 → 미수집 간주"),IF(G39="값 있음",IF(COUNTA(B43:G47)=0,"⚠ 값 있음인데 입력값 없음","✓ 정상"),IF(COUNTA(B43:G47)&gt;0,"⚠ 상태와 입력값 불일치","✓ 정상")))</f>
        <v>✓ 정상</v>
      </c>
      <c r="I39" s="54"/>
    </row>
    <row r="40" ht="24.0" customHeight="1">
      <c r="B40" s="60" t="s">
        <v>1618</v>
      </c>
    </row>
    <row r="41" ht="15.75" customHeight="1">
      <c r="A41" s="62" t="s">
        <v>24</v>
      </c>
      <c r="B41" s="13" t="s">
        <v>215</v>
      </c>
      <c r="C41" s="13" t="s">
        <v>193</v>
      </c>
      <c r="D41" s="13" t="s">
        <v>216</v>
      </c>
      <c r="E41" s="13" t="s">
        <v>217</v>
      </c>
      <c r="F41" s="13" t="s">
        <v>1620</v>
      </c>
      <c r="G41" s="13" t="s">
        <v>198</v>
      </c>
    </row>
    <row r="42" ht="37.5" customHeight="1">
      <c r="A42" s="63" t="s">
        <v>111</v>
      </c>
      <c r="B42" s="63" t="s">
        <v>130</v>
      </c>
      <c r="C42" s="64" t="s">
        <v>1621</v>
      </c>
      <c r="D42" s="64" t="s">
        <v>1623</v>
      </c>
      <c r="E42" s="64" t="s">
        <v>222</v>
      </c>
      <c r="F42" s="63" t="s">
        <v>1625</v>
      </c>
      <c r="G42" s="63" t="s">
        <v>130</v>
      </c>
    </row>
    <row r="43" ht="15.75" customHeight="1">
      <c r="A43" s="65">
        <v>1.0</v>
      </c>
      <c r="B43" s="69" t="s">
        <v>1626</v>
      </c>
      <c r="C43" s="39"/>
      <c r="D43" s="69" t="s">
        <v>1627</v>
      </c>
      <c r="E43" s="42" t="s">
        <v>1630</v>
      </c>
      <c r="F43" s="42"/>
      <c r="G43" s="42"/>
    </row>
    <row r="44" ht="15.75" customHeight="1">
      <c r="A44" s="65">
        <v>2.0</v>
      </c>
      <c r="B44" s="42"/>
      <c r="C44" s="39"/>
      <c r="D44" s="69"/>
      <c r="E44" s="42"/>
      <c r="F44" s="42"/>
      <c r="G44" s="42"/>
    </row>
    <row r="45" ht="15.75" customHeight="1">
      <c r="A45" s="65">
        <v>3.0</v>
      </c>
      <c r="B45" s="42"/>
      <c r="C45" s="39"/>
      <c r="D45" s="69"/>
      <c r="E45" s="42"/>
      <c r="F45" s="42"/>
      <c r="G45" s="42"/>
    </row>
    <row r="46" ht="15.75" customHeight="1">
      <c r="A46" s="65">
        <v>4.0</v>
      </c>
      <c r="B46" s="42"/>
      <c r="C46" s="39"/>
      <c r="D46" s="69"/>
      <c r="E46" s="42"/>
      <c r="F46" s="42"/>
      <c r="G46" s="42"/>
    </row>
    <row r="47" ht="15.75" customHeight="1">
      <c r="A47" s="65">
        <v>5.0</v>
      </c>
      <c r="B47" s="42"/>
      <c r="C47" s="39"/>
      <c r="D47" s="69"/>
      <c r="E47" s="42"/>
      <c r="F47" s="42"/>
      <c r="G47" s="42"/>
    </row>
    <row r="48" ht="15.75" customHeight="1"/>
    <row r="49" ht="21.75" customHeight="1">
      <c r="A49" s="51">
        <v>3.0</v>
      </c>
      <c r="B49" s="52" t="s">
        <v>1635</v>
      </c>
      <c r="C49" s="53"/>
      <c r="D49" s="53"/>
      <c r="E49" s="54"/>
      <c r="F49" s="55" t="s">
        <v>178</v>
      </c>
      <c r="G49" s="71" t="s">
        <v>47</v>
      </c>
      <c r="H49" s="59" t="str">
        <f>IF(G49="",IF(COUNTA(C51:C52,B55:E58)&gt;0,"⚠ 상태 미선택(입력값 있음)","상태 미선택 → 미수집 간주"),IF(G49="값 있음",IF(COUNTA(C51:C52,B55:E58)=0,"⚠ 값 있음인데 입력값 없음","✓ 정상"),IF(COUNTA(C51:C52,B55:E58)&gt;0,"⚠ 상태와 입력값 불일치","✓ 정상")))</f>
        <v>✓ 정상</v>
      </c>
      <c r="I49" s="54"/>
    </row>
    <row r="50" ht="24.0" customHeight="1">
      <c r="B50" s="60" t="s">
        <v>1645</v>
      </c>
    </row>
    <row r="51" ht="15.75" customHeight="1">
      <c r="B51" s="17" t="s">
        <v>253</v>
      </c>
      <c r="C51" s="69" t="s">
        <v>1646</v>
      </c>
      <c r="D51" s="40" t="s">
        <v>78</v>
      </c>
      <c r="E51" s="41" t="s">
        <v>1647</v>
      </c>
    </row>
    <row r="52" ht="15.75" customHeight="1">
      <c r="B52" s="17" t="s">
        <v>259</v>
      </c>
      <c r="C52" s="42"/>
      <c r="D52" s="40" t="s">
        <v>78</v>
      </c>
      <c r="E52" s="41" t="s">
        <v>1648</v>
      </c>
    </row>
    <row r="53" ht="15.75" customHeight="1">
      <c r="A53" s="62" t="s">
        <v>24</v>
      </c>
      <c r="B53" s="13" t="s">
        <v>263</v>
      </c>
      <c r="C53" s="13" t="s">
        <v>264</v>
      </c>
      <c r="D53" s="13" t="s">
        <v>265</v>
      </c>
      <c r="E53" s="13" t="s">
        <v>266</v>
      </c>
    </row>
    <row r="54" ht="25.5" customHeight="1">
      <c r="A54" s="63" t="s">
        <v>111</v>
      </c>
      <c r="B54" s="64" t="s">
        <v>1650</v>
      </c>
      <c r="C54" s="63" t="s">
        <v>130</v>
      </c>
      <c r="D54" s="64" t="s">
        <v>1652</v>
      </c>
      <c r="E54" s="63" t="s">
        <v>78</v>
      </c>
    </row>
    <row r="55" ht="15.75" customHeight="1">
      <c r="A55" s="65">
        <v>1.0</v>
      </c>
      <c r="B55" s="69" t="s">
        <v>369</v>
      </c>
      <c r="C55" s="69" t="s">
        <v>1528</v>
      </c>
      <c r="D55" s="69" t="s">
        <v>370</v>
      </c>
      <c r="E55" s="42"/>
    </row>
    <row r="56" ht="15.75" customHeight="1">
      <c r="A56" s="65">
        <v>2.0</v>
      </c>
      <c r="B56" s="69"/>
      <c r="C56" s="42"/>
      <c r="D56" s="69"/>
      <c r="E56" s="42"/>
    </row>
    <row r="57" ht="15.75" customHeight="1">
      <c r="A57" s="65">
        <v>3.0</v>
      </c>
      <c r="B57" s="69"/>
      <c r="C57" s="42"/>
      <c r="D57" s="69"/>
      <c r="E57" s="42"/>
    </row>
    <row r="58" ht="15.75" customHeight="1">
      <c r="A58" s="65">
        <v>4.0</v>
      </c>
      <c r="B58" s="69"/>
      <c r="C58" s="42"/>
      <c r="D58" s="69"/>
      <c r="E58" s="42"/>
    </row>
    <row r="59" ht="15.75" customHeight="1"/>
    <row r="60" ht="21.75" customHeight="1">
      <c r="A60" s="70">
        <v>4.0</v>
      </c>
      <c r="B60" s="72" t="s">
        <v>180</v>
      </c>
      <c r="C60" s="53"/>
      <c r="D60" s="53"/>
      <c r="E60" s="54"/>
      <c r="F60" s="73" t="s">
        <v>178</v>
      </c>
      <c r="G60" s="71"/>
      <c r="H60" s="74" t="str">
        <f>IF(G60="",IF(COUNTA(C62:C64)&gt;0,"⚠ 상태 미선택(입력값 있음)","상태 미선택 → 미수집 간주"),IF(G60="값 있음",IF(COUNTA(C62:C64)=0,"⚠ 값 있음인데 입력값 없음","✓ 정상"),IF(COUNTA(C62:C64)&gt;0,"⚠ 상태와 입력값 불일치","✓ 정상")))</f>
        <v>상태 미선택 → 미수집 간주</v>
      </c>
      <c r="I60" s="54"/>
    </row>
    <row r="61" ht="24.0" customHeight="1">
      <c r="B61" s="60" t="s">
        <v>1663</v>
      </c>
    </row>
    <row r="62" ht="15.75" customHeight="1">
      <c r="B62" s="17" t="s">
        <v>280</v>
      </c>
      <c r="C62" s="42"/>
      <c r="D62" s="40" t="s">
        <v>147</v>
      </c>
      <c r="E62" s="41" t="s">
        <v>1665</v>
      </c>
    </row>
    <row r="63" ht="15.75" customHeight="1">
      <c r="B63" s="17" t="s">
        <v>285</v>
      </c>
      <c r="C63" s="42"/>
      <c r="D63" s="40" t="s">
        <v>130</v>
      </c>
      <c r="E63" s="41" t="s">
        <v>1666</v>
      </c>
    </row>
    <row r="64" ht="15.75" customHeight="1">
      <c r="B64" s="17" t="s">
        <v>265</v>
      </c>
      <c r="C64" s="42"/>
      <c r="D64" s="40" t="s">
        <v>147</v>
      </c>
      <c r="E64" s="50" t="s">
        <v>1668</v>
      </c>
    </row>
    <row r="65" ht="15.75" customHeight="1"/>
    <row r="66" ht="21.75" customHeight="1">
      <c r="A66" s="33" t="s">
        <v>1669</v>
      </c>
      <c r="B66" s="8"/>
      <c r="C66" s="8"/>
      <c r="D66" s="8"/>
      <c r="E66" s="8"/>
      <c r="F66" s="8"/>
      <c r="G66" s="8"/>
      <c r="H66" s="8"/>
      <c r="I66" s="7"/>
    </row>
    <row r="67" ht="21.75" customHeight="1">
      <c r="A67" s="51">
        <v>5.0</v>
      </c>
      <c r="B67" s="75" t="s">
        <v>1671</v>
      </c>
      <c r="C67" s="53"/>
      <c r="D67" s="53"/>
      <c r="E67" s="54"/>
      <c r="F67" s="55" t="s">
        <v>178</v>
      </c>
      <c r="G67" s="71" t="s">
        <v>47</v>
      </c>
      <c r="H67" s="59" t="str">
        <f>IF(G67="",IF(COUNTA(C69:C74)&gt;0,"⚠ 상태 미선택(입력값 있음)","상태 미선택 → 미수집 간주"),IF(G67="값 있음",IF(COUNTA(C69:C74)=0,"⚠ 값 있음인데 입력값 없음","✓ 정상"),IF(COUNTA(C69:C74)&gt;0,"⚠ 상태와 입력값 불일치","✓ 정상")))</f>
        <v>✓ 정상</v>
      </c>
      <c r="I67" s="54"/>
    </row>
    <row r="68" ht="24.0" customHeight="1">
      <c r="B68" s="60" t="s">
        <v>1679</v>
      </c>
    </row>
    <row r="69" ht="15.75" customHeight="1">
      <c r="B69" s="17" t="s">
        <v>310</v>
      </c>
      <c r="C69" s="69" t="s">
        <v>1681</v>
      </c>
      <c r="D69" s="40" t="s">
        <v>130</v>
      </c>
      <c r="E69" s="41" t="s">
        <v>1684</v>
      </c>
    </row>
    <row r="70" ht="15.75" customHeight="1">
      <c r="B70" s="17" t="s">
        <v>1686</v>
      </c>
      <c r="C70" s="42">
        <v>95.0</v>
      </c>
      <c r="D70" s="40" t="s">
        <v>1687</v>
      </c>
      <c r="E70" s="50" t="s">
        <v>1688</v>
      </c>
    </row>
    <row r="71" ht="15.75" customHeight="1">
      <c r="B71" s="17" t="s">
        <v>1689</v>
      </c>
      <c r="C71" s="42">
        <v>0.92</v>
      </c>
      <c r="D71" s="40" t="s">
        <v>1690</v>
      </c>
      <c r="E71" s="50" t="s">
        <v>1691</v>
      </c>
    </row>
    <row r="72" ht="15.75" customHeight="1">
      <c r="B72" s="17" t="s">
        <v>320</v>
      </c>
      <c r="C72" s="69" t="s">
        <v>1692</v>
      </c>
      <c r="D72" s="40" t="s">
        <v>78</v>
      </c>
      <c r="E72" s="41" t="s">
        <v>1693</v>
      </c>
    </row>
    <row r="73" ht="15.75" customHeight="1">
      <c r="B73" s="17" t="s">
        <v>1694</v>
      </c>
      <c r="C73" s="42"/>
      <c r="D73" s="40" t="s">
        <v>78</v>
      </c>
      <c r="E73" s="41" t="s">
        <v>323</v>
      </c>
    </row>
    <row r="74" ht="15.75" customHeight="1">
      <c r="B74" s="17" t="s">
        <v>1696</v>
      </c>
      <c r="C74" s="42"/>
      <c r="D74" s="40" t="s">
        <v>1697</v>
      </c>
      <c r="E74" s="41"/>
    </row>
    <row r="75" ht="15.75" customHeight="1"/>
    <row r="76" ht="21.75" customHeight="1">
      <c r="A76" s="51">
        <v>6.0</v>
      </c>
      <c r="B76" s="52" t="s">
        <v>1699</v>
      </c>
      <c r="C76" s="53"/>
      <c r="D76" s="53"/>
      <c r="E76" s="54"/>
      <c r="F76" s="55" t="s">
        <v>178</v>
      </c>
      <c r="G76" s="71" t="s">
        <v>47</v>
      </c>
      <c r="H76" s="59" t="str">
        <f>IF(G76="",IF(COUNTA(C78:C81)&gt;0,"⚠ 상태 미선택(입력값 있음)","상태 미선택 → 미수집 간주"),IF(G76="값 있음",IF(COUNTA(C78:C81)=0,"⚠ 값 있음인데 입력값 없음","✓ 정상"),IF(COUNTA(C78:C81)&gt;0,"⚠ 상태와 입력값 불일치","✓ 정상")))</f>
        <v>✓ 정상</v>
      </c>
      <c r="I76" s="54"/>
    </row>
    <row r="77" ht="24.0" customHeight="1">
      <c r="B77" s="60" t="s">
        <v>1709</v>
      </c>
    </row>
    <row r="78" ht="15.75" customHeight="1">
      <c r="B78" s="17" t="s">
        <v>310</v>
      </c>
      <c r="C78" s="42"/>
      <c r="D78" s="40" t="s">
        <v>130</v>
      </c>
      <c r="E78" s="41" t="s">
        <v>1710</v>
      </c>
    </row>
    <row r="79" ht="15.75" customHeight="1">
      <c r="B79" s="17" t="s">
        <v>1711</v>
      </c>
      <c r="C79" s="42" t="s">
        <v>1713</v>
      </c>
      <c r="D79" s="40" t="s">
        <v>78</v>
      </c>
      <c r="E79" s="41"/>
    </row>
    <row r="80" ht="15.75" customHeight="1">
      <c r="B80" s="17" t="s">
        <v>1714</v>
      </c>
      <c r="C80" s="42"/>
      <c r="D80" s="40" t="s">
        <v>78</v>
      </c>
      <c r="E80" s="41"/>
    </row>
    <row r="81" ht="15.75" customHeight="1">
      <c r="B81" s="17" t="s">
        <v>341</v>
      </c>
      <c r="C81" s="42"/>
      <c r="D81" s="40" t="s">
        <v>130</v>
      </c>
      <c r="E81" s="41" t="s">
        <v>343</v>
      </c>
    </row>
    <row r="82" ht="15.75" customHeight="1"/>
    <row r="83" ht="21.75" customHeight="1">
      <c r="A83" s="76">
        <v>7.0</v>
      </c>
      <c r="B83" s="77" t="s">
        <v>1717</v>
      </c>
      <c r="C83" s="53"/>
      <c r="D83" s="53"/>
      <c r="E83" s="54"/>
      <c r="F83" s="78" t="s">
        <v>178</v>
      </c>
      <c r="G83" s="71"/>
      <c r="H83" s="79" t="str">
        <f>IF(G83="",IF(COUNTA(C85:C88)&gt;0,"⚠ 상태 미선택(입력값 있음)","상태 미선택 → 미수집 간주"),IF(G83="값 있음",IF(COUNTA(C85:C88)=0,"⚠ 값 있음인데 입력값 없음","✓ 정상"),IF(COUNTA(C85:C88)&gt;0,"⚠ 상태와 입력값 불일치","✓ 정상")))</f>
        <v>상태 미선택 → 미수집 간주</v>
      </c>
      <c r="I83" s="54"/>
    </row>
    <row r="84" ht="15.0" customHeight="1">
      <c r="B84" s="60" t="s">
        <v>1730</v>
      </c>
    </row>
    <row r="85" ht="15.75" customHeight="1">
      <c r="B85" s="17" t="s">
        <v>310</v>
      </c>
      <c r="C85" s="42"/>
      <c r="D85" s="40" t="s">
        <v>130</v>
      </c>
      <c r="E85" s="41" t="s">
        <v>1733</v>
      </c>
    </row>
    <row r="86" ht="15.75" customHeight="1">
      <c r="B86" s="17" t="s">
        <v>356</v>
      </c>
      <c r="C86" s="42"/>
      <c r="D86" s="40" t="s">
        <v>78</v>
      </c>
      <c r="E86" s="41"/>
    </row>
    <row r="87" ht="15.75" customHeight="1">
      <c r="B87" s="17" t="s">
        <v>360</v>
      </c>
      <c r="C87" s="42"/>
      <c r="D87" s="40" t="s">
        <v>78</v>
      </c>
      <c r="E87" s="41"/>
    </row>
    <row r="88" ht="15.75" customHeight="1">
      <c r="B88" s="17" t="s">
        <v>361</v>
      </c>
      <c r="C88" s="42"/>
      <c r="D88" s="40" t="s">
        <v>78</v>
      </c>
      <c r="E88" s="41"/>
    </row>
    <row r="89" ht="15.75" customHeight="1"/>
    <row r="90" ht="21.75" customHeight="1">
      <c r="A90" s="33" t="s">
        <v>1737</v>
      </c>
      <c r="B90" s="8"/>
      <c r="C90" s="8"/>
      <c r="D90" s="8"/>
      <c r="E90" s="8"/>
      <c r="F90" s="8"/>
      <c r="G90" s="8"/>
      <c r="H90" s="8"/>
      <c r="I90" s="7"/>
    </row>
    <row r="91" ht="21.75" customHeight="1">
      <c r="A91" s="51">
        <v>8.0</v>
      </c>
      <c r="B91" s="52" t="s">
        <v>1742</v>
      </c>
      <c r="C91" s="53"/>
      <c r="D91" s="53"/>
      <c r="E91" s="54"/>
      <c r="F91" s="55" t="s">
        <v>178</v>
      </c>
      <c r="G91" s="71" t="s">
        <v>49</v>
      </c>
      <c r="H91" s="59" t="str">
        <f>IF(G91="",IF(COUNTA(B95:H98)&gt;0,"⚠ 상태 미선택(입력값 있음)","상태 미선택 → 미수집 간주"),IF(G91="값 있음",IF(COUNTA(B95:H98)=0,"⚠ 값 있음인데 입력값 없음","✓ 정상"),IF(COUNTA(B95:H98)&gt;0,"⚠ 상태와 입력값 불일치","✓ 정상")))</f>
        <v>✓ 정상</v>
      </c>
      <c r="I91" s="54"/>
    </row>
    <row r="92" ht="24.0" customHeight="1">
      <c r="B92" s="60" t="s">
        <v>1748</v>
      </c>
    </row>
    <row r="93" ht="15.75" customHeight="1">
      <c r="A93" s="62" t="s">
        <v>24</v>
      </c>
      <c r="B93" s="13" t="s">
        <v>377</v>
      </c>
      <c r="C93" s="13" t="s">
        <v>1750</v>
      </c>
      <c r="D93" s="13" t="s">
        <v>379</v>
      </c>
      <c r="E93" s="13" t="s">
        <v>380</v>
      </c>
      <c r="F93" s="13" t="s">
        <v>381</v>
      </c>
      <c r="G93" s="13" t="s">
        <v>1751</v>
      </c>
      <c r="H93" s="13" t="s">
        <v>383</v>
      </c>
    </row>
    <row r="94" ht="25.5" customHeight="1">
      <c r="A94" s="63" t="s">
        <v>111</v>
      </c>
      <c r="B94" s="64" t="s">
        <v>1752</v>
      </c>
      <c r="C94" s="63" t="s">
        <v>1753</v>
      </c>
      <c r="D94" s="63" t="s">
        <v>130</v>
      </c>
      <c r="E94" s="64" t="s">
        <v>158</v>
      </c>
      <c r="F94" s="64" t="s">
        <v>1754</v>
      </c>
      <c r="G94" s="63" t="s">
        <v>78</v>
      </c>
      <c r="H94" s="63" t="s">
        <v>130</v>
      </c>
    </row>
    <row r="95" ht="15.75" customHeight="1">
      <c r="A95" s="65">
        <v>1.0</v>
      </c>
      <c r="B95" s="42"/>
      <c r="C95" s="42"/>
      <c r="D95" s="42"/>
      <c r="E95" s="39"/>
      <c r="F95" s="39"/>
      <c r="G95" s="42"/>
      <c r="H95" s="42"/>
    </row>
    <row r="96" ht="15.75" customHeight="1">
      <c r="A96" s="65">
        <v>2.0</v>
      </c>
      <c r="B96" s="42"/>
      <c r="C96" s="42"/>
      <c r="D96" s="42"/>
      <c r="E96" s="39"/>
      <c r="F96" s="39"/>
      <c r="G96" s="42"/>
      <c r="H96" s="42"/>
    </row>
    <row r="97" ht="15.75" customHeight="1">
      <c r="A97" s="65">
        <v>3.0</v>
      </c>
      <c r="B97" s="42"/>
      <c r="C97" s="42"/>
      <c r="D97" s="42"/>
      <c r="E97" s="39"/>
      <c r="F97" s="39"/>
      <c r="G97" s="42"/>
      <c r="H97" s="42"/>
    </row>
    <row r="98" ht="15.75" customHeight="1">
      <c r="A98" s="65">
        <v>4.0</v>
      </c>
      <c r="B98" s="42"/>
      <c r="C98" s="42"/>
      <c r="D98" s="42"/>
      <c r="E98" s="39"/>
      <c r="F98" s="39"/>
      <c r="G98" s="42"/>
      <c r="H98" s="42"/>
    </row>
    <row r="99" ht="15.75" customHeight="1"/>
    <row r="100" ht="21.75" customHeight="1">
      <c r="A100" s="51">
        <v>9.0</v>
      </c>
      <c r="B100" s="52" t="s">
        <v>1758</v>
      </c>
      <c r="C100" s="53"/>
      <c r="D100" s="53"/>
      <c r="E100" s="54"/>
      <c r="F100" s="55" t="s">
        <v>178</v>
      </c>
      <c r="G100" s="71" t="s">
        <v>49</v>
      </c>
      <c r="H100" s="59" t="str">
        <f>IF(G100="",IF(COUNTA(B104:G106)&gt;0,"⚠ 상태 미선택(입력값 있음)","상태 미선택 → 미수집 간주"),IF(G100="값 있음",IF(COUNTA(B104:G106)=0,"⚠ 값 있음인데 입력값 없음","✓ 정상"),IF(COUNTA(B104:G106)&gt;0,"⚠ 상태와 입력값 불일치","✓ 정상")))</f>
        <v>✓ 정상</v>
      </c>
      <c r="I100" s="54"/>
    </row>
    <row r="101" ht="24.0" customHeight="1">
      <c r="B101" s="60" t="s">
        <v>1767</v>
      </c>
    </row>
    <row r="102" ht="15.75" customHeight="1">
      <c r="A102" s="62" t="s">
        <v>24</v>
      </c>
      <c r="B102" s="13" t="s">
        <v>400</v>
      </c>
      <c r="C102" s="13" t="s">
        <v>401</v>
      </c>
      <c r="D102" s="13" t="s">
        <v>402</v>
      </c>
      <c r="E102" s="13" t="s">
        <v>403</v>
      </c>
      <c r="F102" s="13" t="s">
        <v>404</v>
      </c>
      <c r="G102" s="13" t="s">
        <v>1772</v>
      </c>
    </row>
    <row r="103" ht="37.5" customHeight="1">
      <c r="A103" s="63" t="s">
        <v>111</v>
      </c>
      <c r="B103" s="64" t="s">
        <v>1773</v>
      </c>
      <c r="C103" s="63" t="s">
        <v>130</v>
      </c>
      <c r="D103" s="64" t="s">
        <v>1775</v>
      </c>
      <c r="E103" s="64" t="s">
        <v>1778</v>
      </c>
      <c r="F103" s="64" t="s">
        <v>1780</v>
      </c>
      <c r="G103" s="64" t="s">
        <v>158</v>
      </c>
    </row>
    <row r="104" ht="15.75" customHeight="1">
      <c r="A104" s="65">
        <v>1.0</v>
      </c>
      <c r="B104" s="42"/>
      <c r="C104" s="42"/>
      <c r="D104" s="42"/>
      <c r="E104" s="42"/>
      <c r="F104" s="42"/>
      <c r="G104" s="39"/>
    </row>
    <row r="105" ht="15.75" customHeight="1">
      <c r="A105" s="65">
        <v>2.0</v>
      </c>
      <c r="B105" s="42"/>
      <c r="C105" s="42"/>
      <c r="D105" s="42"/>
      <c r="E105" s="42"/>
      <c r="F105" s="42"/>
      <c r="G105" s="39"/>
    </row>
    <row r="106" ht="15.75" customHeight="1">
      <c r="A106" s="65">
        <v>3.0</v>
      </c>
      <c r="B106" s="42"/>
      <c r="C106" s="42"/>
      <c r="D106" s="42"/>
      <c r="E106" s="42"/>
      <c r="F106" s="42"/>
      <c r="G106" s="39"/>
    </row>
    <row r="107" ht="15.75" customHeight="1"/>
    <row r="108" ht="21.75" customHeight="1">
      <c r="A108" s="70">
        <v>10.0</v>
      </c>
      <c r="B108" s="80" t="s">
        <v>1785</v>
      </c>
      <c r="C108" s="53"/>
      <c r="D108" s="53"/>
      <c r="E108" s="54"/>
      <c r="F108" s="73" t="s">
        <v>178</v>
      </c>
      <c r="G108" s="71" t="s">
        <v>49</v>
      </c>
      <c r="H108" s="74" t="str">
        <f>IF(G108="",IF(COUNTA(B112:E114)&gt;0,"⚠ 상태 미선택(입력값 있음)","상태 미선택 → 미수집 간주"),IF(G108="값 있음",IF(COUNTA(B112:E114)=0,"⚠ 값 있음인데 입력값 없음","✓ 정상"),IF(COUNTA(B112:E114)&gt;0,"⚠ 상태와 입력값 불일치","✓ 정상")))</f>
        <v>✓ 정상</v>
      </c>
      <c r="I108" s="54"/>
    </row>
    <row r="109" ht="24.0" customHeight="1">
      <c r="B109" s="60" t="s">
        <v>1793</v>
      </c>
    </row>
    <row r="110" ht="15.75" customHeight="1">
      <c r="A110" s="62" t="s">
        <v>24</v>
      </c>
      <c r="B110" s="13" t="s">
        <v>215</v>
      </c>
      <c r="C110" s="13" t="s">
        <v>193</v>
      </c>
      <c r="D110" s="13" t="s">
        <v>1795</v>
      </c>
      <c r="E110" s="13" t="s">
        <v>430</v>
      </c>
    </row>
    <row r="111" ht="25.5" customHeight="1">
      <c r="A111" s="63" t="s">
        <v>111</v>
      </c>
      <c r="B111" s="63" t="s">
        <v>130</v>
      </c>
      <c r="C111" s="64" t="s">
        <v>1798</v>
      </c>
      <c r="D111" s="63" t="s">
        <v>78</v>
      </c>
      <c r="E111" s="63" t="s">
        <v>130</v>
      </c>
    </row>
    <row r="112" ht="15.75" customHeight="1">
      <c r="A112" s="65">
        <v>1.0</v>
      </c>
      <c r="B112" s="42"/>
      <c r="C112" s="39"/>
      <c r="D112" s="42"/>
      <c r="E112" s="42"/>
    </row>
    <row r="113" ht="15.75" customHeight="1">
      <c r="A113" s="65">
        <v>2.0</v>
      </c>
      <c r="B113" s="42"/>
      <c r="C113" s="39"/>
      <c r="D113" s="42"/>
      <c r="E113" s="42"/>
    </row>
    <row r="114" ht="15.75" customHeight="1">
      <c r="A114" s="65">
        <v>3.0</v>
      </c>
      <c r="B114" s="42"/>
      <c r="C114" s="39"/>
      <c r="D114" s="42"/>
      <c r="E114" s="42"/>
    </row>
    <row r="115" ht="15.75" customHeight="1"/>
    <row r="116" ht="21.75" customHeight="1">
      <c r="A116" s="33" t="s">
        <v>1800</v>
      </c>
      <c r="B116" s="8"/>
      <c r="C116" s="8"/>
      <c r="D116" s="8"/>
      <c r="E116" s="8"/>
      <c r="F116" s="8"/>
      <c r="G116" s="8"/>
      <c r="H116" s="8"/>
      <c r="I116" s="7"/>
    </row>
    <row r="117" ht="21.75" customHeight="1">
      <c r="A117" s="51">
        <v>11.0</v>
      </c>
      <c r="B117" s="52" t="s">
        <v>1802</v>
      </c>
      <c r="C117" s="53"/>
      <c r="D117" s="53"/>
      <c r="E117" s="54"/>
      <c r="F117" s="55" t="s">
        <v>178</v>
      </c>
      <c r="G117" s="71" t="s">
        <v>47</v>
      </c>
      <c r="H117" s="59" t="str">
        <f>IF(G117="",IF(COUNTA(B121:I123)&gt;0,"⚠ 상태 미선택(입력값 있음)","상태 미선택 → 미수집 간주"),IF(G117="값 있음",IF(COUNTA(B121:I123)=0,"⚠ 값 있음인데 입력값 없음","✓ 정상"),IF(COUNTA(B121:I123)&gt;0,"⚠ 상태와 입력값 불일치","✓ 정상")))</f>
        <v>⚠ 값 있음인데 입력값 없음</v>
      </c>
      <c r="I117" s="54"/>
    </row>
    <row r="118" ht="24.0" customHeight="1">
      <c r="B118" s="60" t="s">
        <v>1810</v>
      </c>
    </row>
    <row r="119" ht="15.75" customHeight="1">
      <c r="A119" s="62" t="s">
        <v>24</v>
      </c>
      <c r="B119" s="13" t="s">
        <v>400</v>
      </c>
      <c r="C119" s="13" t="s">
        <v>450</v>
      </c>
      <c r="D119" s="13" t="s">
        <v>1811</v>
      </c>
      <c r="E119" s="13" t="s">
        <v>380</v>
      </c>
      <c r="F119" s="13" t="s">
        <v>381</v>
      </c>
      <c r="G119" s="13" t="s">
        <v>1812</v>
      </c>
      <c r="H119" s="13" t="s">
        <v>454</v>
      </c>
      <c r="I119" s="62" t="s">
        <v>1813</v>
      </c>
    </row>
    <row r="120" ht="25.5" customHeight="1">
      <c r="A120" s="63" t="s">
        <v>111</v>
      </c>
      <c r="B120" s="64" t="s">
        <v>1814</v>
      </c>
      <c r="C120" s="63" t="s">
        <v>130</v>
      </c>
      <c r="D120" s="63" t="s">
        <v>130</v>
      </c>
      <c r="E120" s="64" t="s">
        <v>158</v>
      </c>
      <c r="F120" s="64" t="s">
        <v>158</v>
      </c>
      <c r="G120" s="63" t="s">
        <v>78</v>
      </c>
      <c r="H120" s="64" t="s">
        <v>1816</v>
      </c>
      <c r="I120" s="64" t="s">
        <v>462</v>
      </c>
    </row>
    <row r="121" ht="15.75" customHeight="1">
      <c r="A121" s="65">
        <v>1.0</v>
      </c>
      <c r="B121" s="42"/>
      <c r="C121" s="42"/>
      <c r="D121" s="42"/>
      <c r="E121" s="39"/>
      <c r="F121" s="39"/>
      <c r="G121" s="42"/>
      <c r="H121" s="42"/>
      <c r="I121" s="42"/>
    </row>
    <row r="122" ht="15.75" customHeight="1">
      <c r="A122" s="65">
        <v>2.0</v>
      </c>
      <c r="B122" s="42"/>
      <c r="C122" s="42"/>
      <c r="D122" s="42"/>
      <c r="E122" s="39"/>
      <c r="F122" s="39"/>
      <c r="G122" s="42"/>
      <c r="H122" s="42"/>
      <c r="I122" s="42"/>
    </row>
    <row r="123" ht="15.75" customHeight="1">
      <c r="A123" s="65">
        <v>3.0</v>
      </c>
      <c r="B123" s="42"/>
      <c r="C123" s="42"/>
      <c r="D123" s="42"/>
      <c r="E123" s="39"/>
      <c r="F123" s="39"/>
      <c r="G123" s="42"/>
      <c r="H123" s="42"/>
      <c r="I123" s="42"/>
    </row>
    <row r="124" ht="15.75" customHeight="1"/>
    <row r="125" ht="21.75" customHeight="1">
      <c r="A125" s="51">
        <v>12.0</v>
      </c>
      <c r="B125" s="52" t="s">
        <v>330</v>
      </c>
      <c r="C125" s="53"/>
      <c r="D125" s="53"/>
      <c r="E125" s="54"/>
      <c r="F125" s="55" t="s">
        <v>178</v>
      </c>
      <c r="G125" s="71" t="s">
        <v>49</v>
      </c>
      <c r="H125" s="59" t="str">
        <f>IF(G125="",IF(COUNTA(B129:F131)&gt;0,"⚠ 상태 미선택(입력값 있음)","상태 미선택 → 미수집 간주"),IF(G125="값 있음",IF(COUNTA(B129:F131)=0,"⚠ 값 있음인데 입력값 없음","✓ 정상"),IF(COUNTA(B129:F131)&gt;0,"⚠ 상태와 입력값 불일치","✓ 정상")))</f>
        <v>⚠ 상태와 입력값 불일치</v>
      </c>
      <c r="I125" s="54"/>
    </row>
    <row r="126" ht="24.0" customHeight="1">
      <c r="B126" s="60" t="s">
        <v>1830</v>
      </c>
    </row>
    <row r="127" ht="15.75" customHeight="1">
      <c r="A127" s="62" t="s">
        <v>24</v>
      </c>
      <c r="B127" s="13" t="s">
        <v>480</v>
      </c>
      <c r="C127" s="13" t="s">
        <v>482</v>
      </c>
      <c r="D127" s="13" t="s">
        <v>1833</v>
      </c>
      <c r="E127" s="13" t="s">
        <v>486</v>
      </c>
      <c r="F127" s="13" t="s">
        <v>487</v>
      </c>
    </row>
    <row r="128" ht="25.5" customHeight="1">
      <c r="A128" s="63" t="s">
        <v>111</v>
      </c>
      <c r="B128" s="63" t="s">
        <v>130</v>
      </c>
      <c r="C128" s="63" t="s">
        <v>130</v>
      </c>
      <c r="D128" s="63" t="s">
        <v>78</v>
      </c>
      <c r="E128" s="63" t="s">
        <v>78</v>
      </c>
      <c r="F128" s="64" t="s">
        <v>1835</v>
      </c>
    </row>
    <row r="129" ht="15.75" customHeight="1">
      <c r="A129" s="65">
        <v>1.0</v>
      </c>
      <c r="B129" s="69" t="s">
        <v>621</v>
      </c>
      <c r="C129" s="69" t="s">
        <v>1837</v>
      </c>
      <c r="D129" s="42" t="s">
        <v>1838</v>
      </c>
      <c r="E129" s="42"/>
      <c r="F129" s="42"/>
    </row>
    <row r="130" ht="15.75" customHeight="1">
      <c r="A130" s="65">
        <v>2.0</v>
      </c>
      <c r="B130" s="42"/>
      <c r="C130" s="42"/>
      <c r="D130" s="42"/>
      <c r="E130" s="42"/>
      <c r="F130" s="42"/>
    </row>
    <row r="131" ht="15.75" customHeight="1">
      <c r="A131" s="65">
        <v>3.0</v>
      </c>
      <c r="B131" s="42"/>
      <c r="C131" s="42"/>
      <c r="D131" s="42"/>
      <c r="E131" s="42"/>
      <c r="F131" s="42"/>
    </row>
    <row r="132" ht="15.75" customHeight="1"/>
    <row r="133" ht="21.75" customHeight="1">
      <c r="A133" s="76">
        <v>13.0</v>
      </c>
      <c r="B133" s="77" t="s">
        <v>1841</v>
      </c>
      <c r="C133" s="53"/>
      <c r="D133" s="53"/>
      <c r="E133" s="54"/>
      <c r="F133" s="78" t="s">
        <v>178</v>
      </c>
      <c r="G133" s="71" t="s">
        <v>47</v>
      </c>
      <c r="H133" s="79" t="str">
        <f>IF(G133="",IF(COUNTA(C135:C138)&gt;0,"⚠ 상태 미선택(입력값 있음)","상태 미선택 → 미수집 간주"),IF(G133="값 있음",IF(COUNTA(C135:C138)=0,"⚠ 값 있음인데 입력값 없음","✓ 정상"),IF(COUNTA(C135:C138)&gt;0,"⚠ 상태와 입력값 불일치","✓ 정상")))</f>
        <v>✓ 정상</v>
      </c>
      <c r="I133" s="54"/>
    </row>
    <row r="134" ht="24.0" customHeight="1">
      <c r="B134" s="60" t="s">
        <v>1845</v>
      </c>
    </row>
    <row r="135" ht="15.75" customHeight="1">
      <c r="B135" s="17" t="s">
        <v>1846</v>
      </c>
      <c r="C135" s="42"/>
      <c r="D135" s="40" t="s">
        <v>78</v>
      </c>
      <c r="E135" s="41"/>
    </row>
    <row r="136" ht="15.75" customHeight="1">
      <c r="B136" s="17" t="s">
        <v>521</v>
      </c>
      <c r="C136" s="42" t="s">
        <v>249</v>
      </c>
      <c r="D136" s="40" t="s">
        <v>147</v>
      </c>
      <c r="E136" s="50" t="s">
        <v>462</v>
      </c>
    </row>
    <row r="137" ht="15.75" customHeight="1">
      <c r="B137" s="17" t="s">
        <v>1847</v>
      </c>
      <c r="C137" s="69" t="s">
        <v>1848</v>
      </c>
      <c r="D137" s="40" t="s">
        <v>130</v>
      </c>
      <c r="E137" s="41"/>
    </row>
    <row r="138" ht="30.0" customHeight="1">
      <c r="B138" s="17" t="s">
        <v>524</v>
      </c>
      <c r="C138" s="69" t="s">
        <v>1849</v>
      </c>
      <c r="D138" s="40" t="s">
        <v>525</v>
      </c>
      <c r="E138" s="50" t="s">
        <v>1850</v>
      </c>
    </row>
    <row r="139" ht="15.75" customHeight="1"/>
    <row r="140" ht="21.75" customHeight="1">
      <c r="A140" s="33" t="s">
        <v>1852</v>
      </c>
      <c r="B140" s="8"/>
      <c r="C140" s="8"/>
      <c r="D140" s="8"/>
      <c r="E140" s="8"/>
      <c r="F140" s="8"/>
      <c r="G140" s="8"/>
      <c r="H140" s="8"/>
      <c r="I140" s="7"/>
    </row>
    <row r="141" ht="21.75" customHeight="1">
      <c r="A141" s="51">
        <v>14.0</v>
      </c>
      <c r="B141" s="52" t="s">
        <v>1853</v>
      </c>
      <c r="C141" s="53"/>
      <c r="D141" s="53"/>
      <c r="E141" s="54"/>
      <c r="F141" s="55" t="s">
        <v>178</v>
      </c>
      <c r="G141" s="71" t="s">
        <v>47</v>
      </c>
      <c r="H141" s="59" t="str">
        <f>IF(G141="",IF(COUNTA(B145:H149)&gt;0,"⚠ 상태 미선택(입력값 있음)","상태 미선택 → 미수집 간주"),IF(G141="값 있음",IF(COUNTA(B145:H149)=0,"⚠ 값 있음인데 입력값 없음","✓ 정상"),IF(COUNTA(B145:H149)&gt;0,"⚠ 상태와 입력값 불일치","✓ 정상")))</f>
        <v>✓ 정상</v>
      </c>
      <c r="I141" s="54"/>
    </row>
    <row r="142" ht="24.0" customHeight="1">
      <c r="B142" s="60" t="s">
        <v>1861</v>
      </c>
    </row>
    <row r="143" ht="15.75" customHeight="1">
      <c r="A143" s="62" t="s">
        <v>24</v>
      </c>
      <c r="B143" s="13" t="s">
        <v>552</v>
      </c>
      <c r="C143" s="13" t="s">
        <v>553</v>
      </c>
      <c r="D143" s="13" t="s">
        <v>554</v>
      </c>
      <c r="E143" s="13" t="s">
        <v>555</v>
      </c>
      <c r="F143" s="13" t="s">
        <v>556</v>
      </c>
      <c r="G143" s="13" t="s">
        <v>557</v>
      </c>
      <c r="H143" s="13" t="s">
        <v>558</v>
      </c>
    </row>
    <row r="144" ht="25.5" customHeight="1">
      <c r="A144" s="63" t="s">
        <v>111</v>
      </c>
      <c r="B144" s="63" t="s">
        <v>130</v>
      </c>
      <c r="C144" s="63" t="s">
        <v>130</v>
      </c>
      <c r="D144" s="64" t="s">
        <v>1865</v>
      </c>
      <c r="E144" s="64" t="s">
        <v>1866</v>
      </c>
      <c r="F144" s="64" t="s">
        <v>1868</v>
      </c>
      <c r="G144" s="63" t="s">
        <v>130</v>
      </c>
      <c r="H144" s="64" t="s">
        <v>158</v>
      </c>
    </row>
    <row r="145" ht="15.75" customHeight="1">
      <c r="A145" s="65">
        <v>1.0</v>
      </c>
      <c r="B145" s="69" t="s">
        <v>1870</v>
      </c>
      <c r="C145" s="42"/>
      <c r="D145" s="42"/>
      <c r="E145" s="69" t="s">
        <v>1871</v>
      </c>
      <c r="F145" s="69" t="s">
        <v>682</v>
      </c>
      <c r="G145" s="42"/>
      <c r="H145" s="39" t="s">
        <v>1872</v>
      </c>
    </row>
    <row r="146" ht="15.75" customHeight="1">
      <c r="A146" s="65">
        <v>2.0</v>
      </c>
      <c r="B146" s="42"/>
      <c r="C146" s="42"/>
      <c r="D146" s="42"/>
      <c r="E146" s="69"/>
      <c r="F146" s="69"/>
      <c r="G146" s="42"/>
      <c r="H146" s="39"/>
    </row>
    <row r="147" ht="15.75" customHeight="1">
      <c r="A147" s="65">
        <v>3.0</v>
      </c>
      <c r="B147" s="42"/>
      <c r="C147" s="42"/>
      <c r="D147" s="42"/>
      <c r="E147" s="69"/>
      <c r="F147" s="69"/>
      <c r="G147" s="42"/>
      <c r="H147" s="39"/>
    </row>
    <row r="148" ht="15.75" customHeight="1">
      <c r="A148" s="65">
        <v>4.0</v>
      </c>
      <c r="B148" s="42"/>
      <c r="C148" s="42"/>
      <c r="D148" s="42"/>
      <c r="E148" s="69"/>
      <c r="F148" s="69"/>
      <c r="G148" s="42"/>
      <c r="H148" s="39"/>
    </row>
    <row r="149" ht="15.75" customHeight="1">
      <c r="A149" s="65">
        <v>5.0</v>
      </c>
      <c r="B149" s="42"/>
      <c r="C149" s="42"/>
      <c r="D149" s="42"/>
      <c r="E149" s="69"/>
      <c r="F149" s="69"/>
      <c r="G149" s="42"/>
      <c r="H149" s="39"/>
    </row>
    <row r="150" ht="15.75" customHeight="1"/>
    <row r="151" ht="21.75" customHeight="1">
      <c r="A151" s="51">
        <v>15.0</v>
      </c>
      <c r="B151" s="52" t="s">
        <v>374</v>
      </c>
      <c r="C151" s="53"/>
      <c r="D151" s="53"/>
      <c r="E151" s="54"/>
      <c r="F151" s="55" t="s">
        <v>178</v>
      </c>
      <c r="G151" s="71" t="s">
        <v>49</v>
      </c>
      <c r="H151" s="59" t="str">
        <f>IF(G151="",IF(COUNTA(B155:E156)&gt;0,"⚠ 상태 미선택(입력값 있음)","상태 미선택 → 미수집 간주"),IF(G151="값 있음",IF(COUNTA(B155:E156)=0,"⚠ 값 있음인데 입력값 없음","✓ 정상"),IF(COUNTA(B155:E156)&gt;0,"⚠ 상태와 입력값 불일치","✓ 정상")))</f>
        <v>✓ 정상</v>
      </c>
      <c r="I151" s="54"/>
    </row>
    <row r="152" ht="15.0" customHeight="1">
      <c r="B152" s="60" t="s">
        <v>1879</v>
      </c>
    </row>
    <row r="153" ht="15.75" customHeight="1">
      <c r="A153" s="62" t="s">
        <v>24</v>
      </c>
      <c r="B153" s="13" t="s">
        <v>400</v>
      </c>
      <c r="C153" s="13" t="s">
        <v>1881</v>
      </c>
      <c r="D153" s="13" t="s">
        <v>555</v>
      </c>
      <c r="E153" s="13" t="s">
        <v>558</v>
      </c>
    </row>
    <row r="154" ht="25.5" customHeight="1">
      <c r="A154" s="63" t="s">
        <v>111</v>
      </c>
      <c r="B154" s="64" t="s">
        <v>1884</v>
      </c>
      <c r="C154" s="63" t="s">
        <v>130</v>
      </c>
      <c r="D154" s="63" t="s">
        <v>130</v>
      </c>
      <c r="E154" s="64" t="s">
        <v>158</v>
      </c>
    </row>
    <row r="155" ht="15.75" customHeight="1">
      <c r="A155" s="65">
        <v>1.0</v>
      </c>
      <c r="B155" s="42"/>
      <c r="C155" s="42"/>
      <c r="D155" s="42"/>
      <c r="E155" s="39"/>
    </row>
    <row r="156" ht="15.75" customHeight="1">
      <c r="A156" s="65">
        <v>2.0</v>
      </c>
      <c r="B156" s="42"/>
      <c r="C156" s="42"/>
      <c r="D156" s="42"/>
      <c r="E156" s="39"/>
    </row>
    <row r="157" ht="15.75" customHeight="1"/>
    <row r="158" ht="21.75" customHeight="1">
      <c r="A158" s="70">
        <v>16.0</v>
      </c>
      <c r="B158" s="72" t="s">
        <v>1887</v>
      </c>
      <c r="C158" s="53"/>
      <c r="D158" s="53"/>
      <c r="E158" s="54"/>
      <c r="F158" s="73" t="s">
        <v>178</v>
      </c>
      <c r="G158" s="71" t="s">
        <v>49</v>
      </c>
      <c r="H158" s="74" t="str">
        <f>IF(G158="",IF(COUNTA(B162:G163)&gt;0,"⚠ 상태 미선택(입력값 있음)","상태 미선택 → 미수집 간주"),IF(G158="값 있음",IF(COUNTA(B162:G163)=0,"⚠ 값 있음인데 입력값 없음","✓ 정상"),IF(COUNTA(B162:G163)&gt;0,"⚠ 상태와 입력값 불일치","✓ 정상")))</f>
        <v>✓ 정상</v>
      </c>
      <c r="I158" s="54"/>
    </row>
    <row r="159" ht="24.0" customHeight="1">
      <c r="B159" s="60" t="s">
        <v>1896</v>
      </c>
    </row>
    <row r="160" ht="15.75" customHeight="1">
      <c r="A160" s="62" t="s">
        <v>24</v>
      </c>
      <c r="B160" s="13" t="s">
        <v>400</v>
      </c>
      <c r="C160" s="13" t="s">
        <v>608</v>
      </c>
      <c r="D160" s="13" t="s">
        <v>403</v>
      </c>
      <c r="E160" s="13" t="s">
        <v>1898</v>
      </c>
      <c r="F160" s="13" t="s">
        <v>558</v>
      </c>
      <c r="G160" s="13" t="s">
        <v>613</v>
      </c>
    </row>
    <row r="161" ht="25.5" customHeight="1">
      <c r="A161" s="63" t="s">
        <v>111</v>
      </c>
      <c r="B161" s="64" t="s">
        <v>1899</v>
      </c>
      <c r="C161" s="63" t="s">
        <v>130</v>
      </c>
      <c r="D161" s="64" t="s">
        <v>1901</v>
      </c>
      <c r="E161" s="63" t="s">
        <v>130</v>
      </c>
      <c r="F161" s="64" t="s">
        <v>158</v>
      </c>
      <c r="G161" s="64" t="s">
        <v>1903</v>
      </c>
    </row>
    <row r="162" ht="15.75" customHeight="1">
      <c r="A162" s="65">
        <v>1.0</v>
      </c>
      <c r="B162" s="42"/>
      <c r="C162" s="42"/>
      <c r="D162" s="42"/>
      <c r="E162" s="42"/>
      <c r="F162" s="39"/>
      <c r="G162" s="42"/>
    </row>
    <row r="163" ht="15.75" customHeight="1">
      <c r="A163" s="65">
        <v>2.0</v>
      </c>
      <c r="B163" s="42"/>
      <c r="C163" s="42"/>
      <c r="D163" s="42"/>
      <c r="E163" s="42"/>
      <c r="F163" s="39"/>
      <c r="G163" s="42"/>
    </row>
    <row r="164" ht="15.75" customHeight="1"/>
    <row r="165" ht="21.75" customHeight="1">
      <c r="A165" s="33" t="s">
        <v>620</v>
      </c>
      <c r="B165" s="8"/>
      <c r="C165" s="8"/>
      <c r="D165" s="8"/>
      <c r="E165" s="8"/>
      <c r="F165" s="8"/>
      <c r="G165" s="8"/>
      <c r="H165" s="8"/>
      <c r="I165" s="7"/>
    </row>
    <row r="166" ht="21.75" customHeight="1">
      <c r="A166" s="51">
        <v>17.0</v>
      </c>
      <c r="B166" s="52" t="s">
        <v>1904</v>
      </c>
      <c r="C166" s="53"/>
      <c r="D166" s="53"/>
      <c r="E166" s="54"/>
      <c r="F166" s="55" t="s">
        <v>178</v>
      </c>
      <c r="G166" s="71"/>
      <c r="H166" s="59" t="str">
        <f>IF(G166="",IF(COUNTA(B170:G172)&gt;0,"⚠ 상태 미선택(입력값 있음)","상태 미선택 → 미수집 간주"),IF(G166="값 있음",IF(COUNTA(B170:G172)=0,"⚠ 값 있음인데 입력값 없음","✓ 정상"),IF(COUNTA(B170:G172)&gt;0,"⚠ 상태와 입력값 불일치","✓ 정상")))</f>
        <v>⚠ 상태 미선택(입력값 있음)</v>
      </c>
      <c r="I166" s="54"/>
    </row>
    <row r="167" ht="24.0" customHeight="1">
      <c r="B167" s="60" t="s">
        <v>1920</v>
      </c>
    </row>
    <row r="168" ht="15.75" customHeight="1">
      <c r="A168" s="62" t="s">
        <v>24</v>
      </c>
      <c r="B168" s="13" t="s">
        <v>400</v>
      </c>
      <c r="C168" s="13" t="s">
        <v>633</v>
      </c>
      <c r="D168" s="13" t="s">
        <v>1922</v>
      </c>
      <c r="E168" s="13" t="s">
        <v>1923</v>
      </c>
      <c r="F168" s="13" t="s">
        <v>639</v>
      </c>
      <c r="G168" s="62" t="s">
        <v>1925</v>
      </c>
    </row>
    <row r="169" ht="37.5" customHeight="1">
      <c r="A169" s="63" t="s">
        <v>111</v>
      </c>
      <c r="B169" s="64" t="s">
        <v>1927</v>
      </c>
      <c r="C169" s="63" t="s">
        <v>130</v>
      </c>
      <c r="D169" s="63" t="s">
        <v>130</v>
      </c>
      <c r="E169" s="63" t="s">
        <v>78</v>
      </c>
      <c r="F169" s="64" t="s">
        <v>158</v>
      </c>
      <c r="G169" s="64" t="s">
        <v>462</v>
      </c>
    </row>
    <row r="170" ht="15.75" customHeight="1">
      <c r="A170" s="65">
        <v>1.0</v>
      </c>
      <c r="B170" s="42" t="s">
        <v>1929</v>
      </c>
      <c r="C170" s="42"/>
      <c r="D170" s="42"/>
      <c r="E170" s="42"/>
      <c r="F170" s="39"/>
      <c r="G170" s="42"/>
    </row>
    <row r="171" ht="15.75" customHeight="1">
      <c r="A171" s="65">
        <v>2.0</v>
      </c>
      <c r="B171" s="42"/>
      <c r="C171" s="42"/>
      <c r="D171" s="42"/>
      <c r="E171" s="42"/>
      <c r="F171" s="39"/>
      <c r="G171" s="42"/>
    </row>
    <row r="172" ht="15.75" customHeight="1">
      <c r="A172" s="65">
        <v>3.0</v>
      </c>
      <c r="B172" s="42"/>
      <c r="C172" s="42"/>
      <c r="D172" s="42"/>
      <c r="E172" s="42"/>
      <c r="F172" s="39"/>
      <c r="G172" s="42"/>
    </row>
    <row r="173" ht="15.75" customHeight="1"/>
    <row r="174" ht="21.75" customHeight="1">
      <c r="A174" s="70">
        <v>18.0</v>
      </c>
      <c r="B174" s="72" t="s">
        <v>431</v>
      </c>
      <c r="C174" s="53"/>
      <c r="D174" s="53"/>
      <c r="E174" s="54"/>
      <c r="F174" s="73" t="s">
        <v>178</v>
      </c>
      <c r="G174" s="71" t="s">
        <v>47</v>
      </c>
      <c r="H174" s="74" t="str">
        <f>IF(G174="",IF(COUNTA(C176:C178)&gt;0,"⚠ 상태 미선택(입력값 있음)","상태 미선택 → 미수집 간주"),IF(G174="값 있음",IF(COUNTA(C176:C178)=0,"⚠ 값 있음인데 입력값 없음","✓ 정상"),IF(COUNTA(C176:C178)&gt;0,"⚠ 상태와 입력값 불일치","✓ 정상")))</f>
        <v>✓ 정상</v>
      </c>
      <c r="I174" s="54"/>
    </row>
    <row r="175" ht="24.0" customHeight="1">
      <c r="B175" s="60" t="s">
        <v>1933</v>
      </c>
    </row>
    <row r="176" ht="15.75" customHeight="1">
      <c r="B176" s="17" t="s">
        <v>660</v>
      </c>
      <c r="C176" s="42">
        <v>1.0</v>
      </c>
      <c r="D176" s="40" t="s">
        <v>78</v>
      </c>
      <c r="E176" s="41" t="s">
        <v>1934</v>
      </c>
    </row>
    <row r="177" ht="15.75" customHeight="1">
      <c r="B177" s="17" t="s">
        <v>667</v>
      </c>
      <c r="C177" s="42">
        <v>3.0</v>
      </c>
      <c r="D177" s="40" t="s">
        <v>78</v>
      </c>
      <c r="E177" s="41"/>
    </row>
    <row r="178" ht="15.75" customHeight="1">
      <c r="B178" s="17" t="s">
        <v>668</v>
      </c>
      <c r="C178" s="69" t="s">
        <v>776</v>
      </c>
      <c r="D178" s="40" t="s">
        <v>130</v>
      </c>
      <c r="E178" s="41" t="s">
        <v>1940</v>
      </c>
    </row>
    <row r="179" ht="15.75" customHeight="1"/>
    <row r="180" ht="21.75" customHeight="1">
      <c r="A180" s="33" t="s">
        <v>1942</v>
      </c>
      <c r="B180" s="8"/>
      <c r="C180" s="8"/>
      <c r="D180" s="8"/>
      <c r="E180" s="8"/>
      <c r="F180" s="8"/>
      <c r="G180" s="8"/>
      <c r="H180" s="8"/>
      <c r="I180" s="7"/>
    </row>
    <row r="181" ht="21.75" customHeight="1">
      <c r="A181" s="51">
        <v>19.0</v>
      </c>
      <c r="B181" s="75" t="s">
        <v>1943</v>
      </c>
      <c r="C181" s="53"/>
      <c r="D181" s="53"/>
      <c r="E181" s="54"/>
      <c r="F181" s="55" t="s">
        <v>178</v>
      </c>
      <c r="G181" s="71" t="s">
        <v>47</v>
      </c>
      <c r="H181" s="59" t="str">
        <f>IF(G181="",IF(COUNTA(B185:F188)&gt;0,"⚠ 상태 미선택(입력값 있음)","상태 미선택 → 미수집 간주"),IF(G181="값 있음",IF(COUNTA(B185:F188)=0,"⚠ 값 있음인데 입력값 없음","✓ 정상"),IF(COUNTA(B185:F188)&gt;0,"⚠ 상태와 입력값 불일치","✓ 정상")))</f>
        <v>✓ 정상</v>
      </c>
      <c r="I181" s="54"/>
    </row>
    <row r="182" ht="24.0" customHeight="1">
      <c r="B182" s="60" t="s">
        <v>1945</v>
      </c>
    </row>
    <row r="183" ht="15.75" customHeight="1">
      <c r="A183" s="62" t="s">
        <v>24</v>
      </c>
      <c r="B183" s="13" t="s">
        <v>20</v>
      </c>
      <c r="C183" s="13" t="s">
        <v>695</v>
      </c>
      <c r="D183" s="13" t="s">
        <v>1946</v>
      </c>
      <c r="E183" s="13" t="s">
        <v>698</v>
      </c>
      <c r="F183" s="13" t="s">
        <v>699</v>
      </c>
    </row>
    <row r="184" ht="25.5" customHeight="1">
      <c r="A184" s="63" t="s">
        <v>111</v>
      </c>
      <c r="B184" s="64" t="s">
        <v>1948</v>
      </c>
      <c r="C184" s="63" t="s">
        <v>130</v>
      </c>
      <c r="D184" s="63" t="s">
        <v>78</v>
      </c>
      <c r="E184" s="64" t="s">
        <v>158</v>
      </c>
      <c r="F184" s="64" t="s">
        <v>1949</v>
      </c>
    </row>
    <row r="185" ht="15.75" customHeight="1">
      <c r="A185" s="65">
        <v>1.0</v>
      </c>
      <c r="B185" s="69" t="s">
        <v>801</v>
      </c>
      <c r="C185" s="42" t="s">
        <v>1951</v>
      </c>
      <c r="D185" s="42" t="s">
        <v>1952</v>
      </c>
      <c r="E185" s="39"/>
      <c r="F185" s="69" t="s">
        <v>800</v>
      </c>
    </row>
    <row r="186" ht="15.75" customHeight="1">
      <c r="A186" s="65">
        <v>2.0</v>
      </c>
      <c r="B186" s="69"/>
      <c r="C186" s="42"/>
      <c r="D186" s="42"/>
      <c r="E186" s="39"/>
      <c r="F186" s="69"/>
    </row>
    <row r="187" ht="15.75" customHeight="1">
      <c r="A187" s="65">
        <v>3.0</v>
      </c>
      <c r="B187" s="69"/>
      <c r="C187" s="42"/>
      <c r="D187" s="42"/>
      <c r="E187" s="39"/>
      <c r="F187" s="69"/>
    </row>
    <row r="188" ht="15.75" customHeight="1">
      <c r="A188" s="65">
        <v>4.0</v>
      </c>
      <c r="B188" s="69"/>
      <c r="C188" s="42"/>
      <c r="D188" s="42"/>
      <c r="E188" s="39"/>
      <c r="F188" s="69"/>
    </row>
    <row r="189" ht="15.75" customHeight="1"/>
    <row r="190" ht="21.75" customHeight="1">
      <c r="A190" s="70">
        <v>20.0</v>
      </c>
      <c r="B190" s="80" t="s">
        <v>1954</v>
      </c>
      <c r="C190" s="53"/>
      <c r="D190" s="53"/>
      <c r="E190" s="54"/>
      <c r="F190" s="73" t="s">
        <v>178</v>
      </c>
      <c r="G190" s="71" t="s">
        <v>49</v>
      </c>
      <c r="H190" s="74" t="str">
        <f>IF(G190="",IF(COUNTA(B194:G196)&gt;0,"⚠ 상태 미선택(입력값 있음)","상태 미선택 → 미수집 간주"),IF(G190="값 있음",IF(COUNTA(B194:G196)=0,"⚠ 값 있음인데 입력값 없음","✓ 정상"),IF(COUNTA(B194:G196)&gt;0,"⚠ 상태와 입력값 불일치","✓ 정상")))</f>
        <v>✓ 정상</v>
      </c>
      <c r="I190" s="54"/>
    </row>
    <row r="191" ht="24.0" customHeight="1">
      <c r="B191" s="60" t="s">
        <v>1960</v>
      </c>
    </row>
    <row r="192" ht="15.75" customHeight="1">
      <c r="A192" s="62" t="s">
        <v>24</v>
      </c>
      <c r="B192" s="13" t="s">
        <v>400</v>
      </c>
      <c r="C192" s="13" t="s">
        <v>608</v>
      </c>
      <c r="D192" s="13" t="s">
        <v>557</v>
      </c>
      <c r="E192" s="13" t="s">
        <v>1963</v>
      </c>
      <c r="F192" s="13" t="s">
        <v>554</v>
      </c>
      <c r="G192" s="13" t="s">
        <v>558</v>
      </c>
    </row>
    <row r="193" ht="25.5" customHeight="1">
      <c r="A193" s="63" t="s">
        <v>111</v>
      </c>
      <c r="B193" s="64" t="s">
        <v>1964</v>
      </c>
      <c r="C193" s="63" t="s">
        <v>130</v>
      </c>
      <c r="D193" s="63" t="s">
        <v>130</v>
      </c>
      <c r="E193" s="63" t="s">
        <v>130</v>
      </c>
      <c r="F193" s="64" t="s">
        <v>1965</v>
      </c>
      <c r="G193" s="64" t="s">
        <v>158</v>
      </c>
    </row>
    <row r="194" ht="15.75" customHeight="1">
      <c r="A194" s="65">
        <v>1.0</v>
      </c>
      <c r="B194" s="42"/>
      <c r="C194" s="42"/>
      <c r="D194" s="42"/>
      <c r="E194" s="42"/>
      <c r="F194" s="42"/>
      <c r="G194" s="39"/>
    </row>
    <row r="195" ht="15.75" customHeight="1">
      <c r="A195" s="65">
        <v>2.0</v>
      </c>
      <c r="B195" s="42"/>
      <c r="C195" s="42"/>
      <c r="D195" s="42"/>
      <c r="E195" s="42"/>
      <c r="F195" s="42"/>
      <c r="G195" s="39"/>
    </row>
    <row r="196" ht="15.75" customHeight="1">
      <c r="A196" s="65">
        <v>3.0</v>
      </c>
      <c r="B196" s="42"/>
      <c r="C196" s="42"/>
      <c r="D196" s="42"/>
      <c r="E196" s="42"/>
      <c r="F196" s="42"/>
      <c r="G196" s="39"/>
    </row>
    <row r="197" ht="15.75" customHeight="1"/>
    <row r="198" ht="21.75" customHeight="1">
      <c r="A198" s="51">
        <v>21.0</v>
      </c>
      <c r="B198" s="52" t="s">
        <v>504</v>
      </c>
      <c r="C198" s="53"/>
      <c r="D198" s="53"/>
      <c r="E198" s="54"/>
      <c r="F198" s="55" t="s">
        <v>178</v>
      </c>
      <c r="G198" s="71" t="s">
        <v>47</v>
      </c>
      <c r="H198" s="59" t="str">
        <f>IF(G198="",IF(COUNTA(B202:D205)&gt;0,"⚠ 상태 미선택(입력값 있음)","상태 미선택 → 미수집 간주"),IF(G198="값 있음",IF(COUNTA(B202:D205)=0,"⚠ 값 있음인데 입력값 없음","✓ 정상"),IF(COUNTA(B202:D205)&gt;0,"⚠ 상태와 입력값 불일치","✓ 정상")))</f>
        <v>✓ 정상</v>
      </c>
      <c r="I198" s="54"/>
    </row>
    <row r="199" ht="24.0" customHeight="1">
      <c r="B199" s="60" t="s">
        <v>1986</v>
      </c>
    </row>
    <row r="200" ht="15.75" customHeight="1">
      <c r="A200" s="62" t="s">
        <v>24</v>
      </c>
      <c r="B200" s="13" t="s">
        <v>753</v>
      </c>
      <c r="C200" s="13" t="s">
        <v>755</v>
      </c>
      <c r="D200" s="13" t="s">
        <v>756</v>
      </c>
    </row>
    <row r="201" ht="15.0" customHeight="1">
      <c r="A201" s="63" t="s">
        <v>111</v>
      </c>
      <c r="B201" s="63" t="s">
        <v>759</v>
      </c>
      <c r="C201" s="64" t="s">
        <v>1988</v>
      </c>
      <c r="D201" s="63" t="s">
        <v>525</v>
      </c>
    </row>
    <row r="202" ht="36.0" customHeight="1">
      <c r="A202" s="65">
        <v>1.0</v>
      </c>
      <c r="B202" s="69" t="s">
        <v>1989</v>
      </c>
      <c r="C202" s="69" t="s">
        <v>1990</v>
      </c>
      <c r="D202" s="42"/>
    </row>
    <row r="203" ht="36.0" customHeight="1">
      <c r="A203" s="65">
        <v>2.0</v>
      </c>
      <c r="B203" s="42"/>
      <c r="C203" s="69"/>
      <c r="D203" s="42"/>
    </row>
    <row r="204" ht="36.0" customHeight="1">
      <c r="A204" s="65">
        <v>3.0</v>
      </c>
      <c r="B204" s="42"/>
      <c r="C204" s="69"/>
      <c r="D204" s="42"/>
    </row>
    <row r="205" ht="36.0" customHeight="1">
      <c r="A205" s="65">
        <v>4.0</v>
      </c>
      <c r="B205" s="42"/>
      <c r="C205" s="69"/>
      <c r="D205" s="42"/>
    </row>
    <row r="206" ht="15.75" customHeight="1"/>
    <row r="207" ht="21.75" customHeight="1">
      <c r="A207" s="33" t="s">
        <v>1993</v>
      </c>
      <c r="B207" s="8"/>
      <c r="C207" s="8"/>
      <c r="D207" s="8"/>
      <c r="E207" s="8"/>
      <c r="F207" s="8"/>
      <c r="G207" s="8"/>
      <c r="H207" s="8"/>
      <c r="I207" s="7"/>
    </row>
    <row r="208" ht="21.75" customHeight="1">
      <c r="A208" s="51">
        <v>22.0</v>
      </c>
      <c r="B208" s="52" t="s">
        <v>1995</v>
      </c>
      <c r="C208" s="53"/>
      <c r="D208" s="53"/>
      <c r="E208" s="54"/>
      <c r="F208" s="55" t="s">
        <v>178</v>
      </c>
      <c r="G208" s="71" t="s">
        <v>47</v>
      </c>
      <c r="H208" s="59" t="str">
        <f>IF(G208="",IF(COUNTA(B212:I215)&gt;0,"⚠ 상태 미선택(입력값 있음)","상태 미선택 → 미수집 간주"),IF(G208="값 있음",IF(COUNTA(B212:I215)=0,"⚠ 값 있음인데 입력값 없음","✓ 정상"),IF(COUNTA(B212:I215)&gt;0,"⚠ 상태와 입력값 불일치","✓ 정상")))</f>
        <v>✓ 정상</v>
      </c>
      <c r="I208" s="54"/>
    </row>
    <row r="209" ht="24.0" customHeight="1">
      <c r="B209" s="60" t="s">
        <v>2003</v>
      </c>
    </row>
    <row r="210" ht="15.75" customHeight="1">
      <c r="A210" s="62" t="s">
        <v>24</v>
      </c>
      <c r="B210" s="13" t="s">
        <v>400</v>
      </c>
      <c r="C210" s="13" t="s">
        <v>809</v>
      </c>
      <c r="D210" s="13" t="s">
        <v>811</v>
      </c>
      <c r="E210" s="13" t="s">
        <v>380</v>
      </c>
      <c r="F210" s="13" t="s">
        <v>381</v>
      </c>
      <c r="G210" s="13" t="s">
        <v>2006</v>
      </c>
      <c r="H210" s="13" t="s">
        <v>2007</v>
      </c>
      <c r="I210" s="13" t="s">
        <v>2009</v>
      </c>
    </row>
    <row r="211" ht="25.5" customHeight="1">
      <c r="A211" s="63" t="s">
        <v>111</v>
      </c>
      <c r="B211" s="64" t="s">
        <v>2010</v>
      </c>
      <c r="C211" s="63" t="s">
        <v>130</v>
      </c>
      <c r="D211" s="64" t="s">
        <v>2011</v>
      </c>
      <c r="E211" s="64" t="s">
        <v>158</v>
      </c>
      <c r="F211" s="64" t="s">
        <v>2012</v>
      </c>
      <c r="G211" s="63" t="s">
        <v>78</v>
      </c>
      <c r="H211" s="63" t="s">
        <v>78</v>
      </c>
      <c r="I211" s="63" t="s">
        <v>130</v>
      </c>
    </row>
    <row r="212" ht="15.75" customHeight="1">
      <c r="A212" s="65">
        <v>1.0</v>
      </c>
      <c r="B212" s="69" t="s">
        <v>895</v>
      </c>
      <c r="C212" s="69" t="s">
        <v>2014</v>
      </c>
      <c r="D212" s="69" t="s">
        <v>2015</v>
      </c>
      <c r="E212" s="39" t="s">
        <v>500</v>
      </c>
      <c r="F212" s="39"/>
      <c r="G212" s="42" t="s">
        <v>2016</v>
      </c>
      <c r="H212" s="42"/>
      <c r="I212" s="42" t="s">
        <v>2018</v>
      </c>
    </row>
    <row r="213" ht="15.75" customHeight="1">
      <c r="A213" s="65">
        <v>2.0</v>
      </c>
      <c r="B213" s="69"/>
      <c r="C213" s="42"/>
      <c r="D213" s="69"/>
      <c r="E213" s="39"/>
      <c r="F213" s="39"/>
      <c r="G213" s="42"/>
      <c r="H213" s="42"/>
      <c r="I213" s="42"/>
    </row>
    <row r="214" ht="15.75" customHeight="1">
      <c r="A214" s="65">
        <v>3.0</v>
      </c>
      <c r="B214" s="69"/>
      <c r="C214" s="42"/>
      <c r="D214" s="69"/>
      <c r="E214" s="39"/>
      <c r="F214" s="39"/>
      <c r="G214" s="42"/>
      <c r="H214" s="42"/>
      <c r="I214" s="42"/>
    </row>
    <row r="215" ht="15.75" customHeight="1">
      <c r="A215" s="65">
        <v>4.0</v>
      </c>
      <c r="B215" s="69"/>
      <c r="C215" s="42"/>
      <c r="D215" s="69"/>
      <c r="E215" s="39"/>
      <c r="F215" s="39"/>
      <c r="G215" s="42"/>
      <c r="H215" s="42"/>
      <c r="I215" s="42"/>
    </row>
    <row r="216" ht="15.75" customHeight="1"/>
    <row r="217" ht="21.75" customHeight="1">
      <c r="A217" s="51">
        <v>23.0</v>
      </c>
      <c r="B217" s="52" t="s">
        <v>564</v>
      </c>
      <c r="C217" s="53"/>
      <c r="D217" s="53"/>
      <c r="E217" s="54"/>
      <c r="F217" s="55" t="s">
        <v>178</v>
      </c>
      <c r="G217" s="71" t="s">
        <v>47</v>
      </c>
      <c r="H217" s="59" t="str">
        <f>IF(G217="",IF(COUNTA(C219,B222:E225)&gt;0,"⚠ 상태 미선택(입력값 있음)","상태 미선택 → 미수집 간주"),IF(G217="값 있음",IF(COUNTA(C219,B222:E225)=0,"⚠ 값 있음인데 입력값 없음","✓ 정상"),IF(COUNTA(C219,B222:E225)&gt;0,"⚠ 상태와 입력값 불일치","✓ 정상")))</f>
        <v>✓ 정상</v>
      </c>
      <c r="I217" s="54"/>
    </row>
    <row r="218" ht="24.0" customHeight="1">
      <c r="B218" s="60" t="s">
        <v>2027</v>
      </c>
    </row>
    <row r="219" ht="15.75" customHeight="1">
      <c r="B219" s="17" t="s">
        <v>2029</v>
      </c>
      <c r="C219" s="69" t="s">
        <v>2030</v>
      </c>
      <c r="D219" s="40" t="s">
        <v>78</v>
      </c>
      <c r="E219" s="50" t="s">
        <v>2031</v>
      </c>
    </row>
    <row r="220" ht="15.75" customHeight="1">
      <c r="A220" s="62" t="s">
        <v>24</v>
      </c>
      <c r="B220" s="13" t="s">
        <v>20</v>
      </c>
      <c r="C220" s="13" t="s">
        <v>2033</v>
      </c>
      <c r="D220" s="13" t="s">
        <v>2034</v>
      </c>
      <c r="E220" s="13" t="s">
        <v>558</v>
      </c>
    </row>
    <row r="221" ht="25.5" customHeight="1">
      <c r="A221" s="63" t="s">
        <v>111</v>
      </c>
      <c r="B221" s="64" t="s">
        <v>2035</v>
      </c>
      <c r="C221" s="63" t="s">
        <v>130</v>
      </c>
      <c r="D221" s="63" t="s">
        <v>78</v>
      </c>
      <c r="E221" s="64" t="s">
        <v>158</v>
      </c>
    </row>
    <row r="222" ht="15.75" customHeight="1">
      <c r="A222" s="65">
        <v>1.0</v>
      </c>
      <c r="B222" s="69" t="s">
        <v>2037</v>
      </c>
      <c r="C222" s="42" t="s">
        <v>2038</v>
      </c>
      <c r="D222" s="42" t="s">
        <v>2039</v>
      </c>
      <c r="E222" s="39" t="s">
        <v>2041</v>
      </c>
    </row>
    <row r="223" ht="15.75" customHeight="1">
      <c r="A223" s="65">
        <v>2.0</v>
      </c>
      <c r="B223" s="69"/>
      <c r="C223" s="42"/>
      <c r="D223" s="42"/>
      <c r="E223" s="39"/>
    </row>
    <row r="224" ht="15.75" customHeight="1">
      <c r="A224" s="65">
        <v>3.0</v>
      </c>
      <c r="B224" s="69"/>
      <c r="C224" s="42"/>
      <c r="D224" s="42"/>
      <c r="E224" s="39"/>
    </row>
    <row r="225" ht="15.75" customHeight="1">
      <c r="A225" s="65">
        <v>4.0</v>
      </c>
      <c r="B225" s="69"/>
      <c r="C225" s="42"/>
      <c r="D225" s="42"/>
      <c r="E225" s="39"/>
    </row>
    <row r="226" ht="15.75" customHeight="1"/>
    <row r="227" ht="21.75" customHeight="1">
      <c r="A227" s="76">
        <v>24.0</v>
      </c>
      <c r="B227" s="77" t="s">
        <v>2045</v>
      </c>
      <c r="C227" s="53"/>
      <c r="D227" s="53"/>
      <c r="E227" s="54"/>
      <c r="F227" s="78" t="s">
        <v>178</v>
      </c>
      <c r="G227" s="71" t="s">
        <v>49</v>
      </c>
      <c r="H227" s="79" t="str">
        <f>IF(G227="",IF(COUNTA(B231:E233)&gt;0,"⚠ 상태 미선택(입력값 있음)","상태 미선택 → 미수집 간주"),IF(G227="값 있음",IF(COUNTA(B231:E233)=0,"⚠ 값 있음인데 입력값 없음","✓ 정상"),IF(COUNTA(B231:E233)&gt;0,"⚠ 상태와 입력값 불일치","✓ 정상")))</f>
        <v>✓ 정상</v>
      </c>
      <c r="I227" s="54"/>
    </row>
    <row r="228" ht="15.0" customHeight="1">
      <c r="B228" s="60" t="s">
        <v>2046</v>
      </c>
    </row>
    <row r="229" ht="15.75" customHeight="1">
      <c r="A229" s="62" t="s">
        <v>24</v>
      </c>
      <c r="B229" s="13" t="s">
        <v>400</v>
      </c>
      <c r="C229" s="13" t="s">
        <v>871</v>
      </c>
      <c r="D229" s="13" t="s">
        <v>2047</v>
      </c>
      <c r="E229" s="13" t="s">
        <v>2048</v>
      </c>
    </row>
    <row r="230" ht="25.5" customHeight="1">
      <c r="A230" s="63" t="s">
        <v>111</v>
      </c>
      <c r="B230" s="64" t="s">
        <v>2049</v>
      </c>
      <c r="C230" s="63" t="s">
        <v>130</v>
      </c>
      <c r="D230" s="63" t="s">
        <v>130</v>
      </c>
      <c r="E230" s="63" t="s">
        <v>78</v>
      </c>
    </row>
    <row r="231" ht="15.75" customHeight="1">
      <c r="A231" s="65">
        <v>1.0</v>
      </c>
      <c r="B231" s="42"/>
      <c r="C231" s="42"/>
      <c r="D231" s="42"/>
      <c r="E231" s="42"/>
    </row>
    <row r="232" ht="15.75" customHeight="1">
      <c r="A232" s="65">
        <v>2.0</v>
      </c>
      <c r="B232" s="42"/>
      <c r="C232" s="42"/>
      <c r="D232" s="42"/>
      <c r="E232" s="42"/>
    </row>
    <row r="233" ht="15.75" customHeight="1">
      <c r="A233" s="65">
        <v>3.0</v>
      </c>
      <c r="B233" s="42"/>
      <c r="C233" s="42"/>
      <c r="D233" s="42"/>
      <c r="E233" s="42"/>
    </row>
    <row r="234" ht="15.75" customHeight="1"/>
    <row r="235" ht="21.75" customHeight="1">
      <c r="A235" s="76">
        <v>25.0</v>
      </c>
      <c r="B235" s="77" t="s">
        <v>611</v>
      </c>
      <c r="C235" s="53"/>
      <c r="D235" s="53"/>
      <c r="E235" s="54"/>
      <c r="F235" s="78" t="s">
        <v>178</v>
      </c>
      <c r="G235" s="71" t="s">
        <v>950</v>
      </c>
      <c r="H235" s="79" t="str">
        <f>IF(G235="",IF(COUNTA(B239:G242)&gt;0,"⚠ 상태 미선택(입력값 있음)","상태 미선택 → 미수집 간주"),IF(G235="값 있음",IF(COUNTA(B239:G242)=0,"⚠ 값 있음인데 입력값 없음","✓ 정상"),IF(COUNTA(B239:G242)&gt;0,"⚠ 상태와 입력값 불일치","✓ 정상")))</f>
        <v>✓ 정상</v>
      </c>
      <c r="I235" s="54"/>
    </row>
    <row r="236" ht="24.0" customHeight="1">
      <c r="B236" s="60" t="s">
        <v>2058</v>
      </c>
    </row>
    <row r="237" ht="15.75" customHeight="1">
      <c r="A237" s="62" t="s">
        <v>24</v>
      </c>
      <c r="B237" s="13" t="s">
        <v>215</v>
      </c>
      <c r="C237" s="13" t="s">
        <v>193</v>
      </c>
      <c r="D237" s="13" t="s">
        <v>901</v>
      </c>
      <c r="E237" s="13" t="s">
        <v>902</v>
      </c>
      <c r="F237" s="13" t="s">
        <v>2059</v>
      </c>
      <c r="G237" s="13" t="s">
        <v>904</v>
      </c>
    </row>
    <row r="238" ht="25.5" customHeight="1">
      <c r="A238" s="63" t="s">
        <v>111</v>
      </c>
      <c r="B238" s="63" t="s">
        <v>130</v>
      </c>
      <c r="C238" s="64" t="s">
        <v>2060</v>
      </c>
      <c r="D238" s="63" t="s">
        <v>78</v>
      </c>
      <c r="E238" s="63" t="s">
        <v>78</v>
      </c>
      <c r="F238" s="63" t="s">
        <v>78</v>
      </c>
      <c r="G238" s="63" t="s">
        <v>130</v>
      </c>
    </row>
    <row r="239" ht="15.75" customHeight="1">
      <c r="A239" s="65">
        <v>1.0</v>
      </c>
      <c r="B239" s="42"/>
      <c r="C239" s="39"/>
      <c r="D239" s="42"/>
      <c r="E239" s="42"/>
      <c r="F239" s="42"/>
      <c r="G239" s="42"/>
    </row>
    <row r="240" ht="15.75" customHeight="1">
      <c r="A240" s="65">
        <v>2.0</v>
      </c>
      <c r="B240" s="42"/>
      <c r="C240" s="39"/>
      <c r="D240" s="42"/>
      <c r="E240" s="42"/>
      <c r="F240" s="42"/>
      <c r="G240" s="42"/>
    </row>
    <row r="241" ht="15.75" customHeight="1">
      <c r="A241" s="65">
        <v>3.0</v>
      </c>
      <c r="B241" s="42"/>
      <c r="C241" s="39"/>
      <c r="D241" s="42"/>
      <c r="E241" s="42"/>
      <c r="F241" s="42"/>
      <c r="G241" s="42"/>
    </row>
    <row r="242" ht="15.75" customHeight="1">
      <c r="A242" s="65">
        <v>4.0</v>
      </c>
      <c r="B242" s="42"/>
      <c r="C242" s="39"/>
      <c r="D242" s="42"/>
      <c r="E242" s="42"/>
      <c r="F242" s="42"/>
      <c r="G242" s="42"/>
    </row>
    <row r="243" ht="15.75" customHeight="1"/>
    <row r="244" ht="21.75" customHeight="1">
      <c r="A244" s="33" t="s">
        <v>2061</v>
      </c>
      <c r="B244" s="8"/>
      <c r="C244" s="8"/>
      <c r="D244" s="8"/>
      <c r="E244" s="8"/>
      <c r="F244" s="8"/>
      <c r="G244" s="8"/>
      <c r="H244" s="8"/>
      <c r="I244" s="7"/>
    </row>
    <row r="245" ht="21.75" customHeight="1">
      <c r="A245" s="51">
        <v>26.0</v>
      </c>
      <c r="B245" s="52" t="s">
        <v>2062</v>
      </c>
      <c r="C245" s="53"/>
      <c r="D245" s="53"/>
      <c r="E245" s="54"/>
      <c r="F245" s="55" t="s">
        <v>178</v>
      </c>
      <c r="G245" s="71" t="s">
        <v>47</v>
      </c>
      <c r="H245" s="59" t="str">
        <f>IF(G245="",IF(COUNTA(B249:F252)&gt;0,"⚠ 상태 미선택(입력값 있음)","상태 미선택 → 미수집 간주"),IF(G245="값 있음",IF(COUNTA(B249:F252)=0,"⚠ 값 있음인데 입력값 없음","✓ 정상"),IF(COUNTA(B249:F252)&gt;0,"⚠ 상태와 입력값 불일치","✓ 정상")))</f>
        <v>✓ 정상</v>
      </c>
      <c r="I245" s="54"/>
    </row>
    <row r="246" ht="24.0" customHeight="1">
      <c r="B246" s="60" t="s">
        <v>2073</v>
      </c>
    </row>
    <row r="247" ht="15.75" customHeight="1">
      <c r="A247" s="62" t="s">
        <v>24</v>
      </c>
      <c r="B247" s="13" t="s">
        <v>931</v>
      </c>
      <c r="C247" s="13" t="s">
        <v>932</v>
      </c>
      <c r="D247" s="13" t="s">
        <v>2074</v>
      </c>
      <c r="E247" s="13" t="s">
        <v>934</v>
      </c>
      <c r="F247" s="13" t="s">
        <v>935</v>
      </c>
    </row>
    <row r="248" ht="37.5" customHeight="1">
      <c r="A248" s="63" t="s">
        <v>111</v>
      </c>
      <c r="B248" s="64" t="s">
        <v>2075</v>
      </c>
      <c r="C248" s="63" t="s">
        <v>78</v>
      </c>
      <c r="D248" s="63" t="s">
        <v>2076</v>
      </c>
      <c r="E248" s="64" t="s">
        <v>165</v>
      </c>
      <c r="F248" s="64" t="s">
        <v>165</v>
      </c>
    </row>
    <row r="249" ht="15.75" customHeight="1">
      <c r="A249" s="65">
        <v>1.0</v>
      </c>
      <c r="B249" s="42" t="s">
        <v>2077</v>
      </c>
      <c r="C249" s="42"/>
      <c r="D249" s="42"/>
      <c r="E249" s="81" t="s">
        <v>2078</v>
      </c>
      <c r="F249" s="39"/>
    </row>
    <row r="250" ht="15.75" customHeight="1">
      <c r="A250" s="65">
        <v>2.0</v>
      </c>
      <c r="B250" s="42"/>
      <c r="C250" s="42"/>
      <c r="D250" s="42"/>
      <c r="E250" s="39"/>
      <c r="F250" s="39"/>
    </row>
    <row r="251" ht="15.75" customHeight="1">
      <c r="A251" s="65">
        <v>3.0</v>
      </c>
      <c r="B251" s="42"/>
      <c r="C251" s="42"/>
      <c r="D251" s="42"/>
      <c r="E251" s="39"/>
      <c r="F251" s="39"/>
    </row>
    <row r="252" ht="15.75" customHeight="1">
      <c r="A252" s="65">
        <v>4.0</v>
      </c>
      <c r="B252" s="42"/>
      <c r="C252" s="42"/>
      <c r="D252" s="42"/>
      <c r="E252" s="39"/>
      <c r="F252" s="39"/>
    </row>
    <row r="253" ht="15.75" customHeight="1"/>
    <row r="254" ht="21.75" customHeight="1">
      <c r="A254" s="51">
        <v>27.0</v>
      </c>
      <c r="B254" s="52" t="s">
        <v>2079</v>
      </c>
      <c r="C254" s="53"/>
      <c r="D254" s="53"/>
      <c r="E254" s="54"/>
      <c r="F254" s="55" t="s">
        <v>178</v>
      </c>
      <c r="G254" s="71" t="s">
        <v>47</v>
      </c>
      <c r="H254" s="59" t="str">
        <f>IF(G254="",IF(COUNTA(B258:E262)&gt;0,"⚠ 상태 미선택(입력값 있음)","상태 미선택 → 미수집 간주"),IF(G254="값 있음",IF(COUNTA(B258:E262)=0,"⚠ 값 있음인데 입력값 없음","✓ 정상"),IF(COUNTA(B258:E262)&gt;0,"⚠ 상태와 입력값 불일치","✓ 정상")))</f>
        <v>✓ 정상</v>
      </c>
      <c r="I254" s="54"/>
    </row>
    <row r="255" ht="24.0" customHeight="1">
      <c r="B255" s="60" t="s">
        <v>2085</v>
      </c>
    </row>
    <row r="256" ht="15.75" customHeight="1">
      <c r="A256" s="62" t="s">
        <v>24</v>
      </c>
      <c r="B256" s="13" t="s">
        <v>954</v>
      </c>
      <c r="C256" s="13" t="s">
        <v>2087</v>
      </c>
      <c r="D256" s="13" t="s">
        <v>956</v>
      </c>
      <c r="E256" s="13" t="s">
        <v>957</v>
      </c>
    </row>
    <row r="257" ht="15.0" customHeight="1">
      <c r="A257" s="63" t="s">
        <v>111</v>
      </c>
      <c r="B257" s="63" t="s">
        <v>130</v>
      </c>
      <c r="C257" s="63" t="s">
        <v>130</v>
      </c>
      <c r="D257" s="63" t="s">
        <v>130</v>
      </c>
      <c r="E257" s="64" t="s">
        <v>165</v>
      </c>
    </row>
    <row r="258" ht="15.75" customHeight="1">
      <c r="A258" s="65">
        <v>1.0</v>
      </c>
      <c r="B258" s="69" t="s">
        <v>2088</v>
      </c>
      <c r="C258" s="42"/>
      <c r="D258" s="42"/>
      <c r="E258" s="39"/>
    </row>
    <row r="259" ht="15.75" customHeight="1">
      <c r="A259" s="65">
        <v>2.0</v>
      </c>
      <c r="B259" s="42"/>
      <c r="C259" s="42"/>
      <c r="D259" s="42"/>
      <c r="E259" s="39"/>
    </row>
    <row r="260" ht="15.75" customHeight="1">
      <c r="A260" s="65">
        <v>3.0</v>
      </c>
      <c r="B260" s="42"/>
      <c r="C260" s="42"/>
      <c r="D260" s="42"/>
      <c r="E260" s="39"/>
    </row>
    <row r="261" ht="15.75" customHeight="1">
      <c r="A261" s="65">
        <v>4.0</v>
      </c>
      <c r="B261" s="42"/>
      <c r="C261" s="42"/>
      <c r="D261" s="42"/>
      <c r="E261" s="39"/>
    </row>
    <row r="262" ht="15.75" customHeight="1">
      <c r="A262" s="65">
        <v>5.0</v>
      </c>
      <c r="B262" s="42"/>
      <c r="C262" s="42"/>
      <c r="D262" s="42"/>
      <c r="E262" s="39"/>
    </row>
    <row r="263" ht="15.75" customHeight="1"/>
    <row r="264" ht="21.75" customHeight="1">
      <c r="A264" s="70">
        <v>28.0</v>
      </c>
      <c r="B264" s="72" t="s">
        <v>2089</v>
      </c>
      <c r="C264" s="53"/>
      <c r="D264" s="53"/>
      <c r="E264" s="54"/>
      <c r="F264" s="73" t="s">
        <v>178</v>
      </c>
      <c r="G264" s="71" t="s">
        <v>49</v>
      </c>
      <c r="H264" s="74" t="str">
        <f>IF(G264="",IF(COUNTA(B268:D269)&gt;0,"⚠ 상태 미선택(입력값 있음)","상태 미선택 → 미수집 간주"),IF(G264="값 있음",IF(COUNTA(B268:D269)=0,"⚠ 값 있음인데 입력값 없음","✓ 정상"),IF(COUNTA(B268:D269)&gt;0,"⚠ 상태와 입력값 불일치","✓ 정상")))</f>
        <v>✓ 정상</v>
      </c>
      <c r="I264" s="54"/>
    </row>
    <row r="265" ht="15.0" customHeight="1">
      <c r="B265" s="60" t="s">
        <v>2097</v>
      </c>
    </row>
    <row r="266" ht="15.75" customHeight="1">
      <c r="A266" s="62" t="s">
        <v>24</v>
      </c>
      <c r="B266" s="13" t="s">
        <v>931</v>
      </c>
      <c r="C266" s="13" t="s">
        <v>972</v>
      </c>
      <c r="D266" s="13" t="s">
        <v>974</v>
      </c>
    </row>
    <row r="267" ht="25.5" customHeight="1">
      <c r="A267" s="63" t="s">
        <v>111</v>
      </c>
      <c r="B267" s="63" t="s">
        <v>130</v>
      </c>
      <c r="C267" s="64" t="s">
        <v>2101</v>
      </c>
      <c r="D267" s="64" t="s">
        <v>977</v>
      </c>
    </row>
    <row r="268" ht="15.75" customHeight="1">
      <c r="A268" s="65">
        <v>1.0</v>
      </c>
      <c r="B268" s="42"/>
      <c r="C268" s="42"/>
      <c r="D268" s="39"/>
    </row>
    <row r="269" ht="15.75" customHeight="1">
      <c r="A269" s="65">
        <v>2.0</v>
      </c>
      <c r="B269" s="42"/>
      <c r="C269" s="42"/>
      <c r="D269" s="39"/>
    </row>
    <row r="270" ht="15.75" customHeight="1"/>
    <row r="271" ht="21.75" customHeight="1">
      <c r="A271" s="70">
        <v>29.0</v>
      </c>
      <c r="B271" s="80" t="s">
        <v>2106</v>
      </c>
      <c r="C271" s="53"/>
      <c r="D271" s="53"/>
      <c r="E271" s="54"/>
      <c r="F271" s="73" t="s">
        <v>178</v>
      </c>
      <c r="G271" s="71" t="s">
        <v>47</v>
      </c>
      <c r="H271" s="74" t="str">
        <f>IF(G271="",IF(COUNTA(C273:C277)&gt;0,"⚠ 상태 미선택(입력값 있음)","상태 미선택 → 미수집 간주"),IF(G271="값 있음",IF(COUNTA(C273:C277)=0,"⚠ 값 있음인데 입력값 없음","✓ 정상"),IF(COUNTA(C273:C277)&gt;0,"⚠ 상태와 입력값 불일치","✓ 정상")))</f>
        <v>✓ 정상</v>
      </c>
      <c r="I271" s="54"/>
    </row>
    <row r="272" ht="24.0" customHeight="1">
      <c r="B272" s="60" t="s">
        <v>2110</v>
      </c>
    </row>
    <row r="273" ht="15.75" customHeight="1">
      <c r="B273" s="17" t="s">
        <v>993</v>
      </c>
      <c r="C273" s="42" t="s">
        <v>2111</v>
      </c>
      <c r="D273" s="40" t="s">
        <v>147</v>
      </c>
      <c r="E273" s="50" t="s">
        <v>2113</v>
      </c>
    </row>
    <row r="274" ht="15.75" customHeight="1">
      <c r="B274" s="17" t="s">
        <v>998</v>
      </c>
      <c r="C274" s="42" t="s">
        <v>2114</v>
      </c>
      <c r="D274" s="40" t="s">
        <v>147</v>
      </c>
      <c r="E274" s="50" t="s">
        <v>2116</v>
      </c>
    </row>
    <row r="275" ht="15.75" customHeight="1">
      <c r="B275" s="17" t="s">
        <v>1002</v>
      </c>
      <c r="C275" s="42"/>
      <c r="D275" s="40" t="s">
        <v>147</v>
      </c>
      <c r="E275" s="50" t="s">
        <v>2117</v>
      </c>
    </row>
    <row r="276" ht="15.75" customHeight="1">
      <c r="B276" s="9" t="s">
        <v>2119</v>
      </c>
      <c r="C276" s="42"/>
      <c r="D276" s="40" t="s">
        <v>147</v>
      </c>
      <c r="E276" s="50" t="s">
        <v>2120</v>
      </c>
    </row>
    <row r="277" ht="15.75" customHeight="1">
      <c r="B277" s="17" t="s">
        <v>1007</v>
      </c>
      <c r="C277" s="42"/>
      <c r="D277" s="40" t="s">
        <v>147</v>
      </c>
      <c r="E277" s="50" t="s">
        <v>2121</v>
      </c>
    </row>
    <row r="278" ht="15.75" customHeight="1"/>
    <row r="279" ht="21.75" customHeight="1">
      <c r="A279" s="70">
        <v>30.0</v>
      </c>
      <c r="B279" s="72" t="s">
        <v>743</v>
      </c>
      <c r="C279" s="53"/>
      <c r="D279" s="53"/>
      <c r="E279" s="54"/>
      <c r="F279" s="73" t="s">
        <v>178</v>
      </c>
      <c r="G279" s="71" t="s">
        <v>47</v>
      </c>
      <c r="H279" s="74" t="str">
        <f>IF(G279="",IF(COUNTA(C281:C283)&gt;0,"⚠ 상태 미선택(입력값 있음)","상태 미선택 → 미수집 간주"),IF(G279="값 있음",IF(COUNTA(C281:C283)=0,"⚠ 값 있음인데 입력값 없음","✓ 정상"),IF(COUNTA(C281:C283)&gt;0,"⚠ 상태와 입력값 불일치","✓ 정상")))</f>
        <v>✓ 정상</v>
      </c>
      <c r="I279" s="54"/>
    </row>
    <row r="280" ht="15.0" customHeight="1">
      <c r="B280" s="60" t="s">
        <v>2129</v>
      </c>
    </row>
    <row r="281" ht="15.75" customHeight="1">
      <c r="B281" s="17" t="s">
        <v>2131</v>
      </c>
      <c r="C281" s="42" t="s">
        <v>2132</v>
      </c>
      <c r="D281" s="40" t="s">
        <v>78</v>
      </c>
      <c r="E281" s="41"/>
    </row>
    <row r="282" ht="15.75" customHeight="1">
      <c r="B282" s="17" t="s">
        <v>2133</v>
      </c>
      <c r="C282" s="42">
        <v>90.0</v>
      </c>
      <c r="D282" s="40" t="s">
        <v>78</v>
      </c>
      <c r="E282" s="41" t="s">
        <v>2134</v>
      </c>
    </row>
    <row r="283" ht="15.75" customHeight="1">
      <c r="B283" s="17" t="s">
        <v>1037</v>
      </c>
      <c r="C283" s="39"/>
      <c r="D283" s="49" t="s">
        <v>165</v>
      </c>
      <c r="E283" s="41"/>
    </row>
    <row r="284" ht="15.75" customHeight="1"/>
    <row r="285" ht="21.75" customHeight="1">
      <c r="A285" s="33" t="s">
        <v>2136</v>
      </c>
      <c r="B285" s="8"/>
      <c r="C285" s="8"/>
      <c r="D285" s="8"/>
      <c r="E285" s="8"/>
      <c r="F285" s="8"/>
      <c r="G285" s="8"/>
      <c r="H285" s="8"/>
      <c r="I285" s="7"/>
    </row>
    <row r="286" ht="21.75" customHeight="1">
      <c r="A286" s="70">
        <v>31.0</v>
      </c>
      <c r="B286" s="80" t="s">
        <v>2137</v>
      </c>
      <c r="C286" s="53"/>
      <c r="D286" s="53"/>
      <c r="E286" s="54"/>
      <c r="F286" s="73" t="s">
        <v>178</v>
      </c>
      <c r="G286" s="71" t="s">
        <v>47</v>
      </c>
      <c r="H286" s="74" t="str">
        <f>IF(G286="",IF(COUNTA(C288,B291:D296)&gt;0,"⚠ 상태 미선택(입력값 있음)","상태 미선택 → 미수집 간주"),IF(G286="값 있음",IF(COUNTA(C288,B291:D296)=0,"⚠ 값 있음인데 입력값 없음","✓ 정상"),IF(COUNTA(C288,B291:D296)&gt;0,"⚠ 상태와 입력값 불일치","✓ 정상")))</f>
        <v>✓ 정상</v>
      </c>
      <c r="I286" s="54"/>
    </row>
    <row r="287" ht="24.0" customHeight="1">
      <c r="B287" s="60" t="s">
        <v>2143</v>
      </c>
    </row>
    <row r="288" ht="15.75" customHeight="1">
      <c r="B288" s="17" t="s">
        <v>1058</v>
      </c>
      <c r="C288" s="39" t="s">
        <v>500</v>
      </c>
      <c r="D288" s="49" t="s">
        <v>165</v>
      </c>
      <c r="E288" s="41"/>
    </row>
    <row r="289" ht="15.75" customHeight="1">
      <c r="A289" s="62" t="s">
        <v>24</v>
      </c>
      <c r="B289" s="13" t="s">
        <v>1059</v>
      </c>
      <c r="C289" s="13" t="s">
        <v>1060</v>
      </c>
      <c r="D289" s="13" t="s">
        <v>902</v>
      </c>
    </row>
    <row r="290" ht="15.0" customHeight="1">
      <c r="A290" s="63" t="s">
        <v>111</v>
      </c>
      <c r="B290" s="63" t="s">
        <v>1061</v>
      </c>
      <c r="C290" s="63" t="s">
        <v>78</v>
      </c>
      <c r="D290" s="63" t="s">
        <v>78</v>
      </c>
    </row>
    <row r="291" ht="15.75" customHeight="1">
      <c r="A291" s="65">
        <v>1.0</v>
      </c>
      <c r="B291" s="69" t="s">
        <v>1097</v>
      </c>
      <c r="C291" s="42">
        <v>3.9</v>
      </c>
      <c r="D291" s="42">
        <v>5.0</v>
      </c>
    </row>
    <row r="292" ht="15.75" customHeight="1">
      <c r="A292" s="65">
        <v>2.0</v>
      </c>
      <c r="B292" s="69" t="s">
        <v>1099</v>
      </c>
      <c r="C292" s="42">
        <v>4.1</v>
      </c>
      <c r="D292" s="42">
        <v>5.0</v>
      </c>
    </row>
    <row r="293" ht="15.75" customHeight="1">
      <c r="A293" s="65">
        <v>3.0</v>
      </c>
      <c r="B293" s="69" t="s">
        <v>1101</v>
      </c>
      <c r="C293" s="42"/>
      <c r="D293" s="42"/>
    </row>
    <row r="294" ht="15.75" customHeight="1">
      <c r="A294" s="65">
        <v>4.0</v>
      </c>
      <c r="B294" s="42"/>
      <c r="C294" s="42"/>
      <c r="D294" s="42"/>
    </row>
    <row r="295" ht="15.75" customHeight="1">
      <c r="A295" s="65">
        <v>5.0</v>
      </c>
      <c r="B295" s="42"/>
      <c r="C295" s="42"/>
      <c r="D295" s="42"/>
    </row>
    <row r="296" ht="15.75" customHeight="1">
      <c r="A296" s="65">
        <v>6.0</v>
      </c>
      <c r="B296" s="42"/>
      <c r="C296" s="42"/>
      <c r="D296" s="42"/>
    </row>
    <row r="297" ht="15.75" customHeight="1"/>
    <row r="298" ht="21.75" customHeight="1">
      <c r="A298" s="70">
        <v>32.0</v>
      </c>
      <c r="B298" s="72" t="s">
        <v>786</v>
      </c>
      <c r="C298" s="53"/>
      <c r="D298" s="53"/>
      <c r="E298" s="54"/>
      <c r="F298" s="73" t="s">
        <v>178</v>
      </c>
      <c r="G298" s="71" t="s">
        <v>950</v>
      </c>
      <c r="H298" s="74" t="str">
        <f>IF(G298="",IF(COUNTA(C300:C303)&gt;0,"⚠ 상태 미선택(입력값 있음)","상태 미선택 → 미수집 간주"),IF(G298="값 있음",IF(COUNTA(C300:C303)=0,"⚠ 값 있음인데 입력값 없음","✓ 정상"),IF(COUNTA(C300:C303)&gt;0,"⚠ 상태와 입력값 불일치","✓ 정상")))</f>
        <v>✓ 정상</v>
      </c>
      <c r="I298" s="54"/>
    </row>
    <row r="299" ht="15.0" customHeight="1">
      <c r="B299" s="60" t="s">
        <v>2150</v>
      </c>
    </row>
    <row r="300" ht="15.75" customHeight="1">
      <c r="B300" s="17" t="s">
        <v>1058</v>
      </c>
      <c r="C300" s="39"/>
      <c r="D300" s="49" t="s">
        <v>165</v>
      </c>
      <c r="E300" s="41"/>
    </row>
    <row r="301" ht="15.75" customHeight="1">
      <c r="B301" s="17" t="s">
        <v>1077</v>
      </c>
      <c r="C301" s="42"/>
      <c r="D301" s="40" t="s">
        <v>78</v>
      </c>
      <c r="E301" s="41"/>
    </row>
    <row r="302" ht="15.75" customHeight="1">
      <c r="B302" s="17" t="s">
        <v>902</v>
      </c>
      <c r="C302" s="42"/>
      <c r="D302" s="40" t="s">
        <v>78</v>
      </c>
      <c r="E302" s="41"/>
    </row>
    <row r="303" ht="30.0" customHeight="1">
      <c r="B303" s="17" t="s">
        <v>1079</v>
      </c>
      <c r="C303" s="42"/>
      <c r="D303" s="40" t="s">
        <v>130</v>
      </c>
      <c r="E303" s="41" t="s">
        <v>1080</v>
      </c>
    </row>
    <row r="304" ht="15.75" customHeight="1"/>
    <row r="305" ht="21.75" customHeight="1">
      <c r="A305" s="76">
        <v>33.0</v>
      </c>
      <c r="B305" s="77" t="s">
        <v>2155</v>
      </c>
      <c r="C305" s="53"/>
      <c r="D305" s="53"/>
      <c r="E305" s="54"/>
      <c r="F305" s="78" t="s">
        <v>178</v>
      </c>
      <c r="G305" s="71" t="s">
        <v>47</v>
      </c>
      <c r="H305" s="79" t="str">
        <f>IF(G305="",IF(COUNTA(B309:G311)&gt;0,"⚠ 상태 미선택(입력값 있음)","상태 미선택 → 미수집 간주"),IF(G305="값 있음",IF(COUNTA(B309:G311)=0,"⚠ 값 있음인데 입력값 없음","✓ 정상"),IF(COUNTA(B309:G311)&gt;0,"⚠ 상태와 입력값 불일치","✓ 정상")))</f>
        <v>✓ 정상</v>
      </c>
      <c r="I305" s="54"/>
    </row>
    <row r="306" ht="24.0" customHeight="1">
      <c r="B306" s="60" t="s">
        <v>2158</v>
      </c>
    </row>
    <row r="307" ht="15.75" customHeight="1">
      <c r="A307" s="62" t="s">
        <v>24</v>
      </c>
      <c r="B307" s="13" t="s">
        <v>2159</v>
      </c>
      <c r="C307" s="13" t="s">
        <v>1090</v>
      </c>
      <c r="D307" s="13" t="s">
        <v>2160</v>
      </c>
      <c r="E307" s="13" t="s">
        <v>2161</v>
      </c>
      <c r="F307" s="13" t="s">
        <v>2162</v>
      </c>
      <c r="G307" s="13" t="s">
        <v>2163</v>
      </c>
    </row>
    <row r="308" ht="15.0" customHeight="1">
      <c r="A308" s="63" t="s">
        <v>111</v>
      </c>
      <c r="B308" s="63" t="s">
        <v>2164</v>
      </c>
      <c r="C308" s="63" t="s">
        <v>130</v>
      </c>
      <c r="D308" s="63" t="s">
        <v>525</v>
      </c>
      <c r="E308" s="63" t="s">
        <v>525</v>
      </c>
      <c r="F308" s="63" t="s">
        <v>525</v>
      </c>
      <c r="G308" s="63" t="s">
        <v>2165</v>
      </c>
    </row>
    <row r="309" ht="60.0" customHeight="1">
      <c r="A309" s="65">
        <v>1.0</v>
      </c>
      <c r="B309" s="42"/>
      <c r="C309" s="69" t="s">
        <v>2166</v>
      </c>
      <c r="D309" s="69" t="s">
        <v>2167</v>
      </c>
      <c r="E309" s="42"/>
      <c r="F309" s="42"/>
      <c r="G309" s="42"/>
    </row>
    <row r="310" ht="60.0" customHeight="1">
      <c r="A310" s="65">
        <v>2.0</v>
      </c>
      <c r="B310" s="42"/>
      <c r="C310" s="42"/>
      <c r="D310" s="42"/>
      <c r="E310" s="42"/>
      <c r="F310" s="42"/>
      <c r="G310" s="42"/>
    </row>
    <row r="311" ht="60.0" customHeight="1">
      <c r="A311" s="65">
        <v>3.0</v>
      </c>
      <c r="B311" s="42"/>
      <c r="C311" s="42"/>
      <c r="D311" s="42"/>
      <c r="E311" s="42"/>
      <c r="F311" s="42"/>
      <c r="G311" s="42"/>
    </row>
    <row r="312" ht="15.75" customHeight="1"/>
    <row r="313" ht="21.75" customHeight="1">
      <c r="A313" s="76">
        <v>34.0</v>
      </c>
      <c r="B313" s="77" t="s">
        <v>826</v>
      </c>
      <c r="C313" s="53"/>
      <c r="D313" s="53"/>
      <c r="E313" s="54"/>
      <c r="F313" s="78" t="s">
        <v>178</v>
      </c>
      <c r="G313" s="71"/>
      <c r="H313" s="79" t="str">
        <f>IF(G313="",IF(COUNTA(B317:F318)&gt;0,"⚠ 상태 미선택(입력값 있음)","상태 미선택 → 미수집 간주"),IF(G313="값 있음",IF(COUNTA(B317:F318)=0,"⚠ 값 있음인데 입력값 없음","✓ 정상"),IF(COUNTA(B317:F318)&gt;0,"⚠ 상태와 입력값 불일치","✓ 정상")))</f>
        <v>상태 미선택 → 미수집 간주</v>
      </c>
      <c r="I313" s="54"/>
    </row>
    <row r="314" ht="15.0" customHeight="1">
      <c r="B314" s="60" t="s">
        <v>2176</v>
      </c>
    </row>
    <row r="315" ht="15.75" customHeight="1">
      <c r="A315" s="62" t="s">
        <v>24</v>
      </c>
      <c r="B315" s="13" t="s">
        <v>2179</v>
      </c>
      <c r="C315" s="13" t="s">
        <v>1112</v>
      </c>
      <c r="D315" s="13" t="s">
        <v>1114</v>
      </c>
      <c r="E315" s="13" t="s">
        <v>1115</v>
      </c>
      <c r="F315" s="13" t="s">
        <v>1116</v>
      </c>
    </row>
    <row r="316" ht="15.0" customHeight="1">
      <c r="A316" s="63" t="s">
        <v>111</v>
      </c>
      <c r="B316" s="63" t="s">
        <v>130</v>
      </c>
      <c r="C316" s="64" t="s">
        <v>2184</v>
      </c>
      <c r="D316" s="63" t="s">
        <v>130</v>
      </c>
      <c r="E316" s="63" t="s">
        <v>525</v>
      </c>
      <c r="F316" s="64" t="s">
        <v>165</v>
      </c>
    </row>
    <row r="317" ht="36.0" customHeight="1">
      <c r="A317" s="65">
        <v>1.0</v>
      </c>
      <c r="B317" s="42"/>
      <c r="C317" s="42"/>
      <c r="D317" s="42"/>
      <c r="E317" s="42"/>
      <c r="F317" s="39"/>
    </row>
    <row r="318" ht="36.0" customHeight="1">
      <c r="A318" s="65">
        <v>2.0</v>
      </c>
      <c r="B318" s="42"/>
      <c r="C318" s="42"/>
      <c r="D318" s="42"/>
      <c r="E318" s="42"/>
      <c r="F318" s="39"/>
    </row>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4">
    <mergeCell ref="A1:I1"/>
    <mergeCell ref="A2:I2"/>
    <mergeCell ref="F3:I3"/>
    <mergeCell ref="A5:I5"/>
    <mergeCell ref="E6:I6"/>
    <mergeCell ref="E7:I7"/>
    <mergeCell ref="E8:I8"/>
    <mergeCell ref="E9:I9"/>
    <mergeCell ref="E10:I10"/>
    <mergeCell ref="E11:I11"/>
    <mergeCell ref="E12:I12"/>
    <mergeCell ref="E13:I13"/>
    <mergeCell ref="E14:I14"/>
    <mergeCell ref="E15:I15"/>
    <mergeCell ref="E16:I16"/>
    <mergeCell ref="E17:I17"/>
    <mergeCell ref="E18:I18"/>
    <mergeCell ref="E19:I19"/>
    <mergeCell ref="E20:I20"/>
    <mergeCell ref="A22:I22"/>
    <mergeCell ref="H23:I23"/>
    <mergeCell ref="B23:E23"/>
    <mergeCell ref="B24:I24"/>
    <mergeCell ref="E25:I25"/>
    <mergeCell ref="E26:I26"/>
    <mergeCell ref="E27:I27"/>
    <mergeCell ref="H39:I39"/>
    <mergeCell ref="B40:I40"/>
    <mergeCell ref="B39:E39"/>
    <mergeCell ref="B49:E49"/>
    <mergeCell ref="H49:I49"/>
    <mergeCell ref="B50:I50"/>
    <mergeCell ref="E51:I51"/>
    <mergeCell ref="E52:I52"/>
    <mergeCell ref="H60:I60"/>
    <mergeCell ref="B60:E60"/>
    <mergeCell ref="B61:I61"/>
    <mergeCell ref="E62:I62"/>
    <mergeCell ref="E63:I63"/>
    <mergeCell ref="E64:I64"/>
    <mergeCell ref="A66:I66"/>
    <mergeCell ref="H67:I67"/>
    <mergeCell ref="B67:E67"/>
    <mergeCell ref="B68:I68"/>
    <mergeCell ref="E69:I69"/>
    <mergeCell ref="E70:I70"/>
    <mergeCell ref="E71:I71"/>
    <mergeCell ref="E72:I72"/>
    <mergeCell ref="E73:I73"/>
    <mergeCell ref="E74:I74"/>
    <mergeCell ref="B76:E76"/>
    <mergeCell ref="H76:I76"/>
    <mergeCell ref="B77:I77"/>
    <mergeCell ref="E78:I78"/>
    <mergeCell ref="E79:I79"/>
    <mergeCell ref="E80:I80"/>
    <mergeCell ref="E81:I81"/>
    <mergeCell ref="B83:E83"/>
    <mergeCell ref="H83:I83"/>
    <mergeCell ref="B84:I84"/>
    <mergeCell ref="E85:I85"/>
    <mergeCell ref="E86:I86"/>
    <mergeCell ref="E87:I87"/>
    <mergeCell ref="E88:I88"/>
    <mergeCell ref="A90:I90"/>
    <mergeCell ref="B91:E91"/>
    <mergeCell ref="H91:I91"/>
    <mergeCell ref="B92:I92"/>
    <mergeCell ref="H100:I100"/>
    <mergeCell ref="B101:I101"/>
    <mergeCell ref="B100:E100"/>
    <mergeCell ref="B108:E108"/>
    <mergeCell ref="H108:I108"/>
    <mergeCell ref="B109:I109"/>
    <mergeCell ref="A116:I116"/>
    <mergeCell ref="H117:I117"/>
    <mergeCell ref="B118:I118"/>
    <mergeCell ref="B117:E117"/>
    <mergeCell ref="B125:E125"/>
    <mergeCell ref="H125:I125"/>
    <mergeCell ref="B126:I126"/>
    <mergeCell ref="B133:E133"/>
    <mergeCell ref="H133:I133"/>
    <mergeCell ref="B134:I134"/>
    <mergeCell ref="E135:I135"/>
    <mergeCell ref="E136:I136"/>
    <mergeCell ref="E137:I137"/>
    <mergeCell ref="E138:I138"/>
    <mergeCell ref="A140:I140"/>
    <mergeCell ref="H141:I141"/>
    <mergeCell ref="B142:I142"/>
    <mergeCell ref="B141:E141"/>
    <mergeCell ref="B151:E151"/>
    <mergeCell ref="H151:I151"/>
    <mergeCell ref="B152:I152"/>
    <mergeCell ref="B158:E158"/>
    <mergeCell ref="H158:I158"/>
    <mergeCell ref="B159:I159"/>
    <mergeCell ref="B264:E264"/>
    <mergeCell ref="B265:I265"/>
    <mergeCell ref="B271:E271"/>
    <mergeCell ref="H271:I271"/>
    <mergeCell ref="B272:I272"/>
    <mergeCell ref="E273:I273"/>
    <mergeCell ref="E274:I274"/>
    <mergeCell ref="E275:I275"/>
    <mergeCell ref="E276:I276"/>
    <mergeCell ref="E277:I277"/>
    <mergeCell ref="B279:E279"/>
    <mergeCell ref="H279:I279"/>
    <mergeCell ref="B280:I280"/>
    <mergeCell ref="E281:I281"/>
    <mergeCell ref="B305:E305"/>
    <mergeCell ref="H305:I305"/>
    <mergeCell ref="B306:I306"/>
    <mergeCell ref="B313:E313"/>
    <mergeCell ref="H313:I313"/>
    <mergeCell ref="B314:I314"/>
    <mergeCell ref="B298:E298"/>
    <mergeCell ref="H298:I298"/>
    <mergeCell ref="B299:I299"/>
    <mergeCell ref="E300:I300"/>
    <mergeCell ref="E301:I301"/>
    <mergeCell ref="E302:I302"/>
    <mergeCell ref="E303:I303"/>
    <mergeCell ref="A165:I165"/>
    <mergeCell ref="B166:E166"/>
    <mergeCell ref="H166:I166"/>
    <mergeCell ref="B167:I167"/>
    <mergeCell ref="B174:E174"/>
    <mergeCell ref="H174:I174"/>
    <mergeCell ref="B175:I175"/>
    <mergeCell ref="E176:I176"/>
    <mergeCell ref="E177:I177"/>
    <mergeCell ref="E178:I178"/>
    <mergeCell ref="A180:I180"/>
    <mergeCell ref="B181:E181"/>
    <mergeCell ref="H181:I181"/>
    <mergeCell ref="B182:I182"/>
    <mergeCell ref="B190:E190"/>
    <mergeCell ref="H190:I190"/>
    <mergeCell ref="B191:I191"/>
    <mergeCell ref="B198:E198"/>
    <mergeCell ref="H198:I198"/>
    <mergeCell ref="B199:I199"/>
    <mergeCell ref="A207:I207"/>
    <mergeCell ref="B208:E208"/>
    <mergeCell ref="H208:I208"/>
    <mergeCell ref="B209:I209"/>
    <mergeCell ref="B217:E217"/>
    <mergeCell ref="H217:I217"/>
    <mergeCell ref="B218:I218"/>
    <mergeCell ref="E219:I219"/>
    <mergeCell ref="B227:E227"/>
    <mergeCell ref="H227:I227"/>
    <mergeCell ref="B228:I228"/>
    <mergeCell ref="B235:E235"/>
    <mergeCell ref="H235:I235"/>
    <mergeCell ref="B236:I236"/>
    <mergeCell ref="A244:I244"/>
    <mergeCell ref="B245:E245"/>
    <mergeCell ref="H245:I245"/>
    <mergeCell ref="B246:I246"/>
    <mergeCell ref="B254:E254"/>
    <mergeCell ref="H254:I254"/>
    <mergeCell ref="B255:I255"/>
    <mergeCell ref="H264:I264"/>
    <mergeCell ref="E282:I282"/>
    <mergeCell ref="E283:I283"/>
    <mergeCell ref="A285:I285"/>
    <mergeCell ref="B286:E286"/>
    <mergeCell ref="H286:I286"/>
    <mergeCell ref="B287:I287"/>
    <mergeCell ref="E288:I288"/>
  </mergeCells>
  <conditionalFormatting sqref="H5:H1000">
    <cfRule type="expression" dxfId="5" priority="1">
      <formula>LEFT(H5,1)="✓"</formula>
    </cfRule>
  </conditionalFormatting>
  <conditionalFormatting sqref="H5:H1000">
    <cfRule type="expression" dxfId="6" priority="2">
      <formula>LEFT(H5,2)="상태"</formula>
    </cfRule>
  </conditionalFormatting>
  <dataValidations>
    <dataValidation type="list" allowBlank="1" showInputMessage="1" showErrorMessage="1" prompt="허용값 아님 - 목록에서 선택해 주세요: 논문,보고서,학술발표자료" sqref="B104:B106">
      <formula1>"논문,보고서,학술발표자료"</formula1>
    </dataValidation>
    <dataValidation type="list" allowBlank="1" showInputMessage="1" showErrorMessage="1" prompt="허용값 아님 - 목록에서 선택해 주세요: 신청,이수중,이수완료" sqref="D55:D58">
      <formula1>"신청,이수중,이수완료"</formula1>
    </dataValidation>
    <dataValidation type="list" allowBlank="1" showInputMessage="1" showErrorMessage="1" prompt="허용값 아님 - 목록에서 선택해 주세요: 교과,비교과,3품(AI)" sqref="B185:B188">
      <formula1>"교과,비교과,3품(AI)"</formula1>
    </dataValidation>
    <dataValidation type="list" allowBlank="1" showInputMessage="1" showErrorMessage="1" prompt="허용값 아님 - 목록에서 선택해 주세요: 참가,입선,장려,우수,최우수,대상" sqref="E145:E149">
      <formula1>"참가,입선,장려,우수,최우수,대상"</formula1>
    </dataValidation>
    <dataValidation type="list" allowBlank="1" showInputMessage="1" showErrorMessage="1" prompt="허용값 아님 - 목록에서 선택해 주세요: TOEIC,TOEFL iBT,TOEIC Speaking,OPIc,HSK,JPT,JLPT,DELF/DALF,DELE,기타" sqref="B249:B252">
      <formula1>"TOEIC,TOEFL iBT,TOEIC Speaking,OPIc,HSK,JPT,JLPT,DELF/DALF,DELE,기타"</formula1>
    </dataValidation>
    <dataValidation type="list" allowBlank="1" showInputMessage="1" showErrorMessage="1" prompt="허용값 아님 - 목록에서 선택해 주세요: Y,N" sqref="C17 C20 I121:I123 C136 G170:G172">
      <formula1>"Y,N"</formula1>
    </dataValidation>
    <dataValidation type="list" allowBlank="1" showInputMessage="1" showErrorMessage="1" prompt="허용값 아님 - 목록에서 선택해 주세요: 지도교수,수업 담당교수" sqref="C317:C318">
      <formula1>"지도교수,수업 담당교수"</formula1>
    </dataValidation>
    <dataValidation type="list" allowBlank="1" showInputMessage="1" showErrorMessage="1" prompt="허용값 아님 - 목록에서 선택해 주세요: 튜터,튜티,멘토,멘티,스터디,학습공동체" sqref="B231:B233">
      <formula1>"튜터,튜티,멘토,멘티,스터디,학습공동체"</formula1>
    </dataValidation>
    <dataValidation type="list" allowBlank="1" showInputMessage="1" showErrorMessage="1" prompt="허용값 아님 - 목록에서 선택해 주세요: 학부,석사,박사,석박통합" sqref="C13">
      <formula1>"학부,석사,박사,석박통합"</formula1>
    </dataValidation>
    <dataValidation type="list" allowBlank="1" showInputMessage="1" showErrorMessage="1" prompt="허용값 아님 - 목록에서 선택해 주세요: 출원,등록" sqref="D162:D163">
      <formula1>"출원,등록"</formula1>
    </dataValidation>
    <dataValidation type="list" allowBlank="1" showInputMessage="1" showErrorMessage="1" prompt="허용값 아님 - 목록에서 선택해 주세요: 특허,실용신안,디자인,SW등록" sqref="B162:B163">
      <formula1>"특허,실용신안,디자인,SW등록"</formula1>
    </dataValidation>
    <dataValidation type="list" allowBlank="1" showInputMessage="1" showErrorMessage="1" prompt="허용값 아님 - 목록에서 선택해 주세요: 값 있음,활동 없음,미수집,해당 없음" sqref="G23 G39 G49 G60 G67 G76 G83 G91 G100 G108 G117 G125 G133 G141 G151 G158 G166 G174 G181 G190 G198 G208 G217 G227 G235 G245 G254 G264 G271 G279 G286 G298 G305 G313">
      <formula1>"값 있음,활동 없음,미수집,해당 없음"</formula1>
    </dataValidation>
    <dataValidation type="list" allowBlank="1" showInputMessage="1" showErrorMessage="1" prompt="허용값 아님 - 목록에서 선택해 주세요: 주전공,복수전공,부전공,연계전공,융합전공,심화전공" sqref="B55:B58">
      <formula1>"주전공,복수전공,부전공,연계전공,융합전공,심화전공"</formula1>
    </dataValidation>
    <dataValidation type="list" allowBlank="1" showInputMessage="1" showErrorMessage="1" prompt="허용값 아님 - 목록에서 선택해 주세요: 교내,교외(국내),국외,유학생 봉사" sqref="B222:B225">
      <formula1>"교내,교외(국내),국외,유학생 봉사"</formula1>
    </dataValidation>
    <dataValidation type="list" allowBlank="1" showInputMessage="1" showErrorMessage="1" prompt="허용값 아님 - 목록에서 선택해 주세요: 이수중,이수완료,미이수,포기" sqref="C64">
      <formula1>"이수중,이수완료,미이수,포기"</formula1>
    </dataValidation>
    <dataValidation type="list" allowBlank="1" showInputMessage="1" showErrorMessage="1" prompt="허용값 아님 - 목록에서 선택해 주세요: 관련,일부 관련,무관" sqref="H121:H123">
      <formula1>"관련,일부 관련,무관"</formula1>
    </dataValidation>
    <dataValidation type="list" allowBlank="1" showInputMessage="1" showErrorMessage="1" prompt="허용값 아님 - 목록에서 선택해 주세요: 시스템 연동,학생 직접 입력,혼합" sqref="C19">
      <formula1>"시스템 연동,학생 직접 입력,혼합"</formula1>
    </dataValidation>
    <dataValidation type="list" allowBlank="1" showInputMessage="1" showErrorMessage="1" prompt="허용값 아님 - 목록에서 선택해 주세요: 국제학술지,국내학술지,국제학술대회,국내학술대회,교내" sqref="D104:D106">
      <formula1>"국제학술지,국내학술지,국제학술대회,국내학술대회,교내"</formula1>
    </dataValidation>
    <dataValidation type="list" allowBlank="1" showInputMessage="1" showErrorMessage="1" prompt="허용값 아님 - 목록에서 선택해 주세요: 게재,게재승인,투고,작성중" sqref="E104:E106">
      <formula1>"게재,게재승인,투고,작성중"</formula1>
    </dataValidation>
    <dataValidation type="list" allowBlank="1" showInputMessage="1" showErrorMessage="1" prompt="허용값 아님 - 목록에서 선택해 주세요: 이수,수강중,미이수" sqref="F185:F188">
      <formula1>"이수,수강중,미이수"</formula1>
    </dataValidation>
    <dataValidation type="list" allowBlank="1" showInputMessage="1" showErrorMessage="1" prompt="허용값 아님 - 목록에서 선택해 주세요: 신입학,편입학,재입학" sqref="C14">
      <formula1>"신입학,편입학,재입학"</formula1>
    </dataValidation>
    <dataValidation type="list" allowBlank="1" showInputMessage="1" showErrorMessage="1" prompt="허용값 아님 - 목록에서 선택해 주세요: 창업교과목,창업경진대회,사업자등록,창업동아리" sqref="B155:B156">
      <formula1>"창업교과목,창업경진대회,사업자등록,창업동아리"</formula1>
    </dataValidation>
    <dataValidation type="list" allowBlank="1" showInputMessage="1" showErrorMessage="1" prompt="허용값 아님 - 목록에서 선택해 주세요: 고용보험,재직·경력증명,없음" sqref="F129:F131">
      <formula1>"고용보험,재직·경력증명,없음"</formula1>
    </dataValidation>
    <dataValidation type="list" allowBlank="1" showInputMessage="1" showErrorMessage="1" prompt="허용값 아님 - 목록에서 선택해 주세요: 발표형,토론형,과제·보고서형,PBL형" sqref="D43:D47">
      <formula1>"발표형,토론형,과제·보고서형,PBL형"</formula1>
    </dataValidation>
    <dataValidation type="list" allowBlank="1" showInputMessage="1" showErrorMessage="1" prompt="허용값 아님 - 목록에서 선택해 주세요: A+,A0,B+,B0,C+,C0,D+,D0,F,P" sqref="E43:E47">
      <formula1>"A+,A0,B+,B0,C+,C0,D+,D0,F,P"</formula1>
    </dataValidation>
    <dataValidation type="list" allowBlank="1" showInputMessage="1" showErrorMessage="1" prompt="허용값 아님 - 목록에서 선택해 주세요: 교환학생,어학연수,해외봉사,국제연구,국제문화체험,해외학습" sqref="B170:B172">
      <formula1>"교환학생,어학연수,해외봉사,국제연구,국제문화체험,해외학습"</formula1>
    </dataValidation>
    <dataValidation type="list" allowBlank="1" showInputMessage="1" showErrorMessage="1" prompt="허용값 아님 - 목록에서 선택해 주세요: 대상,비대상" sqref="C62">
      <formula1>"대상,비대상"</formula1>
    </dataValidation>
    <dataValidation type="list" allowBlank="1" showInputMessage="1" showErrorMessage="1" prompt="허용값 아님 - 목록에서 선택해 주세요: 기초,활용,능숙" sqref="C202:C205">
      <formula1>"기초,활용,능숙"</formula1>
    </dataValidation>
    <dataValidation type="list" allowBlank="1" showInputMessage="1" showErrorMessage="1" prompt="허용값 아님 - 목록에서 선택해 주세요: 학부연구생,URP,학회,연구실 인턴,팀연구프로젝트" sqref="B95:B98">
      <formula1>"학부연구생,URP,학회,연구실 인턴,팀연구프로젝트"</formula1>
    </dataValidation>
    <dataValidation type="list" allowBlank="1" showInputMessage="1" showErrorMessage="1" prompt="허용값 아님 - 목록에서 선택해 주세요: AI캡스톤,AI대회,AI공모전,AI프로젝트" sqref="B194:B196">
      <formula1>"AI캡스톤,AI대회,AI공모전,AI프로젝트"</formula1>
    </dataValidation>
    <dataValidation type="list" allowBlank="1" showInputMessage="1" showErrorMessage="1" prompt="허용값 아님 - 목록에서 선택해 주세요: 재학,휴학,수료" sqref="C16">
      <formula1>"재학,휴학,수료"</formula1>
    </dataValidation>
    <dataValidation type="list" allowBlank="1" showInputMessage="1" showErrorMessage="1" prompt="허용값 아님 - 목록에서 선택해 주세요: 동아리,학생회,학회,기타단체" sqref="B212:B215">
      <formula1>"동아리,학생회,학회,기타단체"</formula1>
    </dataValidation>
    <dataValidation type="list" allowBlank="1" showInputMessage="1" showErrorMessage="1" prompt="허용값 아님 - 목록에서 선택해 주세요: 교내,지역,전국,국제" sqref="D145:D149 F194:F196">
      <formula1>"교내,지역,전국,국제"</formula1>
    </dataValidation>
    <dataValidation type="list" allowBlank="1" showInputMessage="1" showErrorMessage="1" prompt="허용값 아님 - 목록에서 선택해 주세요: 인턴십,현장실습,연구체험,문제해결프로젝트" sqref="B121:B123">
      <formula1>"인턴십,현장실습,연구체험,문제해결프로젝트"</formula1>
    </dataValidation>
    <dataValidation type="list" allowBlank="1" showInputMessage="1" showErrorMessage="1" prompt="허용값 아님 - 목록에서 선택해 주세요: 개인,팀" sqref="F145:F149">
      <formula1>"개인,팀"</formula1>
    </dataValidation>
    <dataValidation type="list" allowBlank="1" showInputMessage="1" showErrorMessage="1" prompt="허용값 아님 - 목록에서 선택해 주세요: 단독,공동" sqref="G162:G163">
      <formula1>"단독,공동"</formula1>
    </dataValidation>
    <dataValidation type="list" allowBlank="1" showInputMessage="1" showErrorMessage="1" prompt="허용값 아님 - 목록에서 선택해 주세요: 회장,부회장,부장,총무,부원" sqref="D212:D215">
      <formula1>"회장,부회장,부장,총무,부원"</formula1>
    </dataValidation>
    <dataValidation type="list" allowBlank="1" showInputMessage="1" showErrorMessage="1" prompt="허용값 아님 - 목록에서 선택해 주세요: 단독,제1저자,공동저자" sqref="F104:F106">
      <formula1>"단독,제1저자,공동저자"</formula1>
    </dataValidation>
    <dataValidation type="list" allowBlank="1" showInputMessage="1" showErrorMessage="1" prompt="허용값 아님 - 목록에서 선택해 주세요: 취득,진행중,미취득" sqref="C273:C277">
      <formula1>"취득,진행중,미취득"</formula1>
    </dataValidation>
    <dataValidation type="list" allowBlank="1" showInputMessage="1" showErrorMessage="1" prompt="허용값 아님 - 목록에서 선택해 주세요: 응시,1차 합격,2차 합격,최종 합격" sqref="C268:C269">
      <formula1>"응시,1차 합격,2차 합격,최종 합격"</formula1>
    </dataValidation>
  </dataValidations>
  <printOptions/>
  <pageMargins bottom="1.0" footer="0.0" header="0.0" left="0.75" right="0.75" top="1.0"/>
  <pageSetup fitToHeight="0"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9BD5"/>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6.0"/>
    <col customWidth="1" min="2" max="2" width="22.0"/>
    <col customWidth="1" min="3" max="3" width="20.0"/>
    <col customWidth="1" min="4" max="5" width="17.0"/>
    <col customWidth="1" min="6" max="7" width="15.0"/>
    <col customWidth="1" min="8" max="8" width="17.0"/>
    <col customWidth="1" min="9" max="9" width="30.0"/>
    <col customWidth="1" min="10" max="26" width="8.71"/>
  </cols>
  <sheetData>
    <row r="1" ht="25.5" customHeight="1">
      <c r="A1" s="66" t="s">
        <v>2096</v>
      </c>
    </row>
    <row r="2" ht="30.0" customHeight="1">
      <c r="A2" s="16" t="s">
        <v>2100</v>
      </c>
    </row>
    <row r="3" ht="15.0" customHeight="1">
      <c r="A3" s="23" t="s">
        <v>73</v>
      </c>
      <c r="B3" s="25" t="s">
        <v>67</v>
      </c>
      <c r="C3" s="27" t="s">
        <v>89</v>
      </c>
      <c r="D3" s="28" t="s">
        <v>2107</v>
      </c>
      <c r="E3" s="30" t="s">
        <v>100</v>
      </c>
      <c r="F3" s="16" t="s">
        <v>2108</v>
      </c>
    </row>
    <row r="5" ht="21.75" customHeight="1">
      <c r="A5" s="33" t="s">
        <v>2109</v>
      </c>
      <c r="B5" s="8"/>
      <c r="C5" s="8"/>
      <c r="D5" s="8"/>
      <c r="E5" s="8"/>
      <c r="F5" s="8"/>
      <c r="G5" s="8"/>
      <c r="H5" s="8"/>
      <c r="I5" s="7"/>
    </row>
    <row r="6" ht="15.0" customHeight="1">
      <c r="B6" s="13" t="s">
        <v>107</v>
      </c>
      <c r="C6" s="13" t="s">
        <v>108</v>
      </c>
      <c r="D6" s="13" t="s">
        <v>111</v>
      </c>
      <c r="E6" s="36" t="s">
        <v>112</v>
      </c>
      <c r="F6" s="37"/>
      <c r="G6" s="37"/>
      <c r="H6" s="37"/>
      <c r="I6" s="38"/>
    </row>
    <row r="7">
      <c r="B7" s="17" t="s">
        <v>36</v>
      </c>
      <c r="C7" s="39" t="s">
        <v>275</v>
      </c>
      <c r="D7" s="40" t="s">
        <v>2118</v>
      </c>
      <c r="E7" s="41" t="s">
        <v>123</v>
      </c>
    </row>
    <row r="8">
      <c r="B8" s="17" t="s">
        <v>37</v>
      </c>
      <c r="C8" s="69" t="s">
        <v>60</v>
      </c>
      <c r="D8" s="40" t="s">
        <v>130</v>
      </c>
      <c r="E8" s="41"/>
    </row>
    <row r="9">
      <c r="B9" s="17" t="s">
        <v>38</v>
      </c>
      <c r="C9" s="69" t="s">
        <v>86</v>
      </c>
      <c r="D9" s="40" t="s">
        <v>130</v>
      </c>
      <c r="E9" s="41" t="s">
        <v>2122</v>
      </c>
    </row>
    <row r="10">
      <c r="B10" s="17" t="s">
        <v>2123</v>
      </c>
      <c r="C10" s="69" t="s">
        <v>276</v>
      </c>
      <c r="D10" s="40" t="s">
        <v>130</v>
      </c>
      <c r="E10" s="41" t="s">
        <v>2124</v>
      </c>
    </row>
    <row r="11">
      <c r="B11" s="17" t="s">
        <v>40</v>
      </c>
      <c r="C11" s="42">
        <v>4.0</v>
      </c>
      <c r="D11" s="40" t="s">
        <v>2125</v>
      </c>
      <c r="E11" s="41" t="s">
        <v>2127</v>
      </c>
    </row>
    <row r="12">
      <c r="B12" s="17" t="s">
        <v>139</v>
      </c>
      <c r="C12" s="42">
        <v>1.0</v>
      </c>
      <c r="D12" s="40" t="s">
        <v>78</v>
      </c>
      <c r="E12" s="41" t="s">
        <v>2128</v>
      </c>
    </row>
    <row r="13">
      <c r="B13" s="17" t="s">
        <v>143</v>
      </c>
      <c r="C13" s="69" t="s">
        <v>98</v>
      </c>
      <c r="D13" s="40" t="s">
        <v>147</v>
      </c>
      <c r="E13" s="41" t="s">
        <v>148</v>
      </c>
    </row>
    <row r="14">
      <c r="B14" s="17" t="s">
        <v>149</v>
      </c>
      <c r="C14" s="69" t="s">
        <v>2130</v>
      </c>
      <c r="D14" s="40" t="s">
        <v>147</v>
      </c>
      <c r="E14" s="41" t="s">
        <v>151</v>
      </c>
    </row>
    <row r="15">
      <c r="B15" s="17" t="s">
        <v>155</v>
      </c>
      <c r="C15" s="39" t="s">
        <v>1260</v>
      </c>
      <c r="D15" s="49" t="s">
        <v>158</v>
      </c>
      <c r="E15" s="41" t="s">
        <v>2135</v>
      </c>
    </row>
    <row r="16">
      <c r="B16" s="17" t="s">
        <v>161</v>
      </c>
      <c r="C16" s="69" t="s">
        <v>248</v>
      </c>
      <c r="D16" s="40" t="s">
        <v>147</v>
      </c>
      <c r="E16" s="41"/>
    </row>
    <row r="17">
      <c r="B17" s="17" t="s">
        <v>162</v>
      </c>
      <c r="C17" s="42" t="s">
        <v>249</v>
      </c>
      <c r="D17" s="40" t="s">
        <v>147</v>
      </c>
      <c r="E17" s="50" t="s">
        <v>2138</v>
      </c>
    </row>
    <row r="18">
      <c r="B18" s="17" t="s">
        <v>164</v>
      </c>
      <c r="C18" s="39" t="s">
        <v>252</v>
      </c>
      <c r="D18" s="49" t="s">
        <v>165</v>
      </c>
      <c r="E18" s="41" t="s">
        <v>2139</v>
      </c>
    </row>
    <row r="19">
      <c r="B19" s="17" t="s">
        <v>167</v>
      </c>
      <c r="C19" s="69" t="s">
        <v>260</v>
      </c>
      <c r="D19" s="40" t="s">
        <v>147</v>
      </c>
      <c r="E19" s="41"/>
    </row>
    <row r="20">
      <c r="B20" s="17" t="s">
        <v>2140</v>
      </c>
      <c r="C20" s="42" t="s">
        <v>249</v>
      </c>
      <c r="D20" s="40" t="s">
        <v>147</v>
      </c>
      <c r="E20" s="50" t="s">
        <v>2141</v>
      </c>
    </row>
    <row r="21" ht="15.75" customHeight="1"/>
    <row r="22" ht="21.75" customHeight="1">
      <c r="A22" s="33" t="s">
        <v>2142</v>
      </c>
      <c r="B22" s="8"/>
      <c r="C22" s="8"/>
      <c r="D22" s="8"/>
      <c r="E22" s="8"/>
      <c r="F22" s="8"/>
      <c r="G22" s="8"/>
      <c r="H22" s="8"/>
      <c r="I22" s="7"/>
    </row>
    <row r="23" ht="21.75" customHeight="1">
      <c r="A23" s="51">
        <v>1.0</v>
      </c>
      <c r="B23" s="52" t="s">
        <v>2144</v>
      </c>
      <c r="C23" s="53"/>
      <c r="D23" s="53"/>
      <c r="E23" s="54"/>
      <c r="F23" s="55" t="s">
        <v>178</v>
      </c>
      <c r="G23" s="71" t="s">
        <v>47</v>
      </c>
      <c r="H23" s="59" t="str">
        <f>IF(G23="",IF(COUNTA(C25:C27,B30:G37)&gt;0,"⚠ 상태 미선택(입력값 있음)","상태 미선택 → 미수집 간주"),IF(G23="값 있음",IF(COUNTA(C25:C27,B30:G37)=0,"⚠ 값 있음인데 입력값 없음","✓ 정상"),IF(COUNTA(C25:C27,B30:G37)&gt;0,"⚠ 상태와 입력값 불일치","✓ 정상")))</f>
        <v>✓ 정상</v>
      </c>
      <c r="I23" s="54"/>
    </row>
    <row r="24" ht="24.0" customHeight="1">
      <c r="B24" s="60" t="s">
        <v>2145</v>
      </c>
    </row>
    <row r="25" ht="15.75" customHeight="1">
      <c r="B25" s="17" t="s">
        <v>2146</v>
      </c>
      <c r="C25" s="42">
        <v>4.21</v>
      </c>
      <c r="D25" s="40" t="s">
        <v>2147</v>
      </c>
      <c r="E25" s="41" t="s">
        <v>2148</v>
      </c>
    </row>
    <row r="26" ht="15.75" customHeight="1">
      <c r="B26" s="17" t="s">
        <v>2149</v>
      </c>
      <c r="C26" s="42">
        <v>4.3</v>
      </c>
      <c r="D26" s="40" t="s">
        <v>2151</v>
      </c>
      <c r="E26" s="41" t="s">
        <v>2152</v>
      </c>
    </row>
    <row r="27" ht="15.75" customHeight="1">
      <c r="B27" s="17" t="s">
        <v>191</v>
      </c>
      <c r="C27" s="42">
        <v>4.5</v>
      </c>
      <c r="D27" s="40" t="s">
        <v>78</v>
      </c>
      <c r="E27" s="41" t="s">
        <v>2153</v>
      </c>
    </row>
    <row r="28" ht="15.75" customHeight="1">
      <c r="A28" s="62" t="s">
        <v>24</v>
      </c>
      <c r="B28" s="13" t="s">
        <v>193</v>
      </c>
      <c r="C28" s="13" t="s">
        <v>194</v>
      </c>
      <c r="D28" s="13" t="s">
        <v>195</v>
      </c>
      <c r="E28" s="13" t="s">
        <v>196</v>
      </c>
      <c r="F28" s="13" t="s">
        <v>197</v>
      </c>
      <c r="G28" s="13" t="s">
        <v>198</v>
      </c>
    </row>
    <row r="29" ht="25.5" customHeight="1">
      <c r="A29" s="63" t="s">
        <v>111</v>
      </c>
      <c r="B29" s="64" t="s">
        <v>2154</v>
      </c>
      <c r="C29" s="63" t="s">
        <v>78</v>
      </c>
      <c r="D29" s="63" t="s">
        <v>78</v>
      </c>
      <c r="E29" s="63" t="s">
        <v>78</v>
      </c>
      <c r="F29" s="63" t="s">
        <v>78</v>
      </c>
      <c r="G29" s="63" t="s">
        <v>2156</v>
      </c>
    </row>
    <row r="30" ht="15.75" customHeight="1">
      <c r="A30" s="65">
        <v>1.0</v>
      </c>
      <c r="B30" s="39" t="s">
        <v>307</v>
      </c>
      <c r="C30" s="42">
        <v>18.0</v>
      </c>
      <c r="D30" s="42">
        <v>18.0</v>
      </c>
      <c r="E30" s="42">
        <v>4.21</v>
      </c>
      <c r="F30" s="42">
        <v>4.3</v>
      </c>
      <c r="G30" s="69" t="s">
        <v>2157</v>
      </c>
    </row>
    <row r="31" ht="15.75" customHeight="1">
      <c r="A31" s="65">
        <v>2.0</v>
      </c>
      <c r="B31" s="39"/>
      <c r="C31" s="42"/>
      <c r="D31" s="42"/>
      <c r="E31" s="42"/>
      <c r="F31" s="42"/>
      <c r="G31" s="42"/>
    </row>
    <row r="32" ht="15.75" customHeight="1">
      <c r="A32" s="65">
        <v>3.0</v>
      </c>
      <c r="B32" s="39"/>
      <c r="C32" s="42"/>
      <c r="D32" s="42"/>
      <c r="E32" s="42"/>
      <c r="F32" s="42"/>
      <c r="G32" s="42"/>
    </row>
    <row r="33" ht="15.75" customHeight="1">
      <c r="A33" s="65">
        <v>4.0</v>
      </c>
      <c r="B33" s="39"/>
      <c r="C33" s="42"/>
      <c r="D33" s="42"/>
      <c r="E33" s="42"/>
      <c r="F33" s="42"/>
      <c r="G33" s="42"/>
    </row>
    <row r="34" ht="15.75" customHeight="1">
      <c r="A34" s="65">
        <v>5.0</v>
      </c>
      <c r="B34" s="39"/>
      <c r="C34" s="42"/>
      <c r="D34" s="42"/>
      <c r="E34" s="42"/>
      <c r="F34" s="42"/>
      <c r="G34" s="42"/>
    </row>
    <row r="35" ht="15.75" customHeight="1">
      <c r="A35" s="65">
        <v>6.0</v>
      </c>
      <c r="B35" s="39"/>
      <c r="C35" s="42"/>
      <c r="D35" s="42"/>
      <c r="E35" s="42"/>
      <c r="F35" s="42"/>
      <c r="G35" s="42"/>
    </row>
    <row r="36" ht="15.75" customHeight="1">
      <c r="A36" s="65">
        <v>7.0</v>
      </c>
      <c r="B36" s="39"/>
      <c r="C36" s="42"/>
      <c r="D36" s="42"/>
      <c r="E36" s="42"/>
      <c r="F36" s="42"/>
      <c r="G36" s="42"/>
    </row>
    <row r="37" ht="15.75" customHeight="1">
      <c r="A37" s="65">
        <v>8.0</v>
      </c>
      <c r="B37" s="39"/>
      <c r="C37" s="42"/>
      <c r="D37" s="42"/>
      <c r="E37" s="42"/>
      <c r="F37" s="42"/>
      <c r="G37" s="42"/>
    </row>
    <row r="38" ht="15.75" customHeight="1"/>
    <row r="39" ht="21.75" customHeight="1">
      <c r="A39" s="51">
        <v>2.0</v>
      </c>
      <c r="B39" s="52" t="s">
        <v>127</v>
      </c>
      <c r="C39" s="53"/>
      <c r="D39" s="53"/>
      <c r="E39" s="54"/>
      <c r="F39" s="55" t="s">
        <v>178</v>
      </c>
      <c r="G39" s="71" t="s">
        <v>47</v>
      </c>
      <c r="H39" s="59" t="str">
        <f>IF(G39="",IF(COUNTA(B43:G47)&gt;0,"⚠ 상태 미선택(입력값 있음)","상태 미선택 → 미수집 간주"),IF(G39="값 있음",IF(COUNTA(B43:G47)=0,"⚠ 값 있음인데 입력값 없음","✓ 정상"),IF(COUNTA(B43:G47)&gt;0,"⚠ 상태와 입력값 불일치","✓ 정상")))</f>
        <v>✓ 정상</v>
      </c>
      <c r="I39" s="54"/>
    </row>
    <row r="40" ht="24.0" customHeight="1">
      <c r="B40" s="60" t="s">
        <v>2174</v>
      </c>
    </row>
    <row r="41" ht="15.75" customHeight="1">
      <c r="A41" s="62" t="s">
        <v>24</v>
      </c>
      <c r="B41" s="13" t="s">
        <v>215</v>
      </c>
      <c r="C41" s="13" t="s">
        <v>193</v>
      </c>
      <c r="D41" s="13" t="s">
        <v>216</v>
      </c>
      <c r="E41" s="13" t="s">
        <v>217</v>
      </c>
      <c r="F41" s="13" t="s">
        <v>2183</v>
      </c>
      <c r="G41" s="13" t="s">
        <v>198</v>
      </c>
    </row>
    <row r="42" ht="37.5" customHeight="1">
      <c r="A42" s="63" t="s">
        <v>111</v>
      </c>
      <c r="B42" s="63" t="s">
        <v>130</v>
      </c>
      <c r="C42" s="64" t="s">
        <v>2186</v>
      </c>
      <c r="D42" s="64" t="s">
        <v>2188</v>
      </c>
      <c r="E42" s="64" t="s">
        <v>222</v>
      </c>
      <c r="F42" s="63" t="s">
        <v>2189</v>
      </c>
      <c r="G42" s="63" t="s">
        <v>130</v>
      </c>
    </row>
    <row r="43" ht="15.75" customHeight="1">
      <c r="A43" s="65">
        <v>1.0</v>
      </c>
      <c r="B43" s="69" t="s">
        <v>2191</v>
      </c>
      <c r="C43" s="39" t="s">
        <v>307</v>
      </c>
      <c r="D43" s="69" t="s">
        <v>2194</v>
      </c>
      <c r="E43" s="42" t="s">
        <v>340</v>
      </c>
      <c r="F43" s="42">
        <v>95.0</v>
      </c>
      <c r="G43" s="42"/>
    </row>
    <row r="44" ht="15.75" customHeight="1">
      <c r="A44" s="65">
        <v>2.0</v>
      </c>
      <c r="B44" s="42"/>
      <c r="C44" s="39"/>
      <c r="D44" s="69"/>
      <c r="E44" s="42"/>
      <c r="F44" s="42"/>
      <c r="G44" s="42"/>
    </row>
    <row r="45" ht="15.75" customHeight="1">
      <c r="A45" s="65">
        <v>3.0</v>
      </c>
      <c r="B45" s="42"/>
      <c r="C45" s="39"/>
      <c r="D45" s="69"/>
      <c r="E45" s="42"/>
      <c r="F45" s="42"/>
      <c r="G45" s="42"/>
    </row>
    <row r="46" ht="15.75" customHeight="1">
      <c r="A46" s="65">
        <v>4.0</v>
      </c>
      <c r="B46" s="42"/>
      <c r="C46" s="39"/>
      <c r="D46" s="69"/>
      <c r="E46" s="42"/>
      <c r="F46" s="42"/>
      <c r="G46" s="42"/>
    </row>
    <row r="47" ht="15.75" customHeight="1">
      <c r="A47" s="65">
        <v>5.0</v>
      </c>
      <c r="B47" s="42"/>
      <c r="C47" s="39"/>
      <c r="D47" s="69"/>
      <c r="E47" s="42"/>
      <c r="F47" s="42"/>
      <c r="G47" s="42"/>
    </row>
    <row r="48" ht="15.75" customHeight="1"/>
    <row r="49" ht="21.75" customHeight="1">
      <c r="A49" s="51">
        <v>3.0</v>
      </c>
      <c r="B49" s="52" t="s">
        <v>2200</v>
      </c>
      <c r="C49" s="53"/>
      <c r="D49" s="53"/>
      <c r="E49" s="54"/>
      <c r="F49" s="55" t="s">
        <v>178</v>
      </c>
      <c r="G49" s="71" t="s">
        <v>47</v>
      </c>
      <c r="H49" s="59" t="str">
        <f>IF(G49="",IF(COUNTA(C51:C52,B55:E58)&gt;0,"⚠ 상태 미선택(입력값 있음)","상태 미선택 → 미수집 간주"),IF(G49="값 있음",IF(COUNTA(C51:C52,B55:E58)=0,"⚠ 값 있음인데 입력값 없음","✓ 정상"),IF(COUNTA(C51:C52,B55:E58)&gt;0,"⚠ 상태와 입력값 불일치","✓ 정상")))</f>
        <v>✓ 정상</v>
      </c>
      <c r="I49" s="54"/>
    </row>
    <row r="50" ht="24.0" customHeight="1">
      <c r="B50" s="60" t="s">
        <v>2210</v>
      </c>
    </row>
    <row r="51" ht="15.75" customHeight="1">
      <c r="B51" s="17" t="s">
        <v>253</v>
      </c>
      <c r="C51" s="42">
        <v>18.0</v>
      </c>
      <c r="D51" s="40" t="s">
        <v>78</v>
      </c>
      <c r="E51" s="41" t="s">
        <v>2214</v>
      </c>
    </row>
    <row r="52" ht="15.75" customHeight="1">
      <c r="B52" s="17" t="s">
        <v>259</v>
      </c>
      <c r="C52" s="42">
        <v>0.0</v>
      </c>
      <c r="D52" s="40" t="s">
        <v>78</v>
      </c>
      <c r="E52" s="41" t="s">
        <v>2217</v>
      </c>
    </row>
    <row r="53" ht="15.75" customHeight="1">
      <c r="A53" s="62" t="s">
        <v>24</v>
      </c>
      <c r="B53" s="13" t="s">
        <v>263</v>
      </c>
      <c r="C53" s="13" t="s">
        <v>264</v>
      </c>
      <c r="D53" s="13" t="s">
        <v>265</v>
      </c>
      <c r="E53" s="13" t="s">
        <v>266</v>
      </c>
    </row>
    <row r="54" ht="25.5" customHeight="1">
      <c r="A54" s="63" t="s">
        <v>111</v>
      </c>
      <c r="B54" s="64" t="s">
        <v>2221</v>
      </c>
      <c r="C54" s="63" t="s">
        <v>130</v>
      </c>
      <c r="D54" s="64" t="s">
        <v>2222</v>
      </c>
      <c r="E54" s="63" t="s">
        <v>78</v>
      </c>
    </row>
    <row r="55" ht="15.75" customHeight="1">
      <c r="A55" s="65">
        <v>1.0</v>
      </c>
      <c r="B55" s="69" t="s">
        <v>369</v>
      </c>
      <c r="C55" s="69" t="s">
        <v>2223</v>
      </c>
      <c r="D55" s="69" t="s">
        <v>370</v>
      </c>
      <c r="E55" s="42">
        <v>18.0</v>
      </c>
    </row>
    <row r="56" ht="15.75" customHeight="1">
      <c r="A56" s="65">
        <v>2.0</v>
      </c>
      <c r="B56" s="69"/>
      <c r="C56" s="42"/>
      <c r="D56" s="69"/>
      <c r="E56" s="42"/>
    </row>
    <row r="57" ht="15.75" customHeight="1">
      <c r="A57" s="65">
        <v>3.0</v>
      </c>
      <c r="B57" s="69"/>
      <c r="C57" s="42"/>
      <c r="D57" s="69"/>
      <c r="E57" s="42"/>
    </row>
    <row r="58" ht="15.75" customHeight="1">
      <c r="A58" s="65">
        <v>4.0</v>
      </c>
      <c r="B58" s="69"/>
      <c r="C58" s="42"/>
      <c r="D58" s="69"/>
      <c r="E58" s="42"/>
    </row>
    <row r="59" ht="15.75" customHeight="1"/>
    <row r="60" ht="21.75" customHeight="1">
      <c r="A60" s="70">
        <v>4.0</v>
      </c>
      <c r="B60" s="72" t="s">
        <v>180</v>
      </c>
      <c r="C60" s="53"/>
      <c r="D60" s="53"/>
      <c r="E60" s="54"/>
      <c r="F60" s="73" t="s">
        <v>178</v>
      </c>
      <c r="G60" s="71" t="s">
        <v>51</v>
      </c>
      <c r="H60" s="74" t="str">
        <f>IF(G60="",IF(COUNTA(C62:C64)&gt;0,"⚠ 상태 미선택(입력값 있음)","상태 미선택 → 미수집 간주"),IF(G60="값 있음",IF(COUNTA(C62:C64)=0,"⚠ 값 있음인데 입력값 없음","✓ 정상"),IF(COUNTA(C62:C64)&gt;0,"⚠ 상태와 입력값 불일치","✓ 정상")))</f>
        <v>✓ 정상</v>
      </c>
      <c r="I60" s="54"/>
    </row>
    <row r="61" ht="24.0" customHeight="1">
      <c r="B61" s="60" t="s">
        <v>2236</v>
      </c>
    </row>
    <row r="62" ht="15.75" customHeight="1">
      <c r="B62" s="17" t="s">
        <v>280</v>
      </c>
      <c r="C62" s="42"/>
      <c r="D62" s="40" t="s">
        <v>147</v>
      </c>
      <c r="E62" s="41" t="s">
        <v>2252</v>
      </c>
    </row>
    <row r="63" ht="15.75" customHeight="1">
      <c r="B63" s="17" t="s">
        <v>285</v>
      </c>
      <c r="C63" s="42"/>
      <c r="D63" s="40" t="s">
        <v>130</v>
      </c>
      <c r="E63" s="41" t="s">
        <v>2259</v>
      </c>
    </row>
    <row r="64" ht="15.75" customHeight="1">
      <c r="B64" s="17" t="s">
        <v>265</v>
      </c>
      <c r="C64" s="42"/>
      <c r="D64" s="40" t="s">
        <v>147</v>
      </c>
      <c r="E64" s="50" t="s">
        <v>2267</v>
      </c>
    </row>
    <row r="65" ht="15.75" customHeight="1"/>
    <row r="66" ht="21.75" customHeight="1">
      <c r="A66" s="33" t="s">
        <v>2269</v>
      </c>
      <c r="B66" s="8"/>
      <c r="C66" s="8"/>
      <c r="D66" s="8"/>
      <c r="E66" s="8"/>
      <c r="F66" s="8"/>
      <c r="G66" s="8"/>
      <c r="H66" s="8"/>
      <c r="I66" s="7"/>
    </row>
    <row r="67" ht="21.75" customHeight="1">
      <c r="A67" s="51">
        <v>5.0</v>
      </c>
      <c r="B67" s="75" t="s">
        <v>2287</v>
      </c>
      <c r="C67" s="53"/>
      <c r="D67" s="53"/>
      <c r="E67" s="54"/>
      <c r="F67" s="55" t="s">
        <v>178</v>
      </c>
      <c r="G67" s="71" t="s">
        <v>47</v>
      </c>
      <c r="H67" s="59" t="str">
        <f>IF(G67="",IF(COUNTA(C69:C74)&gt;0,"⚠ 상태 미선택(입력값 있음)","상태 미선택 → 미수집 간주"),IF(G67="값 있음",IF(COUNTA(C69:C74)=0,"⚠ 값 있음인데 입력값 없음","✓ 정상"),IF(COUNTA(C69:C74)&gt;0,"⚠ 상태와 입력값 불일치","✓ 정상")))</f>
        <v>✓ 정상</v>
      </c>
      <c r="I67" s="54"/>
    </row>
    <row r="68" ht="24.0" customHeight="1">
      <c r="B68" s="60" t="s">
        <v>2362</v>
      </c>
    </row>
    <row r="69" ht="15.75" customHeight="1">
      <c r="B69" s="17" t="s">
        <v>310</v>
      </c>
      <c r="C69" s="42" t="s">
        <v>2374</v>
      </c>
      <c r="D69" s="40" t="s">
        <v>130</v>
      </c>
      <c r="E69" s="41" t="s">
        <v>2379</v>
      </c>
    </row>
    <row r="70" ht="15.75" customHeight="1">
      <c r="B70" s="17" t="s">
        <v>2383</v>
      </c>
      <c r="C70" s="42">
        <v>99.0</v>
      </c>
      <c r="D70" s="40" t="s">
        <v>2386</v>
      </c>
      <c r="E70" s="50" t="s">
        <v>2388</v>
      </c>
    </row>
    <row r="71" ht="15.75" customHeight="1">
      <c r="B71" s="17" t="s">
        <v>2394</v>
      </c>
      <c r="C71" s="42">
        <v>100.0</v>
      </c>
      <c r="D71" s="40" t="s">
        <v>2396</v>
      </c>
      <c r="E71" s="50" t="s">
        <v>2397</v>
      </c>
    </row>
    <row r="72" ht="15.75" customHeight="1">
      <c r="B72" s="17" t="s">
        <v>320</v>
      </c>
      <c r="C72" s="42">
        <v>8.1</v>
      </c>
      <c r="D72" s="40" t="s">
        <v>78</v>
      </c>
      <c r="E72" s="41" t="s">
        <v>2404</v>
      </c>
    </row>
    <row r="73" ht="15.75" customHeight="1">
      <c r="B73" s="17" t="s">
        <v>2408</v>
      </c>
      <c r="C73" s="42">
        <v>30.0</v>
      </c>
      <c r="D73" s="40" t="s">
        <v>78</v>
      </c>
      <c r="E73" s="41" t="s">
        <v>323</v>
      </c>
    </row>
    <row r="74" ht="15.75" customHeight="1">
      <c r="B74" s="17" t="s">
        <v>2418</v>
      </c>
      <c r="C74" s="42">
        <v>92.0</v>
      </c>
      <c r="D74" s="40" t="s">
        <v>2419</v>
      </c>
      <c r="E74" s="41"/>
    </row>
    <row r="75" ht="15.75" customHeight="1"/>
    <row r="76" ht="21.75" customHeight="1">
      <c r="A76" s="51">
        <v>6.0</v>
      </c>
      <c r="B76" s="52" t="s">
        <v>2425</v>
      </c>
      <c r="C76" s="53"/>
      <c r="D76" s="53"/>
      <c r="E76" s="54"/>
      <c r="F76" s="55" t="s">
        <v>178</v>
      </c>
      <c r="G76" s="71" t="s">
        <v>47</v>
      </c>
      <c r="H76" s="59" t="str">
        <f>IF(G76="",IF(COUNTA(C78:C81)&gt;0,"⚠ 상태 미선택(입력값 있음)","상태 미선택 → 미수집 간주"),IF(G76="값 있음",IF(COUNTA(C78:C81)=0,"⚠ 값 있음인데 입력값 없음","✓ 정상"),IF(COUNTA(C78:C81)&gt;0,"⚠ 상태와 입력값 불일치","✓ 정상")))</f>
        <v>✓ 정상</v>
      </c>
      <c r="I76" s="54"/>
    </row>
    <row r="77" ht="24.0" customHeight="1">
      <c r="B77" s="60" t="s">
        <v>2470</v>
      </c>
    </row>
    <row r="78" ht="15.75" customHeight="1">
      <c r="B78" s="17" t="s">
        <v>310</v>
      </c>
      <c r="C78" s="42" t="s">
        <v>307</v>
      </c>
      <c r="D78" s="40" t="s">
        <v>130</v>
      </c>
      <c r="E78" s="41" t="s">
        <v>2478</v>
      </c>
    </row>
    <row r="79" ht="15.75" customHeight="1">
      <c r="B79" s="17" t="s">
        <v>2486</v>
      </c>
      <c r="C79" s="42">
        <v>2.0</v>
      </c>
      <c r="D79" s="40" t="s">
        <v>78</v>
      </c>
      <c r="E79" s="41"/>
    </row>
    <row r="80" ht="15.75" customHeight="1">
      <c r="B80" s="17" t="s">
        <v>2489</v>
      </c>
      <c r="C80" s="42">
        <v>1.0</v>
      </c>
      <c r="D80" s="40" t="s">
        <v>78</v>
      </c>
      <c r="E80" s="41"/>
    </row>
    <row r="81" ht="15.75" customHeight="1">
      <c r="B81" s="17" t="s">
        <v>341</v>
      </c>
      <c r="C81" s="69" t="s">
        <v>2495</v>
      </c>
      <c r="D81" s="40" t="s">
        <v>130</v>
      </c>
      <c r="E81" s="41" t="s">
        <v>343</v>
      </c>
    </row>
    <row r="82" ht="15.75" customHeight="1"/>
    <row r="83" ht="21.75" customHeight="1">
      <c r="A83" s="76">
        <v>7.0</v>
      </c>
      <c r="B83" s="77" t="s">
        <v>2505</v>
      </c>
      <c r="C83" s="53"/>
      <c r="D83" s="53"/>
      <c r="E83" s="54"/>
      <c r="F83" s="78" t="s">
        <v>178</v>
      </c>
      <c r="G83" s="71" t="s">
        <v>47</v>
      </c>
      <c r="H83" s="79" t="str">
        <f>IF(G83="",IF(COUNTA(C85:C88)&gt;0,"⚠ 상태 미선택(입력값 있음)","상태 미선택 → 미수집 간주"),IF(G83="값 있음",IF(COUNTA(C85:C88)=0,"⚠ 값 있음인데 입력값 없음","✓ 정상"),IF(COUNTA(C85:C88)&gt;0,"⚠ 상태와 입력값 불일치","✓ 정상")))</f>
        <v>✓ 정상</v>
      </c>
      <c r="I83" s="54"/>
    </row>
    <row r="84" ht="15.0" customHeight="1">
      <c r="B84" s="60" t="s">
        <v>2510</v>
      </c>
    </row>
    <row r="85" ht="15.75" customHeight="1">
      <c r="B85" s="17" t="s">
        <v>310</v>
      </c>
      <c r="C85" s="42" t="s">
        <v>2512</v>
      </c>
      <c r="D85" s="40" t="s">
        <v>130</v>
      </c>
      <c r="E85" s="41" t="s">
        <v>2513</v>
      </c>
    </row>
    <row r="86" ht="15.75" customHeight="1">
      <c r="B86" s="17" t="s">
        <v>356</v>
      </c>
      <c r="C86" s="42">
        <v>3.0</v>
      </c>
      <c r="D86" s="40" t="s">
        <v>78</v>
      </c>
      <c r="E86" s="41"/>
    </row>
    <row r="87" ht="15.75" customHeight="1">
      <c r="B87" s="17" t="s">
        <v>360</v>
      </c>
      <c r="C87" s="42">
        <v>9.0</v>
      </c>
      <c r="D87" s="40" t="s">
        <v>78</v>
      </c>
      <c r="E87" s="41"/>
    </row>
    <row r="88" ht="15.75" customHeight="1">
      <c r="B88" s="17" t="s">
        <v>361</v>
      </c>
      <c r="C88" s="42">
        <v>4.0</v>
      </c>
      <c r="D88" s="40" t="s">
        <v>78</v>
      </c>
      <c r="E88" s="41"/>
    </row>
    <row r="89" ht="15.75" customHeight="1"/>
    <row r="90" ht="21.75" customHeight="1">
      <c r="A90" s="33" t="s">
        <v>2514</v>
      </c>
      <c r="B90" s="8"/>
      <c r="C90" s="8"/>
      <c r="D90" s="8"/>
      <c r="E90" s="8"/>
      <c r="F90" s="8"/>
      <c r="G90" s="8"/>
      <c r="H90" s="8"/>
      <c r="I90" s="7"/>
    </row>
    <row r="91" ht="21.75" customHeight="1">
      <c r="A91" s="51">
        <v>8.0</v>
      </c>
      <c r="B91" s="52" t="s">
        <v>2515</v>
      </c>
      <c r="C91" s="53"/>
      <c r="D91" s="53"/>
      <c r="E91" s="54"/>
      <c r="F91" s="55" t="s">
        <v>178</v>
      </c>
      <c r="G91" s="71" t="s">
        <v>49</v>
      </c>
      <c r="H91" s="59" t="str">
        <f>IF(G91="",IF(COUNTA(B95:H98)&gt;0,"⚠ 상태 미선택(입력값 있음)","상태 미선택 → 미수집 간주"),IF(G91="값 있음",IF(COUNTA(B95:H98)=0,"⚠ 값 있음인데 입력값 없음","✓ 정상"),IF(COUNTA(B95:H98)&gt;0,"⚠ 상태와 입력값 불일치","✓ 정상")))</f>
        <v>✓ 정상</v>
      </c>
      <c r="I91" s="54"/>
    </row>
    <row r="92" ht="24.0" customHeight="1">
      <c r="B92" s="60" t="s">
        <v>2516</v>
      </c>
    </row>
    <row r="93" ht="15.75" customHeight="1">
      <c r="A93" s="62" t="s">
        <v>24</v>
      </c>
      <c r="B93" s="13" t="s">
        <v>377</v>
      </c>
      <c r="C93" s="13" t="s">
        <v>2517</v>
      </c>
      <c r="D93" s="13" t="s">
        <v>379</v>
      </c>
      <c r="E93" s="13" t="s">
        <v>380</v>
      </c>
      <c r="F93" s="13" t="s">
        <v>381</v>
      </c>
      <c r="G93" s="13" t="s">
        <v>2518</v>
      </c>
      <c r="H93" s="13" t="s">
        <v>383</v>
      </c>
    </row>
    <row r="94" ht="25.5" customHeight="1">
      <c r="A94" s="63" t="s">
        <v>111</v>
      </c>
      <c r="B94" s="64" t="s">
        <v>2519</v>
      </c>
      <c r="C94" s="63" t="s">
        <v>2520</v>
      </c>
      <c r="D94" s="63" t="s">
        <v>130</v>
      </c>
      <c r="E94" s="64" t="s">
        <v>158</v>
      </c>
      <c r="F94" s="64" t="s">
        <v>2521</v>
      </c>
      <c r="G94" s="63" t="s">
        <v>78</v>
      </c>
      <c r="H94" s="63" t="s">
        <v>130</v>
      </c>
    </row>
    <row r="95" ht="15.75" customHeight="1">
      <c r="A95" s="65">
        <v>1.0</v>
      </c>
      <c r="B95" s="42"/>
      <c r="C95" s="42"/>
      <c r="D95" s="42"/>
      <c r="E95" s="39"/>
      <c r="F95" s="39"/>
      <c r="G95" s="42"/>
      <c r="H95" s="42"/>
    </row>
    <row r="96" ht="15.75" customHeight="1">
      <c r="A96" s="65">
        <v>2.0</v>
      </c>
      <c r="B96" s="42"/>
      <c r="C96" s="42"/>
      <c r="D96" s="42"/>
      <c r="E96" s="39"/>
      <c r="F96" s="39"/>
      <c r="G96" s="42"/>
      <c r="H96" s="42"/>
    </row>
    <row r="97" ht="15.75" customHeight="1">
      <c r="A97" s="65">
        <v>3.0</v>
      </c>
      <c r="B97" s="42"/>
      <c r="C97" s="42"/>
      <c r="D97" s="42"/>
      <c r="E97" s="39"/>
      <c r="F97" s="39"/>
      <c r="G97" s="42"/>
      <c r="H97" s="42"/>
    </row>
    <row r="98" ht="15.75" customHeight="1">
      <c r="A98" s="65">
        <v>4.0</v>
      </c>
      <c r="B98" s="42"/>
      <c r="C98" s="42"/>
      <c r="D98" s="42"/>
      <c r="E98" s="39"/>
      <c r="F98" s="39"/>
      <c r="G98" s="42"/>
      <c r="H98" s="42"/>
    </row>
    <row r="99" ht="15.75" customHeight="1"/>
    <row r="100" ht="21.75" customHeight="1">
      <c r="A100" s="51">
        <v>9.0</v>
      </c>
      <c r="B100" s="52" t="s">
        <v>2524</v>
      </c>
      <c r="C100" s="53"/>
      <c r="D100" s="53"/>
      <c r="E100" s="54"/>
      <c r="F100" s="55" t="s">
        <v>178</v>
      </c>
      <c r="G100" s="71" t="s">
        <v>49</v>
      </c>
      <c r="H100" s="59" t="str">
        <f>IF(G100="",IF(COUNTA(B104:G106)&gt;0,"⚠ 상태 미선택(입력값 있음)","상태 미선택 → 미수집 간주"),IF(G100="값 있음",IF(COUNTA(B104:G106)=0,"⚠ 값 있음인데 입력값 없음","✓ 정상"),IF(COUNTA(B104:G106)&gt;0,"⚠ 상태와 입력값 불일치","✓ 정상")))</f>
        <v>✓ 정상</v>
      </c>
      <c r="I100" s="54"/>
    </row>
    <row r="101" ht="24.0" customHeight="1">
      <c r="B101" s="60" t="s">
        <v>2525</v>
      </c>
    </row>
    <row r="102" ht="15.75" customHeight="1">
      <c r="A102" s="62" t="s">
        <v>24</v>
      </c>
      <c r="B102" s="13" t="s">
        <v>400</v>
      </c>
      <c r="C102" s="13" t="s">
        <v>401</v>
      </c>
      <c r="D102" s="13" t="s">
        <v>402</v>
      </c>
      <c r="E102" s="13" t="s">
        <v>403</v>
      </c>
      <c r="F102" s="13" t="s">
        <v>404</v>
      </c>
      <c r="G102" s="13" t="s">
        <v>2526</v>
      </c>
    </row>
    <row r="103" ht="37.5" customHeight="1">
      <c r="A103" s="63" t="s">
        <v>111</v>
      </c>
      <c r="B103" s="64" t="s">
        <v>2527</v>
      </c>
      <c r="C103" s="63" t="s">
        <v>130</v>
      </c>
      <c r="D103" s="64" t="s">
        <v>2528</v>
      </c>
      <c r="E103" s="64" t="s">
        <v>2529</v>
      </c>
      <c r="F103" s="64" t="s">
        <v>2530</v>
      </c>
      <c r="G103" s="64" t="s">
        <v>158</v>
      </c>
    </row>
    <row r="104" ht="15.75" customHeight="1">
      <c r="A104" s="65">
        <v>1.0</v>
      </c>
      <c r="B104" s="42"/>
      <c r="C104" s="42"/>
      <c r="D104" s="42"/>
      <c r="E104" s="42"/>
      <c r="F104" s="42"/>
      <c r="G104" s="39"/>
    </row>
    <row r="105" ht="15.75" customHeight="1">
      <c r="A105" s="65">
        <v>2.0</v>
      </c>
      <c r="B105" s="42"/>
      <c r="C105" s="42"/>
      <c r="D105" s="42"/>
      <c r="E105" s="42"/>
      <c r="F105" s="42"/>
      <c r="G105" s="39"/>
    </row>
    <row r="106" ht="15.75" customHeight="1">
      <c r="A106" s="65">
        <v>3.0</v>
      </c>
      <c r="B106" s="42"/>
      <c r="C106" s="42"/>
      <c r="D106" s="42"/>
      <c r="E106" s="42"/>
      <c r="F106" s="42"/>
      <c r="G106" s="39"/>
    </row>
    <row r="107" ht="15.75" customHeight="1"/>
    <row r="108" ht="21.75" customHeight="1">
      <c r="A108" s="70">
        <v>10.0</v>
      </c>
      <c r="B108" s="80" t="s">
        <v>2531</v>
      </c>
      <c r="C108" s="53"/>
      <c r="D108" s="53"/>
      <c r="E108" s="54"/>
      <c r="F108" s="73" t="s">
        <v>178</v>
      </c>
      <c r="G108" s="71" t="s">
        <v>49</v>
      </c>
      <c r="H108" s="74" t="str">
        <f>IF(G108="",IF(COUNTA(B112:E114)&gt;0,"⚠ 상태 미선택(입력값 있음)","상태 미선택 → 미수집 간주"),IF(G108="값 있음",IF(COUNTA(B112:E114)=0,"⚠ 값 있음인데 입력값 없음","✓ 정상"),IF(COUNTA(B112:E114)&gt;0,"⚠ 상태와 입력값 불일치","✓ 정상")))</f>
        <v>✓ 정상</v>
      </c>
      <c r="I108" s="54"/>
    </row>
    <row r="109" ht="24.0" customHeight="1">
      <c r="B109" s="60" t="s">
        <v>2532</v>
      </c>
    </row>
    <row r="110" ht="15.75" customHeight="1">
      <c r="A110" s="62" t="s">
        <v>24</v>
      </c>
      <c r="B110" s="13" t="s">
        <v>215</v>
      </c>
      <c r="C110" s="13" t="s">
        <v>193</v>
      </c>
      <c r="D110" s="13" t="s">
        <v>2533</v>
      </c>
      <c r="E110" s="13" t="s">
        <v>430</v>
      </c>
    </row>
    <row r="111" ht="25.5" customHeight="1">
      <c r="A111" s="63" t="s">
        <v>111</v>
      </c>
      <c r="B111" s="63" t="s">
        <v>130</v>
      </c>
      <c r="C111" s="64" t="s">
        <v>2534</v>
      </c>
      <c r="D111" s="63" t="s">
        <v>78</v>
      </c>
      <c r="E111" s="63" t="s">
        <v>130</v>
      </c>
    </row>
    <row r="112" ht="15.75" customHeight="1">
      <c r="A112" s="65">
        <v>1.0</v>
      </c>
      <c r="B112" s="42"/>
      <c r="C112" s="39"/>
      <c r="D112" s="42"/>
      <c r="E112" s="42"/>
    </row>
    <row r="113" ht="15.75" customHeight="1">
      <c r="A113" s="65">
        <v>2.0</v>
      </c>
      <c r="B113" s="42"/>
      <c r="C113" s="39"/>
      <c r="D113" s="42"/>
      <c r="E113" s="42"/>
    </row>
    <row r="114" ht="15.75" customHeight="1">
      <c r="A114" s="65">
        <v>3.0</v>
      </c>
      <c r="B114" s="42"/>
      <c r="C114" s="39"/>
      <c r="D114" s="42"/>
      <c r="E114" s="42"/>
    </row>
    <row r="115" ht="15.75" customHeight="1"/>
    <row r="116" ht="21.75" customHeight="1">
      <c r="A116" s="33" t="s">
        <v>2535</v>
      </c>
      <c r="B116" s="8"/>
      <c r="C116" s="8"/>
      <c r="D116" s="8"/>
      <c r="E116" s="8"/>
      <c r="F116" s="8"/>
      <c r="G116" s="8"/>
      <c r="H116" s="8"/>
      <c r="I116" s="7"/>
    </row>
    <row r="117" ht="21.75" customHeight="1">
      <c r="A117" s="51">
        <v>11.0</v>
      </c>
      <c r="B117" s="52" t="s">
        <v>2536</v>
      </c>
      <c r="C117" s="53"/>
      <c r="D117" s="53"/>
      <c r="E117" s="54"/>
      <c r="F117" s="55" t="s">
        <v>178</v>
      </c>
      <c r="G117" s="71" t="s">
        <v>49</v>
      </c>
      <c r="H117" s="59" t="str">
        <f>IF(G117="",IF(COUNTA(B121:I123)&gt;0,"⚠ 상태 미선택(입력값 있음)","상태 미선택 → 미수집 간주"),IF(G117="값 있음",IF(COUNTA(B121:I123)=0,"⚠ 값 있음인데 입력값 없음","✓ 정상"),IF(COUNTA(B121:I123)&gt;0,"⚠ 상태와 입력값 불일치","✓ 정상")))</f>
        <v>✓ 정상</v>
      </c>
      <c r="I117" s="54"/>
    </row>
    <row r="118" ht="24.0" customHeight="1">
      <c r="B118" s="60" t="s">
        <v>2537</v>
      </c>
    </row>
    <row r="119" ht="15.75" customHeight="1">
      <c r="A119" s="62" t="s">
        <v>24</v>
      </c>
      <c r="B119" s="13" t="s">
        <v>400</v>
      </c>
      <c r="C119" s="13" t="s">
        <v>450</v>
      </c>
      <c r="D119" s="13" t="s">
        <v>2538</v>
      </c>
      <c r="E119" s="13" t="s">
        <v>380</v>
      </c>
      <c r="F119" s="13" t="s">
        <v>381</v>
      </c>
      <c r="G119" s="13" t="s">
        <v>2539</v>
      </c>
      <c r="H119" s="13" t="s">
        <v>454</v>
      </c>
      <c r="I119" s="62" t="s">
        <v>2540</v>
      </c>
    </row>
    <row r="120" ht="25.5" customHeight="1">
      <c r="A120" s="63" t="s">
        <v>111</v>
      </c>
      <c r="B120" s="64" t="s">
        <v>2541</v>
      </c>
      <c r="C120" s="63" t="s">
        <v>130</v>
      </c>
      <c r="D120" s="63" t="s">
        <v>130</v>
      </c>
      <c r="E120" s="64" t="s">
        <v>158</v>
      </c>
      <c r="F120" s="64" t="s">
        <v>158</v>
      </c>
      <c r="G120" s="63" t="s">
        <v>78</v>
      </c>
      <c r="H120" s="64" t="s">
        <v>2542</v>
      </c>
      <c r="I120" s="64" t="s">
        <v>462</v>
      </c>
    </row>
    <row r="121" ht="15.75" customHeight="1">
      <c r="A121" s="65">
        <v>1.0</v>
      </c>
      <c r="B121" s="42"/>
      <c r="C121" s="42"/>
      <c r="D121" s="42"/>
      <c r="E121" s="39"/>
      <c r="F121" s="39"/>
      <c r="G121" s="42"/>
      <c r="H121" s="42"/>
      <c r="I121" s="42"/>
    </row>
    <row r="122" ht="15.75" customHeight="1">
      <c r="A122" s="65">
        <v>2.0</v>
      </c>
      <c r="B122" s="42"/>
      <c r="C122" s="42"/>
      <c r="D122" s="42"/>
      <c r="E122" s="39"/>
      <c r="F122" s="39"/>
      <c r="G122" s="42"/>
      <c r="H122" s="42"/>
      <c r="I122" s="42"/>
    </row>
    <row r="123" ht="15.75" customHeight="1">
      <c r="A123" s="65">
        <v>3.0</v>
      </c>
      <c r="B123" s="42"/>
      <c r="C123" s="42"/>
      <c r="D123" s="42"/>
      <c r="E123" s="39"/>
      <c r="F123" s="39"/>
      <c r="G123" s="42"/>
      <c r="H123" s="42"/>
      <c r="I123" s="42"/>
    </row>
    <row r="124" ht="15.75" customHeight="1"/>
    <row r="125" ht="21.75" customHeight="1">
      <c r="A125" s="51">
        <v>12.0</v>
      </c>
      <c r="B125" s="52" t="s">
        <v>330</v>
      </c>
      <c r="C125" s="53"/>
      <c r="D125" s="53"/>
      <c r="E125" s="54"/>
      <c r="F125" s="55" t="s">
        <v>178</v>
      </c>
      <c r="G125" s="71" t="s">
        <v>49</v>
      </c>
      <c r="H125" s="59" t="str">
        <f>IF(G125="",IF(COUNTA(B129:F131)&gt;0,"⚠ 상태 미선택(입력값 있음)","상태 미선택 → 미수집 간주"),IF(G125="값 있음",IF(COUNTA(B129:F131)=0,"⚠ 값 있음인데 입력값 없음","✓ 정상"),IF(COUNTA(B129:F131)&gt;0,"⚠ 상태와 입력값 불일치","✓ 정상")))</f>
        <v>✓ 정상</v>
      </c>
      <c r="I125" s="54"/>
    </row>
    <row r="126" ht="24.0" customHeight="1">
      <c r="B126" s="60" t="s">
        <v>2543</v>
      </c>
    </row>
    <row r="127" ht="15.75" customHeight="1">
      <c r="A127" s="62" t="s">
        <v>24</v>
      </c>
      <c r="B127" s="13" t="s">
        <v>480</v>
      </c>
      <c r="C127" s="13" t="s">
        <v>482</v>
      </c>
      <c r="D127" s="13" t="s">
        <v>2544</v>
      </c>
      <c r="E127" s="13" t="s">
        <v>486</v>
      </c>
      <c r="F127" s="13" t="s">
        <v>487</v>
      </c>
    </row>
    <row r="128" ht="25.5" customHeight="1">
      <c r="A128" s="63" t="s">
        <v>111</v>
      </c>
      <c r="B128" s="63" t="s">
        <v>130</v>
      </c>
      <c r="C128" s="63" t="s">
        <v>130</v>
      </c>
      <c r="D128" s="63" t="s">
        <v>78</v>
      </c>
      <c r="E128" s="63" t="s">
        <v>78</v>
      </c>
      <c r="F128" s="64" t="s">
        <v>2545</v>
      </c>
    </row>
    <row r="129" ht="15.75" customHeight="1">
      <c r="A129" s="65">
        <v>1.0</v>
      </c>
      <c r="B129" s="42"/>
      <c r="C129" s="42"/>
      <c r="D129" s="42"/>
      <c r="E129" s="42"/>
      <c r="F129" s="42"/>
    </row>
    <row r="130" ht="15.75" customHeight="1">
      <c r="A130" s="65">
        <v>2.0</v>
      </c>
      <c r="B130" s="42"/>
      <c r="C130" s="42"/>
      <c r="D130" s="42"/>
      <c r="E130" s="42"/>
      <c r="F130" s="42"/>
    </row>
    <row r="131" ht="15.75" customHeight="1">
      <c r="A131" s="65">
        <v>3.0</v>
      </c>
      <c r="B131" s="42"/>
      <c r="C131" s="42"/>
      <c r="D131" s="42"/>
      <c r="E131" s="42"/>
      <c r="F131" s="42"/>
    </row>
    <row r="132" ht="15.75" customHeight="1"/>
    <row r="133" ht="21.75" customHeight="1">
      <c r="A133" s="76">
        <v>13.0</v>
      </c>
      <c r="B133" s="77" t="s">
        <v>2546</v>
      </c>
      <c r="C133" s="53"/>
      <c r="D133" s="53"/>
      <c r="E133" s="54"/>
      <c r="F133" s="78" t="s">
        <v>178</v>
      </c>
      <c r="G133" s="71" t="s">
        <v>47</v>
      </c>
      <c r="H133" s="79" t="str">
        <f>IF(G133="",IF(COUNTA(C135:C138)&gt;0,"⚠ 상태 미선택(입력값 있음)","상태 미선택 → 미수집 간주"),IF(G133="값 있음",IF(COUNTA(C135:C138)=0,"⚠ 값 있음인데 입력값 없음","✓ 정상"),IF(COUNTA(C135:C138)&gt;0,"⚠ 상태와 입력값 불일치","✓ 정상")))</f>
        <v>✓ 정상</v>
      </c>
      <c r="I133" s="54"/>
    </row>
    <row r="134" ht="24.0" customHeight="1">
      <c r="B134" s="60" t="s">
        <v>2547</v>
      </c>
    </row>
    <row r="135" ht="15.75" customHeight="1">
      <c r="B135" s="17" t="s">
        <v>2548</v>
      </c>
      <c r="C135" s="42">
        <v>2.0</v>
      </c>
      <c r="D135" s="40" t="s">
        <v>78</v>
      </c>
      <c r="E135" s="41"/>
    </row>
    <row r="136" ht="15.75" customHeight="1">
      <c r="B136" s="17" t="s">
        <v>521</v>
      </c>
      <c r="C136" s="42" t="s">
        <v>249</v>
      </c>
      <c r="D136" s="40" t="s">
        <v>147</v>
      </c>
      <c r="E136" s="50" t="s">
        <v>462</v>
      </c>
    </row>
    <row r="137" ht="15.75" customHeight="1">
      <c r="B137" s="17" t="s">
        <v>2549</v>
      </c>
      <c r="C137" s="69" t="s">
        <v>2550</v>
      </c>
      <c r="D137" s="40" t="s">
        <v>130</v>
      </c>
      <c r="E137" s="41"/>
    </row>
    <row r="138" ht="30.0" customHeight="1">
      <c r="B138" s="17" t="s">
        <v>524</v>
      </c>
      <c r="C138" s="69" t="s">
        <v>2551</v>
      </c>
      <c r="D138" s="40" t="s">
        <v>525</v>
      </c>
      <c r="E138" s="50" t="s">
        <v>2552</v>
      </c>
    </row>
    <row r="139" ht="15.75" customHeight="1"/>
    <row r="140" ht="21.75" customHeight="1">
      <c r="A140" s="33" t="s">
        <v>2553</v>
      </c>
      <c r="B140" s="8"/>
      <c r="C140" s="8"/>
      <c r="D140" s="8"/>
      <c r="E140" s="8"/>
      <c r="F140" s="8"/>
      <c r="G140" s="8"/>
      <c r="H140" s="8"/>
      <c r="I140" s="7"/>
    </row>
    <row r="141" ht="21.75" customHeight="1">
      <c r="A141" s="51">
        <v>14.0</v>
      </c>
      <c r="B141" s="52" t="s">
        <v>2554</v>
      </c>
      <c r="C141" s="53"/>
      <c r="D141" s="53"/>
      <c r="E141" s="54"/>
      <c r="F141" s="55" t="s">
        <v>178</v>
      </c>
      <c r="G141" s="71" t="s">
        <v>49</v>
      </c>
      <c r="H141" s="59" t="str">
        <f>IF(G141="",IF(COUNTA(B145:H149)&gt;0,"⚠ 상태 미선택(입력값 있음)","상태 미선택 → 미수집 간주"),IF(G141="값 있음",IF(COUNTA(B145:H149)=0,"⚠ 값 있음인데 입력값 없음","✓ 정상"),IF(COUNTA(B145:H149)&gt;0,"⚠ 상태와 입력값 불일치","✓ 정상")))</f>
        <v>✓ 정상</v>
      </c>
      <c r="I141" s="54"/>
    </row>
    <row r="142" ht="24.0" customHeight="1">
      <c r="B142" s="60" t="s">
        <v>2555</v>
      </c>
    </row>
    <row r="143" ht="15.75" customHeight="1">
      <c r="A143" s="62" t="s">
        <v>24</v>
      </c>
      <c r="B143" s="13" t="s">
        <v>552</v>
      </c>
      <c r="C143" s="13" t="s">
        <v>553</v>
      </c>
      <c r="D143" s="13" t="s">
        <v>554</v>
      </c>
      <c r="E143" s="13" t="s">
        <v>555</v>
      </c>
      <c r="F143" s="13" t="s">
        <v>556</v>
      </c>
      <c r="G143" s="13" t="s">
        <v>557</v>
      </c>
      <c r="H143" s="13" t="s">
        <v>558</v>
      </c>
    </row>
    <row r="144" ht="25.5" customHeight="1">
      <c r="A144" s="63" t="s">
        <v>111</v>
      </c>
      <c r="B144" s="63" t="s">
        <v>130</v>
      </c>
      <c r="C144" s="63" t="s">
        <v>130</v>
      </c>
      <c r="D144" s="64" t="s">
        <v>2556</v>
      </c>
      <c r="E144" s="64" t="s">
        <v>2557</v>
      </c>
      <c r="F144" s="64" t="s">
        <v>2558</v>
      </c>
      <c r="G144" s="63" t="s">
        <v>130</v>
      </c>
      <c r="H144" s="64" t="s">
        <v>158</v>
      </c>
    </row>
    <row r="145" ht="15.75" customHeight="1">
      <c r="A145" s="65">
        <v>1.0</v>
      </c>
      <c r="B145" s="42"/>
      <c r="C145" s="42"/>
      <c r="D145" s="42"/>
      <c r="E145" s="42"/>
      <c r="F145" s="42"/>
      <c r="G145" s="42"/>
      <c r="H145" s="39"/>
    </row>
    <row r="146" ht="15.75" customHeight="1">
      <c r="A146" s="65">
        <v>2.0</v>
      </c>
      <c r="B146" s="42"/>
      <c r="C146" s="42"/>
      <c r="D146" s="42"/>
      <c r="E146" s="42"/>
      <c r="F146" s="42"/>
      <c r="G146" s="42"/>
      <c r="H146" s="39"/>
    </row>
    <row r="147" ht="15.75" customHeight="1">
      <c r="A147" s="65">
        <v>3.0</v>
      </c>
      <c r="B147" s="42"/>
      <c r="C147" s="42"/>
      <c r="D147" s="42"/>
      <c r="E147" s="42"/>
      <c r="F147" s="42"/>
      <c r="G147" s="42"/>
      <c r="H147" s="39"/>
    </row>
    <row r="148" ht="15.75" customHeight="1">
      <c r="A148" s="65">
        <v>4.0</v>
      </c>
      <c r="B148" s="42"/>
      <c r="C148" s="42"/>
      <c r="D148" s="42"/>
      <c r="E148" s="42"/>
      <c r="F148" s="42"/>
      <c r="G148" s="42"/>
      <c r="H148" s="39"/>
    </row>
    <row r="149" ht="15.75" customHeight="1">
      <c r="A149" s="65">
        <v>5.0</v>
      </c>
      <c r="B149" s="42"/>
      <c r="C149" s="42"/>
      <c r="D149" s="42"/>
      <c r="E149" s="42"/>
      <c r="F149" s="42"/>
      <c r="G149" s="42"/>
      <c r="H149" s="39"/>
    </row>
    <row r="150" ht="15.75" customHeight="1"/>
    <row r="151" ht="21.75" customHeight="1">
      <c r="A151" s="51">
        <v>15.0</v>
      </c>
      <c r="B151" s="52" t="s">
        <v>374</v>
      </c>
      <c r="C151" s="53"/>
      <c r="D151" s="53"/>
      <c r="E151" s="54"/>
      <c r="F151" s="55" t="s">
        <v>178</v>
      </c>
      <c r="G151" s="71" t="s">
        <v>49</v>
      </c>
      <c r="H151" s="59" t="str">
        <f>IF(G151="",IF(COUNTA(B155:E156)&gt;0,"⚠ 상태 미선택(입력값 있음)","상태 미선택 → 미수집 간주"),IF(G151="값 있음",IF(COUNTA(B155:E156)=0,"⚠ 값 있음인데 입력값 없음","✓ 정상"),IF(COUNTA(B155:E156)&gt;0,"⚠ 상태와 입력값 불일치","✓ 정상")))</f>
        <v>✓ 정상</v>
      </c>
      <c r="I151" s="54"/>
    </row>
    <row r="152" ht="15.0" customHeight="1">
      <c r="B152" s="60" t="s">
        <v>2559</v>
      </c>
    </row>
    <row r="153" ht="15.75" customHeight="1">
      <c r="A153" s="62" t="s">
        <v>24</v>
      </c>
      <c r="B153" s="13" t="s">
        <v>400</v>
      </c>
      <c r="C153" s="13" t="s">
        <v>2560</v>
      </c>
      <c r="D153" s="13" t="s">
        <v>555</v>
      </c>
      <c r="E153" s="13" t="s">
        <v>558</v>
      </c>
    </row>
    <row r="154" ht="25.5" customHeight="1">
      <c r="A154" s="63" t="s">
        <v>111</v>
      </c>
      <c r="B154" s="64" t="s">
        <v>2561</v>
      </c>
      <c r="C154" s="63" t="s">
        <v>130</v>
      </c>
      <c r="D154" s="63" t="s">
        <v>130</v>
      </c>
      <c r="E154" s="64" t="s">
        <v>158</v>
      </c>
    </row>
    <row r="155" ht="15.75" customHeight="1">
      <c r="A155" s="65">
        <v>1.0</v>
      </c>
      <c r="B155" s="42"/>
      <c r="C155" s="42"/>
      <c r="D155" s="42"/>
      <c r="E155" s="39"/>
    </row>
    <row r="156" ht="15.75" customHeight="1">
      <c r="A156" s="65">
        <v>2.0</v>
      </c>
      <c r="B156" s="42"/>
      <c r="C156" s="42"/>
      <c r="D156" s="42"/>
      <c r="E156" s="39"/>
    </row>
    <row r="157" ht="15.75" customHeight="1"/>
    <row r="158" ht="21.75" customHeight="1">
      <c r="A158" s="70">
        <v>16.0</v>
      </c>
      <c r="B158" s="72" t="s">
        <v>2562</v>
      </c>
      <c r="C158" s="53"/>
      <c r="D158" s="53"/>
      <c r="E158" s="54"/>
      <c r="F158" s="73" t="s">
        <v>178</v>
      </c>
      <c r="G158" s="71" t="s">
        <v>49</v>
      </c>
      <c r="H158" s="74" t="str">
        <f>IF(G158="",IF(COUNTA(B162:G163)&gt;0,"⚠ 상태 미선택(입력값 있음)","상태 미선택 → 미수집 간주"),IF(G158="값 있음",IF(COUNTA(B162:G163)=0,"⚠ 값 있음인데 입력값 없음","✓ 정상"),IF(COUNTA(B162:G163)&gt;0,"⚠ 상태와 입력값 불일치","✓ 정상")))</f>
        <v>✓ 정상</v>
      </c>
      <c r="I158" s="54"/>
    </row>
    <row r="159" ht="24.0" customHeight="1">
      <c r="B159" s="60" t="s">
        <v>2563</v>
      </c>
    </row>
    <row r="160" ht="15.75" customHeight="1">
      <c r="A160" s="62" t="s">
        <v>24</v>
      </c>
      <c r="B160" s="13" t="s">
        <v>400</v>
      </c>
      <c r="C160" s="13" t="s">
        <v>608</v>
      </c>
      <c r="D160" s="13" t="s">
        <v>403</v>
      </c>
      <c r="E160" s="13" t="s">
        <v>2564</v>
      </c>
      <c r="F160" s="13" t="s">
        <v>558</v>
      </c>
      <c r="G160" s="13" t="s">
        <v>613</v>
      </c>
    </row>
    <row r="161" ht="25.5" customHeight="1">
      <c r="A161" s="63" t="s">
        <v>111</v>
      </c>
      <c r="B161" s="64" t="s">
        <v>2565</v>
      </c>
      <c r="C161" s="63" t="s">
        <v>130</v>
      </c>
      <c r="D161" s="64" t="s">
        <v>2566</v>
      </c>
      <c r="E161" s="63" t="s">
        <v>130</v>
      </c>
      <c r="F161" s="64" t="s">
        <v>158</v>
      </c>
      <c r="G161" s="64" t="s">
        <v>2567</v>
      </c>
    </row>
    <row r="162" ht="15.75" customHeight="1">
      <c r="A162" s="65">
        <v>1.0</v>
      </c>
      <c r="B162" s="42"/>
      <c r="C162" s="42"/>
      <c r="D162" s="42"/>
      <c r="E162" s="42"/>
      <c r="F162" s="39"/>
      <c r="G162" s="42"/>
    </row>
    <row r="163" ht="15.75" customHeight="1">
      <c r="A163" s="65">
        <v>2.0</v>
      </c>
      <c r="B163" s="42"/>
      <c r="C163" s="42"/>
      <c r="D163" s="42"/>
      <c r="E163" s="42"/>
      <c r="F163" s="39"/>
      <c r="G163" s="42"/>
    </row>
    <row r="164" ht="15.75" customHeight="1"/>
    <row r="165" ht="21.75" customHeight="1">
      <c r="A165" s="33" t="s">
        <v>620</v>
      </c>
      <c r="B165" s="8"/>
      <c r="C165" s="8"/>
      <c r="D165" s="8"/>
      <c r="E165" s="8"/>
      <c r="F165" s="8"/>
      <c r="G165" s="8"/>
      <c r="H165" s="8"/>
      <c r="I165" s="7"/>
    </row>
    <row r="166" ht="21.75" customHeight="1">
      <c r="A166" s="51">
        <v>17.0</v>
      </c>
      <c r="B166" s="52" t="s">
        <v>2568</v>
      </c>
      <c r="C166" s="53"/>
      <c r="D166" s="53"/>
      <c r="E166" s="54"/>
      <c r="F166" s="55" t="s">
        <v>178</v>
      </c>
      <c r="G166" s="71" t="s">
        <v>47</v>
      </c>
      <c r="H166" s="59" t="str">
        <f>IF(G166="",IF(COUNTA(B170:G172)&gt;0,"⚠ 상태 미선택(입력값 있음)","상태 미선택 → 미수집 간주"),IF(G166="값 있음",IF(COUNTA(B170:G172)=0,"⚠ 값 있음인데 입력값 없음","✓ 정상"),IF(COUNTA(B170:G172)&gt;0,"⚠ 상태와 입력값 불일치","✓ 정상")))</f>
        <v>✓ 정상</v>
      </c>
      <c r="I166" s="54"/>
    </row>
    <row r="167" ht="24.0" customHeight="1">
      <c r="B167" s="60" t="s">
        <v>2569</v>
      </c>
    </row>
    <row r="168" ht="15.75" customHeight="1">
      <c r="A168" s="62" t="s">
        <v>24</v>
      </c>
      <c r="B168" s="13" t="s">
        <v>400</v>
      </c>
      <c r="C168" s="13" t="s">
        <v>633</v>
      </c>
      <c r="D168" s="13" t="s">
        <v>2570</v>
      </c>
      <c r="E168" s="13" t="s">
        <v>2571</v>
      </c>
      <c r="F168" s="13" t="s">
        <v>639</v>
      </c>
      <c r="G168" s="62" t="s">
        <v>2572</v>
      </c>
    </row>
    <row r="169" ht="37.5" customHeight="1">
      <c r="A169" s="63" t="s">
        <v>111</v>
      </c>
      <c r="B169" s="64" t="s">
        <v>2573</v>
      </c>
      <c r="C169" s="63" t="s">
        <v>130</v>
      </c>
      <c r="D169" s="63" t="s">
        <v>130</v>
      </c>
      <c r="E169" s="63" t="s">
        <v>78</v>
      </c>
      <c r="F169" s="64" t="s">
        <v>158</v>
      </c>
      <c r="G169" s="64" t="s">
        <v>462</v>
      </c>
    </row>
    <row r="170" ht="15.75" customHeight="1">
      <c r="A170" s="65">
        <v>1.0</v>
      </c>
      <c r="B170" s="69" t="s">
        <v>2574</v>
      </c>
      <c r="C170" s="69" t="s">
        <v>2575</v>
      </c>
      <c r="D170" s="69" t="s">
        <v>2576</v>
      </c>
      <c r="E170" s="42">
        <v>24.0</v>
      </c>
      <c r="F170" s="39" t="s">
        <v>241</v>
      </c>
      <c r="G170" s="42" t="s">
        <v>1189</v>
      </c>
    </row>
    <row r="171" ht="15.75" customHeight="1">
      <c r="A171" s="65">
        <v>2.0</v>
      </c>
      <c r="B171" s="69" t="s">
        <v>2577</v>
      </c>
      <c r="C171" s="69" t="s">
        <v>2578</v>
      </c>
      <c r="D171" s="69" t="s">
        <v>2579</v>
      </c>
      <c r="E171" s="42">
        <v>3.0</v>
      </c>
      <c r="F171" s="39" t="s">
        <v>768</v>
      </c>
      <c r="G171" s="42" t="s">
        <v>1189</v>
      </c>
    </row>
    <row r="172" ht="15.75" customHeight="1">
      <c r="A172" s="65">
        <v>3.0</v>
      </c>
      <c r="B172" s="69" t="s">
        <v>2580</v>
      </c>
      <c r="C172" s="69" t="s">
        <v>2581</v>
      </c>
      <c r="D172" s="69" t="s">
        <v>2582</v>
      </c>
      <c r="E172" s="42">
        <v>2.0</v>
      </c>
      <c r="F172" s="39" t="s">
        <v>847</v>
      </c>
      <c r="G172" s="42" t="s">
        <v>1189</v>
      </c>
    </row>
    <row r="173" ht="15.75" customHeight="1"/>
    <row r="174" ht="21.75" customHeight="1">
      <c r="A174" s="70">
        <v>18.0</v>
      </c>
      <c r="B174" s="72" t="s">
        <v>431</v>
      </c>
      <c r="C174" s="53"/>
      <c r="D174" s="53"/>
      <c r="E174" s="54"/>
      <c r="F174" s="73" t="s">
        <v>178</v>
      </c>
      <c r="G174" s="71" t="s">
        <v>47</v>
      </c>
      <c r="H174" s="74" t="str">
        <f>IF(G174="",IF(COUNTA(C176:C178)&gt;0,"⚠ 상태 미선택(입력값 있음)","상태 미선택 → 미수집 간주"),IF(G174="값 있음",IF(COUNTA(C176:C178)=0,"⚠ 값 있음인데 입력값 없음","✓ 정상"),IF(COUNTA(C176:C178)&gt;0,"⚠ 상태와 입력값 불일치","✓ 정상")))</f>
        <v>✓ 정상</v>
      </c>
      <c r="I174" s="54"/>
    </row>
    <row r="175" ht="24.0" customHeight="1">
      <c r="B175" s="60" t="s">
        <v>2583</v>
      </c>
    </row>
    <row r="176" ht="15.75" customHeight="1">
      <c r="B176" s="17" t="s">
        <v>660</v>
      </c>
      <c r="C176" s="42">
        <v>3.0</v>
      </c>
      <c r="D176" s="40" t="s">
        <v>78</v>
      </c>
      <c r="E176" s="41" t="s">
        <v>2584</v>
      </c>
    </row>
    <row r="177" ht="15.75" customHeight="1">
      <c r="B177" s="17" t="s">
        <v>667</v>
      </c>
      <c r="C177" s="42">
        <v>9.0</v>
      </c>
      <c r="D177" s="40" t="s">
        <v>78</v>
      </c>
      <c r="E177" s="41"/>
    </row>
    <row r="178" ht="15.75" customHeight="1">
      <c r="B178" s="17" t="s">
        <v>668</v>
      </c>
      <c r="C178" s="69" t="s">
        <v>776</v>
      </c>
      <c r="D178" s="40" t="s">
        <v>130</v>
      </c>
      <c r="E178" s="41" t="s">
        <v>2585</v>
      </c>
    </row>
    <row r="179" ht="15.75" customHeight="1"/>
    <row r="180" ht="21.75" customHeight="1">
      <c r="A180" s="33" t="s">
        <v>2586</v>
      </c>
      <c r="B180" s="8"/>
      <c r="C180" s="8"/>
      <c r="D180" s="8"/>
      <c r="E180" s="8"/>
      <c r="F180" s="8"/>
      <c r="G180" s="8"/>
      <c r="H180" s="8"/>
      <c r="I180" s="7"/>
    </row>
    <row r="181" ht="21.75" customHeight="1">
      <c r="A181" s="51">
        <v>19.0</v>
      </c>
      <c r="B181" s="75" t="s">
        <v>2587</v>
      </c>
      <c r="C181" s="53"/>
      <c r="D181" s="53"/>
      <c r="E181" s="54"/>
      <c r="F181" s="55" t="s">
        <v>178</v>
      </c>
      <c r="G181" s="71" t="s">
        <v>950</v>
      </c>
      <c r="H181" s="59" t="str">
        <f>IF(G181="",IF(COUNTA(B185:F188)&gt;0,"⚠ 상태 미선택(입력값 있음)","상태 미선택 → 미수집 간주"),IF(G181="값 있음",IF(COUNTA(B185:F188)=0,"⚠ 값 있음인데 입력값 없음","✓ 정상"),IF(COUNTA(B185:F188)&gt;0,"⚠ 상태와 입력값 불일치","✓ 정상")))</f>
        <v>✓ 정상</v>
      </c>
      <c r="I181" s="54"/>
    </row>
    <row r="182" ht="24.0" customHeight="1">
      <c r="B182" s="60" t="s">
        <v>2588</v>
      </c>
    </row>
    <row r="183" ht="15.75" customHeight="1">
      <c r="A183" s="62" t="s">
        <v>24</v>
      </c>
      <c r="B183" s="13" t="s">
        <v>20</v>
      </c>
      <c r="C183" s="13" t="s">
        <v>695</v>
      </c>
      <c r="D183" s="13" t="s">
        <v>2589</v>
      </c>
      <c r="E183" s="13" t="s">
        <v>698</v>
      </c>
      <c r="F183" s="13" t="s">
        <v>699</v>
      </c>
    </row>
    <row r="184" ht="25.5" customHeight="1">
      <c r="A184" s="63" t="s">
        <v>111</v>
      </c>
      <c r="B184" s="64" t="s">
        <v>2590</v>
      </c>
      <c r="C184" s="63" t="s">
        <v>130</v>
      </c>
      <c r="D184" s="63" t="s">
        <v>78</v>
      </c>
      <c r="E184" s="64" t="s">
        <v>158</v>
      </c>
      <c r="F184" s="64" t="s">
        <v>2591</v>
      </c>
    </row>
    <row r="185" ht="15.75" customHeight="1">
      <c r="A185" s="65">
        <v>1.0</v>
      </c>
      <c r="B185" s="42"/>
      <c r="C185" s="42"/>
      <c r="D185" s="42"/>
      <c r="E185" s="39"/>
      <c r="F185" s="42"/>
    </row>
    <row r="186" ht="15.75" customHeight="1">
      <c r="A186" s="65">
        <v>2.0</v>
      </c>
      <c r="B186" s="42"/>
      <c r="C186" s="42"/>
      <c r="D186" s="42"/>
      <c r="E186" s="39"/>
      <c r="F186" s="42"/>
    </row>
    <row r="187" ht="15.75" customHeight="1">
      <c r="A187" s="65">
        <v>3.0</v>
      </c>
      <c r="B187" s="42"/>
      <c r="C187" s="42"/>
      <c r="D187" s="42"/>
      <c r="E187" s="39"/>
      <c r="F187" s="42"/>
    </row>
    <row r="188" ht="15.75" customHeight="1">
      <c r="A188" s="65">
        <v>4.0</v>
      </c>
      <c r="B188" s="42"/>
      <c r="C188" s="42"/>
      <c r="D188" s="42"/>
      <c r="E188" s="39"/>
      <c r="F188" s="42"/>
    </row>
    <row r="189" ht="15.75" customHeight="1"/>
    <row r="190" ht="21.75" customHeight="1">
      <c r="A190" s="70">
        <v>20.0</v>
      </c>
      <c r="B190" s="80" t="s">
        <v>2592</v>
      </c>
      <c r="C190" s="53"/>
      <c r="D190" s="53"/>
      <c r="E190" s="54"/>
      <c r="F190" s="73" t="s">
        <v>178</v>
      </c>
      <c r="G190" s="71" t="s">
        <v>49</v>
      </c>
      <c r="H190" s="74" t="str">
        <f>IF(G190="",IF(COUNTA(B194:G196)&gt;0,"⚠ 상태 미선택(입력값 있음)","상태 미선택 → 미수집 간주"),IF(G190="값 있음",IF(COUNTA(B194:G196)=0,"⚠ 값 있음인데 입력값 없음","✓ 정상"),IF(COUNTA(B194:G196)&gt;0,"⚠ 상태와 입력값 불일치","✓ 정상")))</f>
        <v>✓ 정상</v>
      </c>
      <c r="I190" s="54"/>
    </row>
    <row r="191" ht="24.0" customHeight="1">
      <c r="B191" s="60" t="s">
        <v>2593</v>
      </c>
    </row>
    <row r="192" ht="15.75" customHeight="1">
      <c r="A192" s="62" t="s">
        <v>24</v>
      </c>
      <c r="B192" s="13" t="s">
        <v>400</v>
      </c>
      <c r="C192" s="13" t="s">
        <v>608</v>
      </c>
      <c r="D192" s="13" t="s">
        <v>557</v>
      </c>
      <c r="E192" s="13" t="s">
        <v>2594</v>
      </c>
      <c r="F192" s="13" t="s">
        <v>554</v>
      </c>
      <c r="G192" s="13" t="s">
        <v>558</v>
      </c>
    </row>
    <row r="193" ht="25.5" customHeight="1">
      <c r="A193" s="63" t="s">
        <v>111</v>
      </c>
      <c r="B193" s="64" t="s">
        <v>2595</v>
      </c>
      <c r="C193" s="63" t="s">
        <v>130</v>
      </c>
      <c r="D193" s="63" t="s">
        <v>130</v>
      </c>
      <c r="E193" s="63" t="s">
        <v>130</v>
      </c>
      <c r="F193" s="64" t="s">
        <v>2596</v>
      </c>
      <c r="G193" s="64" t="s">
        <v>158</v>
      </c>
    </row>
    <row r="194" ht="15.75" customHeight="1">
      <c r="A194" s="65">
        <v>1.0</v>
      </c>
      <c r="B194" s="42"/>
      <c r="C194" s="42"/>
      <c r="D194" s="42"/>
      <c r="E194" s="42"/>
      <c r="F194" s="42"/>
      <c r="G194" s="39"/>
    </row>
    <row r="195" ht="15.75" customHeight="1">
      <c r="A195" s="65">
        <v>2.0</v>
      </c>
      <c r="B195" s="42"/>
      <c r="C195" s="42"/>
      <c r="D195" s="42"/>
      <c r="E195" s="42"/>
      <c r="F195" s="42"/>
      <c r="G195" s="39"/>
    </row>
    <row r="196" ht="15.75" customHeight="1">
      <c r="A196" s="65">
        <v>3.0</v>
      </c>
      <c r="B196" s="42"/>
      <c r="C196" s="42"/>
      <c r="D196" s="42"/>
      <c r="E196" s="42"/>
      <c r="F196" s="42"/>
      <c r="G196" s="39"/>
    </row>
    <row r="197" ht="15.75" customHeight="1"/>
    <row r="198" ht="21.75" customHeight="1">
      <c r="A198" s="51">
        <v>21.0</v>
      </c>
      <c r="B198" s="52" t="s">
        <v>504</v>
      </c>
      <c r="C198" s="53"/>
      <c r="D198" s="53"/>
      <c r="E198" s="54"/>
      <c r="F198" s="55" t="s">
        <v>178</v>
      </c>
      <c r="G198" s="71" t="s">
        <v>47</v>
      </c>
      <c r="H198" s="59" t="str">
        <f>IF(G198="",IF(COUNTA(B202:D205)&gt;0,"⚠ 상태 미선택(입력값 있음)","상태 미선택 → 미수집 간주"),IF(G198="값 있음",IF(COUNTA(B202:D205)=0,"⚠ 값 있음인데 입력값 없음","✓ 정상"),IF(COUNTA(B202:D205)&gt;0,"⚠ 상태와 입력값 불일치","✓ 정상")))</f>
        <v>✓ 정상</v>
      </c>
      <c r="I198" s="54"/>
    </row>
    <row r="199" ht="24.0" customHeight="1">
      <c r="B199" s="60" t="s">
        <v>2597</v>
      </c>
    </row>
    <row r="200" ht="15.75" customHeight="1">
      <c r="A200" s="62" t="s">
        <v>24</v>
      </c>
      <c r="B200" s="13" t="s">
        <v>753</v>
      </c>
      <c r="C200" s="13" t="s">
        <v>755</v>
      </c>
      <c r="D200" s="13" t="s">
        <v>756</v>
      </c>
    </row>
    <row r="201" ht="15.0" customHeight="1">
      <c r="A201" s="63" t="s">
        <v>111</v>
      </c>
      <c r="B201" s="63" t="s">
        <v>759</v>
      </c>
      <c r="C201" s="64" t="s">
        <v>2598</v>
      </c>
      <c r="D201" s="63" t="s">
        <v>525</v>
      </c>
    </row>
    <row r="202" ht="36.0" customHeight="1">
      <c r="A202" s="65">
        <v>1.0</v>
      </c>
      <c r="B202" s="69" t="s">
        <v>2599</v>
      </c>
      <c r="C202" s="69" t="s">
        <v>858</v>
      </c>
      <c r="D202" s="69" t="s">
        <v>2600</v>
      </c>
    </row>
    <row r="203" ht="36.0" customHeight="1">
      <c r="A203" s="65">
        <v>2.0</v>
      </c>
      <c r="B203" s="42"/>
      <c r="C203" s="69"/>
      <c r="D203" s="42"/>
    </row>
    <row r="204" ht="36.0" customHeight="1">
      <c r="A204" s="65">
        <v>3.0</v>
      </c>
      <c r="B204" s="42"/>
      <c r="C204" s="69"/>
      <c r="D204" s="42"/>
    </row>
    <row r="205" ht="36.0" customHeight="1">
      <c r="A205" s="65">
        <v>4.0</v>
      </c>
      <c r="B205" s="42"/>
      <c r="C205" s="69"/>
      <c r="D205" s="42"/>
    </row>
    <row r="206" ht="15.75" customHeight="1"/>
    <row r="207" ht="21.75" customHeight="1">
      <c r="A207" s="33" t="s">
        <v>2601</v>
      </c>
      <c r="B207" s="8"/>
      <c r="C207" s="8"/>
      <c r="D207" s="8"/>
      <c r="E207" s="8"/>
      <c r="F207" s="8"/>
      <c r="G207" s="8"/>
      <c r="H207" s="8"/>
      <c r="I207" s="7"/>
    </row>
    <row r="208" ht="21.75" customHeight="1">
      <c r="A208" s="51">
        <v>22.0</v>
      </c>
      <c r="B208" s="52" t="s">
        <v>2602</v>
      </c>
      <c r="C208" s="53"/>
      <c r="D208" s="53"/>
      <c r="E208" s="54"/>
      <c r="F208" s="55" t="s">
        <v>178</v>
      </c>
      <c r="G208" s="71" t="s">
        <v>47</v>
      </c>
      <c r="H208" s="59" t="str">
        <f>IF(G208="",IF(COUNTA(B212:I215)&gt;0,"⚠ 상태 미선택(입력값 있음)","상태 미선택 → 미수집 간주"),IF(G208="값 있음",IF(COUNTA(B212:I215)=0,"⚠ 값 있음인데 입력값 없음","✓ 정상"),IF(COUNTA(B212:I215)&gt;0,"⚠ 상태와 입력값 불일치","✓ 정상")))</f>
        <v>✓ 정상</v>
      </c>
      <c r="I208" s="54"/>
    </row>
    <row r="209" ht="24.0" customHeight="1">
      <c r="B209" s="60" t="s">
        <v>2603</v>
      </c>
    </row>
    <row r="210" ht="15.75" customHeight="1">
      <c r="A210" s="62" t="s">
        <v>24</v>
      </c>
      <c r="B210" s="13" t="s">
        <v>400</v>
      </c>
      <c r="C210" s="13" t="s">
        <v>809</v>
      </c>
      <c r="D210" s="13" t="s">
        <v>811</v>
      </c>
      <c r="E210" s="13" t="s">
        <v>380</v>
      </c>
      <c r="F210" s="13" t="s">
        <v>381</v>
      </c>
      <c r="G210" s="13" t="s">
        <v>2604</v>
      </c>
      <c r="H210" s="13" t="s">
        <v>2605</v>
      </c>
      <c r="I210" s="13" t="s">
        <v>2606</v>
      </c>
    </row>
    <row r="211" ht="25.5" customHeight="1">
      <c r="A211" s="63" t="s">
        <v>111</v>
      </c>
      <c r="B211" s="64" t="s">
        <v>2607</v>
      </c>
      <c r="C211" s="63" t="s">
        <v>130</v>
      </c>
      <c r="D211" s="64" t="s">
        <v>2608</v>
      </c>
      <c r="E211" s="64" t="s">
        <v>158</v>
      </c>
      <c r="F211" s="64" t="s">
        <v>2609</v>
      </c>
      <c r="G211" s="63" t="s">
        <v>78</v>
      </c>
      <c r="H211" s="63" t="s">
        <v>78</v>
      </c>
      <c r="I211" s="63" t="s">
        <v>130</v>
      </c>
    </row>
    <row r="212" ht="15.75" customHeight="1">
      <c r="A212" s="65">
        <v>1.0</v>
      </c>
      <c r="B212" s="69" t="s">
        <v>2610</v>
      </c>
      <c r="C212" s="69" t="s">
        <v>2611</v>
      </c>
      <c r="D212" s="69" t="s">
        <v>1736</v>
      </c>
      <c r="E212" s="39" t="s">
        <v>892</v>
      </c>
      <c r="F212" s="39" t="s">
        <v>799</v>
      </c>
      <c r="G212" s="42">
        <v>10.0</v>
      </c>
      <c r="H212" s="42">
        <v>25.0</v>
      </c>
      <c r="I212" s="69" t="s">
        <v>2612</v>
      </c>
    </row>
    <row r="213" ht="15.75" customHeight="1">
      <c r="A213" s="65">
        <v>2.0</v>
      </c>
      <c r="B213" s="69"/>
      <c r="C213" s="42"/>
      <c r="D213" s="69"/>
      <c r="E213" s="39"/>
      <c r="F213" s="39"/>
      <c r="G213" s="42"/>
      <c r="H213" s="42"/>
      <c r="I213" s="42"/>
    </row>
    <row r="214" ht="15.75" customHeight="1">
      <c r="A214" s="65">
        <v>3.0</v>
      </c>
      <c r="B214" s="69"/>
      <c r="C214" s="42"/>
      <c r="D214" s="69"/>
      <c r="E214" s="39"/>
      <c r="F214" s="39"/>
      <c r="G214" s="42"/>
      <c r="H214" s="42"/>
      <c r="I214" s="42"/>
    </row>
    <row r="215" ht="15.75" customHeight="1">
      <c r="A215" s="65">
        <v>4.0</v>
      </c>
      <c r="B215" s="69"/>
      <c r="C215" s="42"/>
      <c r="D215" s="69"/>
      <c r="E215" s="39"/>
      <c r="F215" s="39"/>
      <c r="G215" s="42"/>
      <c r="H215" s="42"/>
      <c r="I215" s="42"/>
    </row>
    <row r="216" ht="15.75" customHeight="1"/>
    <row r="217" ht="21.75" customHeight="1">
      <c r="A217" s="51">
        <v>23.0</v>
      </c>
      <c r="B217" s="52" t="s">
        <v>564</v>
      </c>
      <c r="C217" s="53"/>
      <c r="D217" s="53"/>
      <c r="E217" s="54"/>
      <c r="F217" s="55" t="s">
        <v>178</v>
      </c>
      <c r="G217" s="71" t="s">
        <v>47</v>
      </c>
      <c r="H217" s="59" t="str">
        <f>IF(G217="",IF(COUNTA(C219,B222:E225)&gt;0,"⚠ 상태 미선택(입력값 있음)","상태 미선택 → 미수집 간주"),IF(G217="값 있음",IF(COUNTA(C219,B222:E225)=0,"⚠ 값 있음인데 입력값 없음","✓ 정상"),IF(COUNTA(C219,B222:E225)&gt;0,"⚠ 상태와 입력값 불일치","✓ 정상")))</f>
        <v>✓ 정상</v>
      </c>
      <c r="I217" s="54"/>
    </row>
    <row r="218" ht="24.0" customHeight="1">
      <c r="B218" s="60" t="s">
        <v>2613</v>
      </c>
    </row>
    <row r="219" ht="15.75" customHeight="1">
      <c r="B219" s="17" t="s">
        <v>2614</v>
      </c>
      <c r="C219" s="42">
        <v>72.0</v>
      </c>
      <c r="D219" s="40" t="s">
        <v>78</v>
      </c>
      <c r="E219" s="50" t="s">
        <v>2615</v>
      </c>
    </row>
    <row r="220" ht="15.75" customHeight="1">
      <c r="A220" s="62" t="s">
        <v>24</v>
      </c>
      <c r="B220" s="13" t="s">
        <v>20</v>
      </c>
      <c r="C220" s="13" t="s">
        <v>2616</v>
      </c>
      <c r="D220" s="13" t="s">
        <v>2617</v>
      </c>
      <c r="E220" s="13" t="s">
        <v>558</v>
      </c>
    </row>
    <row r="221" ht="25.5" customHeight="1">
      <c r="A221" s="63" t="s">
        <v>111</v>
      </c>
      <c r="B221" s="64" t="s">
        <v>2618</v>
      </c>
      <c r="C221" s="63" t="s">
        <v>130</v>
      </c>
      <c r="D221" s="63" t="s">
        <v>78</v>
      </c>
      <c r="E221" s="64" t="s">
        <v>158</v>
      </c>
    </row>
    <row r="222" ht="15.75" customHeight="1">
      <c r="A222" s="65">
        <v>1.0</v>
      </c>
      <c r="B222" s="69" t="s">
        <v>2619</v>
      </c>
      <c r="C222" s="69" t="s">
        <v>2620</v>
      </c>
      <c r="D222" s="42">
        <v>60.0</v>
      </c>
      <c r="E222" s="39" t="s">
        <v>768</v>
      </c>
    </row>
    <row r="223" ht="15.75" customHeight="1">
      <c r="A223" s="65">
        <v>2.0</v>
      </c>
      <c r="B223" s="69" t="s">
        <v>2621</v>
      </c>
      <c r="C223" s="69" t="s">
        <v>2622</v>
      </c>
      <c r="D223" s="42">
        <v>12.0</v>
      </c>
      <c r="E223" s="39" t="s">
        <v>1153</v>
      </c>
    </row>
    <row r="224" ht="15.75" customHeight="1">
      <c r="A224" s="65">
        <v>3.0</v>
      </c>
      <c r="B224" s="69"/>
      <c r="C224" s="42"/>
      <c r="D224" s="42"/>
      <c r="E224" s="39"/>
    </row>
    <row r="225" ht="15.75" customHeight="1">
      <c r="A225" s="65">
        <v>4.0</v>
      </c>
      <c r="B225" s="69"/>
      <c r="C225" s="42"/>
      <c r="D225" s="42"/>
      <c r="E225" s="39"/>
    </row>
    <row r="226" ht="15.75" customHeight="1"/>
    <row r="227" ht="21.75" customHeight="1">
      <c r="A227" s="76">
        <v>24.0</v>
      </c>
      <c r="B227" s="77" t="s">
        <v>2623</v>
      </c>
      <c r="C227" s="53"/>
      <c r="D227" s="53"/>
      <c r="E227" s="54"/>
      <c r="F227" s="78" t="s">
        <v>178</v>
      </c>
      <c r="G227" s="71" t="s">
        <v>47</v>
      </c>
      <c r="H227" s="79" t="str">
        <f>IF(G227="",IF(COUNTA(B231:E233)&gt;0,"⚠ 상태 미선택(입력값 있음)","상태 미선택 → 미수집 간주"),IF(G227="값 있음",IF(COUNTA(B231:E233)=0,"⚠ 값 있음인데 입력값 없음","✓ 정상"),IF(COUNTA(B231:E233)&gt;0,"⚠ 상태와 입력값 불일치","✓ 정상")))</f>
        <v>✓ 정상</v>
      </c>
      <c r="I227" s="54"/>
    </row>
    <row r="228" ht="15.0" customHeight="1">
      <c r="B228" s="60" t="s">
        <v>2624</v>
      </c>
    </row>
    <row r="229" ht="15.75" customHeight="1">
      <c r="A229" s="62" t="s">
        <v>24</v>
      </c>
      <c r="B229" s="13" t="s">
        <v>400</v>
      </c>
      <c r="C229" s="13" t="s">
        <v>871</v>
      </c>
      <c r="D229" s="13" t="s">
        <v>2625</v>
      </c>
      <c r="E229" s="13" t="s">
        <v>2626</v>
      </c>
    </row>
    <row r="230" ht="25.5" customHeight="1">
      <c r="A230" s="63" t="s">
        <v>111</v>
      </c>
      <c r="B230" s="64" t="s">
        <v>2627</v>
      </c>
      <c r="C230" s="63" t="s">
        <v>130</v>
      </c>
      <c r="D230" s="63" t="s">
        <v>130</v>
      </c>
      <c r="E230" s="63" t="s">
        <v>78</v>
      </c>
    </row>
    <row r="231" ht="15.75" customHeight="1">
      <c r="A231" s="65">
        <v>1.0</v>
      </c>
      <c r="B231" s="69" t="s">
        <v>2628</v>
      </c>
      <c r="C231" s="69" t="s">
        <v>2629</v>
      </c>
      <c r="D231" s="69" t="s">
        <v>2630</v>
      </c>
      <c r="E231" s="42">
        <v>4.0</v>
      </c>
    </row>
    <row r="232" ht="15.75" customHeight="1">
      <c r="A232" s="65">
        <v>2.0</v>
      </c>
      <c r="B232" s="69"/>
      <c r="C232" s="42"/>
      <c r="D232" s="42"/>
      <c r="E232" s="42"/>
    </row>
    <row r="233" ht="15.75" customHeight="1">
      <c r="A233" s="65">
        <v>3.0</v>
      </c>
      <c r="B233" s="69"/>
      <c r="C233" s="42"/>
      <c r="D233" s="42"/>
      <c r="E233" s="42"/>
    </row>
    <row r="234" ht="15.75" customHeight="1"/>
    <row r="235" ht="21.75" customHeight="1">
      <c r="A235" s="76">
        <v>25.0</v>
      </c>
      <c r="B235" s="77" t="s">
        <v>611</v>
      </c>
      <c r="C235" s="53"/>
      <c r="D235" s="53"/>
      <c r="E235" s="54"/>
      <c r="F235" s="78" t="s">
        <v>178</v>
      </c>
      <c r="G235" s="71" t="s">
        <v>49</v>
      </c>
      <c r="H235" s="79" t="str">
        <f>IF(G235="",IF(COUNTA(B239:G242)&gt;0,"⚠ 상태 미선택(입력값 있음)","상태 미선택 → 미수집 간주"),IF(G235="값 있음",IF(COUNTA(B239:G242)=0,"⚠ 값 있음인데 입력값 없음","✓ 정상"),IF(COUNTA(B239:G242)&gt;0,"⚠ 상태와 입력값 불일치","✓ 정상")))</f>
        <v>✓ 정상</v>
      </c>
      <c r="I235" s="54"/>
    </row>
    <row r="236" ht="24.0" customHeight="1">
      <c r="B236" s="60" t="s">
        <v>2631</v>
      </c>
    </row>
    <row r="237" ht="15.75" customHeight="1">
      <c r="A237" s="62" t="s">
        <v>24</v>
      </c>
      <c r="B237" s="13" t="s">
        <v>215</v>
      </c>
      <c r="C237" s="13" t="s">
        <v>193</v>
      </c>
      <c r="D237" s="13" t="s">
        <v>901</v>
      </c>
      <c r="E237" s="13" t="s">
        <v>902</v>
      </c>
      <c r="F237" s="13" t="s">
        <v>2632</v>
      </c>
      <c r="G237" s="13" t="s">
        <v>904</v>
      </c>
    </row>
    <row r="238" ht="25.5" customHeight="1">
      <c r="A238" s="63" t="s">
        <v>111</v>
      </c>
      <c r="B238" s="63" t="s">
        <v>130</v>
      </c>
      <c r="C238" s="64" t="s">
        <v>2633</v>
      </c>
      <c r="D238" s="63" t="s">
        <v>78</v>
      </c>
      <c r="E238" s="63" t="s">
        <v>78</v>
      </c>
      <c r="F238" s="63" t="s">
        <v>78</v>
      </c>
      <c r="G238" s="63" t="s">
        <v>130</v>
      </c>
    </row>
    <row r="239" ht="15.75" customHeight="1">
      <c r="A239" s="65">
        <v>1.0</v>
      </c>
      <c r="B239" s="42"/>
      <c r="C239" s="39"/>
      <c r="D239" s="42"/>
      <c r="E239" s="42"/>
      <c r="F239" s="42"/>
      <c r="G239" s="42"/>
    </row>
    <row r="240" ht="15.75" customHeight="1">
      <c r="A240" s="65">
        <v>2.0</v>
      </c>
      <c r="B240" s="42"/>
      <c r="C240" s="39"/>
      <c r="D240" s="42"/>
      <c r="E240" s="42"/>
      <c r="F240" s="42"/>
      <c r="G240" s="42"/>
    </row>
    <row r="241" ht="15.75" customHeight="1">
      <c r="A241" s="65">
        <v>3.0</v>
      </c>
      <c r="B241" s="42"/>
      <c r="C241" s="39"/>
      <c r="D241" s="42"/>
      <c r="E241" s="42"/>
      <c r="F241" s="42"/>
      <c r="G241" s="42"/>
    </row>
    <row r="242" ht="15.75" customHeight="1">
      <c r="A242" s="65">
        <v>4.0</v>
      </c>
      <c r="B242" s="42"/>
      <c r="C242" s="39"/>
      <c r="D242" s="42"/>
      <c r="E242" s="42"/>
      <c r="F242" s="42"/>
      <c r="G242" s="42"/>
    </row>
    <row r="243" ht="15.75" customHeight="1"/>
    <row r="244" ht="21.75" customHeight="1">
      <c r="A244" s="33" t="s">
        <v>2634</v>
      </c>
      <c r="B244" s="8"/>
      <c r="C244" s="8"/>
      <c r="D244" s="8"/>
      <c r="E244" s="8"/>
      <c r="F244" s="8"/>
      <c r="G244" s="8"/>
      <c r="H244" s="8"/>
      <c r="I244" s="7"/>
    </row>
    <row r="245" ht="21.75" customHeight="1">
      <c r="A245" s="51">
        <v>26.0</v>
      </c>
      <c r="B245" s="52" t="s">
        <v>2635</v>
      </c>
      <c r="C245" s="53"/>
      <c r="D245" s="53"/>
      <c r="E245" s="54"/>
      <c r="F245" s="55" t="s">
        <v>178</v>
      </c>
      <c r="G245" s="71" t="s">
        <v>47</v>
      </c>
      <c r="H245" s="59" t="str">
        <f>IF(G245="",IF(COUNTA(B249:F252)&gt;0,"⚠ 상태 미선택(입력값 있음)","상태 미선택 → 미수집 간주"),IF(G245="값 있음",IF(COUNTA(B249:F252)=0,"⚠ 값 있음인데 입력값 없음","✓ 정상"),IF(COUNTA(B249:F252)&gt;0,"⚠ 상태와 입력값 불일치","✓ 정상")))</f>
        <v>✓ 정상</v>
      </c>
      <c r="I245" s="54"/>
    </row>
    <row r="246" ht="24.0" customHeight="1">
      <c r="B246" s="60" t="s">
        <v>2636</v>
      </c>
    </row>
    <row r="247" ht="15.75" customHeight="1">
      <c r="A247" s="62" t="s">
        <v>24</v>
      </c>
      <c r="B247" s="13" t="s">
        <v>931</v>
      </c>
      <c r="C247" s="13" t="s">
        <v>932</v>
      </c>
      <c r="D247" s="13" t="s">
        <v>2637</v>
      </c>
      <c r="E247" s="13" t="s">
        <v>934</v>
      </c>
      <c r="F247" s="13" t="s">
        <v>935</v>
      </c>
    </row>
    <row r="248" ht="37.5" customHeight="1">
      <c r="A248" s="63" t="s">
        <v>111</v>
      </c>
      <c r="B248" s="64" t="s">
        <v>2638</v>
      </c>
      <c r="C248" s="63" t="s">
        <v>78</v>
      </c>
      <c r="D248" s="63" t="s">
        <v>2639</v>
      </c>
      <c r="E248" s="64" t="s">
        <v>165</v>
      </c>
      <c r="F248" s="64" t="s">
        <v>165</v>
      </c>
    </row>
    <row r="249" ht="15.75" customHeight="1">
      <c r="A249" s="65">
        <v>1.0</v>
      </c>
      <c r="B249" s="42" t="s">
        <v>2640</v>
      </c>
      <c r="C249" s="42">
        <v>105.0</v>
      </c>
      <c r="D249" s="42"/>
      <c r="E249" s="39" t="s">
        <v>2641</v>
      </c>
      <c r="F249" s="39" t="s">
        <v>2642</v>
      </c>
    </row>
    <row r="250" ht="15.75" customHeight="1">
      <c r="A250" s="65">
        <v>2.0</v>
      </c>
      <c r="B250" s="42" t="s">
        <v>2643</v>
      </c>
      <c r="C250" s="42"/>
      <c r="D250" s="42" t="s">
        <v>2644</v>
      </c>
      <c r="E250" s="39" t="s">
        <v>2645</v>
      </c>
      <c r="F250" s="39"/>
    </row>
    <row r="251" ht="15.75" customHeight="1">
      <c r="A251" s="65">
        <v>3.0</v>
      </c>
      <c r="B251" s="42" t="s">
        <v>2646</v>
      </c>
      <c r="C251" s="42"/>
      <c r="D251" s="42" t="s">
        <v>2647</v>
      </c>
      <c r="E251" s="39" t="s">
        <v>2648</v>
      </c>
      <c r="F251" s="39" t="s">
        <v>2649</v>
      </c>
    </row>
    <row r="252" ht="15.75" customHeight="1">
      <c r="A252" s="65">
        <v>4.0</v>
      </c>
      <c r="B252" s="42"/>
      <c r="C252" s="42"/>
      <c r="D252" s="42"/>
      <c r="E252" s="39"/>
      <c r="F252" s="39"/>
    </row>
    <row r="253" ht="15.75" customHeight="1"/>
    <row r="254" ht="21.75" customHeight="1">
      <c r="A254" s="51">
        <v>27.0</v>
      </c>
      <c r="B254" s="52" t="s">
        <v>2650</v>
      </c>
      <c r="C254" s="53"/>
      <c r="D254" s="53"/>
      <c r="E254" s="54"/>
      <c r="F254" s="55" t="s">
        <v>178</v>
      </c>
      <c r="G254" s="71" t="s">
        <v>49</v>
      </c>
      <c r="H254" s="59" t="str">
        <f>IF(G254="",IF(COUNTA(B258:E262)&gt;0,"⚠ 상태 미선택(입력값 있음)","상태 미선택 → 미수집 간주"),IF(G254="값 있음",IF(COUNTA(B258:E262)=0,"⚠ 값 있음인데 입력값 없음","✓ 정상"),IF(COUNTA(B258:E262)&gt;0,"⚠ 상태와 입력값 불일치","✓ 정상")))</f>
        <v>✓ 정상</v>
      </c>
      <c r="I254" s="54"/>
    </row>
    <row r="255" ht="24.0" customHeight="1">
      <c r="B255" s="60" t="s">
        <v>2651</v>
      </c>
    </row>
    <row r="256" ht="15.75" customHeight="1">
      <c r="A256" s="62" t="s">
        <v>24</v>
      </c>
      <c r="B256" s="13" t="s">
        <v>954</v>
      </c>
      <c r="C256" s="13" t="s">
        <v>2652</v>
      </c>
      <c r="D256" s="13" t="s">
        <v>956</v>
      </c>
      <c r="E256" s="13" t="s">
        <v>957</v>
      </c>
    </row>
    <row r="257" ht="15.0" customHeight="1">
      <c r="A257" s="63" t="s">
        <v>111</v>
      </c>
      <c r="B257" s="63" t="s">
        <v>130</v>
      </c>
      <c r="C257" s="63" t="s">
        <v>130</v>
      </c>
      <c r="D257" s="63" t="s">
        <v>130</v>
      </c>
      <c r="E257" s="64" t="s">
        <v>165</v>
      </c>
    </row>
    <row r="258" ht="15.75" customHeight="1">
      <c r="A258" s="65">
        <v>1.0</v>
      </c>
      <c r="B258" s="42"/>
      <c r="C258" s="42"/>
      <c r="D258" s="42"/>
      <c r="E258" s="39"/>
    </row>
    <row r="259" ht="15.75" customHeight="1">
      <c r="A259" s="65">
        <v>2.0</v>
      </c>
      <c r="B259" s="42"/>
      <c r="C259" s="42"/>
      <c r="D259" s="42"/>
      <c r="E259" s="39"/>
    </row>
    <row r="260" ht="15.75" customHeight="1">
      <c r="A260" s="65">
        <v>3.0</v>
      </c>
      <c r="B260" s="42"/>
      <c r="C260" s="42"/>
      <c r="D260" s="42"/>
      <c r="E260" s="39"/>
    </row>
    <row r="261" ht="15.75" customHeight="1">
      <c r="A261" s="65">
        <v>4.0</v>
      </c>
      <c r="B261" s="42"/>
      <c r="C261" s="42"/>
      <c r="D261" s="42"/>
      <c r="E261" s="39"/>
    </row>
    <row r="262" ht="15.75" customHeight="1">
      <c r="A262" s="65">
        <v>5.0</v>
      </c>
      <c r="B262" s="42"/>
      <c r="C262" s="42"/>
      <c r="D262" s="42"/>
      <c r="E262" s="39"/>
    </row>
    <row r="263" ht="15.75" customHeight="1"/>
    <row r="264" ht="21.75" customHeight="1">
      <c r="A264" s="70">
        <v>28.0</v>
      </c>
      <c r="B264" s="72" t="s">
        <v>2653</v>
      </c>
      <c r="C264" s="53"/>
      <c r="D264" s="53"/>
      <c r="E264" s="54"/>
      <c r="F264" s="73" t="s">
        <v>178</v>
      </c>
      <c r="G264" s="71" t="s">
        <v>49</v>
      </c>
      <c r="H264" s="74" t="str">
        <f>IF(G264="",IF(COUNTA(B268:D269)&gt;0,"⚠ 상태 미선택(입력값 있음)","상태 미선택 → 미수집 간주"),IF(G264="값 있음",IF(COUNTA(B268:D269)=0,"⚠ 값 있음인데 입력값 없음","✓ 정상"),IF(COUNTA(B268:D269)&gt;0,"⚠ 상태와 입력값 불일치","✓ 정상")))</f>
        <v>✓ 정상</v>
      </c>
      <c r="I264" s="54"/>
    </row>
    <row r="265" ht="15.0" customHeight="1">
      <c r="B265" s="60" t="s">
        <v>2654</v>
      </c>
    </row>
    <row r="266" ht="15.75" customHeight="1">
      <c r="A266" s="62" t="s">
        <v>24</v>
      </c>
      <c r="B266" s="13" t="s">
        <v>931</v>
      </c>
      <c r="C266" s="13" t="s">
        <v>972</v>
      </c>
      <c r="D266" s="13" t="s">
        <v>974</v>
      </c>
    </row>
    <row r="267" ht="25.5" customHeight="1">
      <c r="A267" s="63" t="s">
        <v>111</v>
      </c>
      <c r="B267" s="63" t="s">
        <v>130</v>
      </c>
      <c r="C267" s="64" t="s">
        <v>2655</v>
      </c>
      <c r="D267" s="64" t="s">
        <v>977</v>
      </c>
    </row>
    <row r="268" ht="15.75" customHeight="1">
      <c r="A268" s="65">
        <v>1.0</v>
      </c>
      <c r="B268" s="42"/>
      <c r="C268" s="42"/>
      <c r="D268" s="39"/>
    </row>
    <row r="269" ht="15.75" customHeight="1">
      <c r="A269" s="65">
        <v>2.0</v>
      </c>
      <c r="B269" s="42"/>
      <c r="C269" s="42"/>
      <c r="D269" s="39"/>
    </row>
    <row r="270" ht="15.75" customHeight="1"/>
    <row r="271" ht="21.75" customHeight="1">
      <c r="A271" s="70">
        <v>29.0</v>
      </c>
      <c r="B271" s="80" t="s">
        <v>2656</v>
      </c>
      <c r="C271" s="53"/>
      <c r="D271" s="53"/>
      <c r="E271" s="54"/>
      <c r="F271" s="73" t="s">
        <v>178</v>
      </c>
      <c r="G271" s="71" t="s">
        <v>47</v>
      </c>
      <c r="H271" s="74" t="str">
        <f>IF(G271="",IF(COUNTA(C273:C277)&gt;0,"⚠ 상태 미선택(입력값 있음)","상태 미선택 → 미수집 간주"),IF(G271="값 있음",IF(COUNTA(C273:C277)=0,"⚠ 값 있음인데 입력값 없음","✓ 정상"),IF(COUNTA(C273:C277)&gt;0,"⚠ 상태와 입력값 불일치","✓ 정상")))</f>
        <v>✓ 정상</v>
      </c>
      <c r="I271" s="54"/>
    </row>
    <row r="272" ht="24.0" customHeight="1">
      <c r="B272" s="60" t="s">
        <v>2657</v>
      </c>
    </row>
    <row r="273" ht="15.75" customHeight="1">
      <c r="B273" s="17" t="s">
        <v>993</v>
      </c>
      <c r="C273" s="69" t="s">
        <v>1231</v>
      </c>
      <c r="D273" s="40" t="s">
        <v>147</v>
      </c>
      <c r="E273" s="50" t="s">
        <v>2658</v>
      </c>
    </row>
    <row r="274" ht="15.75" customHeight="1">
      <c r="B274" s="17" t="s">
        <v>998</v>
      </c>
      <c r="C274" s="69" t="s">
        <v>763</v>
      </c>
      <c r="D274" s="40" t="s">
        <v>147</v>
      </c>
      <c r="E274" s="50" t="s">
        <v>2659</v>
      </c>
    </row>
    <row r="275" ht="15.75" customHeight="1">
      <c r="B275" s="17" t="s">
        <v>1002</v>
      </c>
      <c r="C275" s="69" t="s">
        <v>1231</v>
      </c>
      <c r="D275" s="40" t="s">
        <v>147</v>
      </c>
      <c r="E275" s="50" t="s">
        <v>2660</v>
      </c>
    </row>
    <row r="276" ht="15.75" customHeight="1">
      <c r="B276" s="9" t="s">
        <v>2661</v>
      </c>
      <c r="C276" s="69" t="s">
        <v>1231</v>
      </c>
      <c r="D276" s="40" t="s">
        <v>147</v>
      </c>
      <c r="E276" s="50" t="s">
        <v>2662</v>
      </c>
    </row>
    <row r="277" ht="15.75" customHeight="1">
      <c r="B277" s="17" t="s">
        <v>1007</v>
      </c>
      <c r="C277" s="69" t="s">
        <v>1231</v>
      </c>
      <c r="D277" s="40" t="s">
        <v>147</v>
      </c>
      <c r="E277" s="50" t="s">
        <v>2663</v>
      </c>
    </row>
    <row r="278" ht="15.75" customHeight="1"/>
    <row r="279" ht="21.75" customHeight="1">
      <c r="A279" s="70">
        <v>30.0</v>
      </c>
      <c r="B279" s="72" t="s">
        <v>743</v>
      </c>
      <c r="C279" s="53"/>
      <c r="D279" s="53"/>
      <c r="E279" s="54"/>
      <c r="F279" s="73" t="s">
        <v>178</v>
      </c>
      <c r="G279" s="71" t="s">
        <v>47</v>
      </c>
      <c r="H279" s="74" t="str">
        <f>IF(G279="",IF(COUNTA(C281:C283)&gt;0,"⚠ 상태 미선택(입력값 있음)","상태 미선택 → 미수집 간주"),IF(G279="값 있음",IF(COUNTA(C281:C283)=0,"⚠ 값 있음인데 입력값 없음","✓ 정상"),IF(COUNTA(C281:C283)&gt;0,"⚠ 상태와 입력값 불일치","✓ 정상")))</f>
        <v>✓ 정상</v>
      </c>
      <c r="I279" s="54"/>
    </row>
    <row r="280" ht="15.0" customHeight="1">
      <c r="B280" s="60" t="s">
        <v>2664</v>
      </c>
    </row>
    <row r="281" ht="15.75" customHeight="1">
      <c r="B281" s="17" t="s">
        <v>2665</v>
      </c>
      <c r="C281" s="42">
        <v>16.0</v>
      </c>
      <c r="D281" s="40" t="s">
        <v>78</v>
      </c>
      <c r="E281" s="41"/>
    </row>
    <row r="282" ht="15.75" customHeight="1">
      <c r="B282" s="17" t="s">
        <v>2666</v>
      </c>
      <c r="C282" s="42">
        <v>90.0</v>
      </c>
      <c r="D282" s="40" t="s">
        <v>78</v>
      </c>
      <c r="E282" s="41" t="s">
        <v>2667</v>
      </c>
    </row>
    <row r="283" ht="15.75" customHeight="1">
      <c r="B283" s="17" t="s">
        <v>1037</v>
      </c>
      <c r="C283" s="39" t="s">
        <v>1075</v>
      </c>
      <c r="D283" s="49" t="s">
        <v>165</v>
      </c>
      <c r="E283" s="41"/>
    </row>
    <row r="284" ht="15.75" customHeight="1"/>
    <row r="285" ht="21.75" customHeight="1">
      <c r="A285" s="33" t="s">
        <v>2668</v>
      </c>
      <c r="B285" s="8"/>
      <c r="C285" s="8"/>
      <c r="D285" s="8"/>
      <c r="E285" s="8"/>
      <c r="F285" s="8"/>
      <c r="G285" s="8"/>
      <c r="H285" s="8"/>
      <c r="I285" s="7"/>
    </row>
    <row r="286" ht="21.75" customHeight="1">
      <c r="A286" s="70">
        <v>31.0</v>
      </c>
      <c r="B286" s="80" t="s">
        <v>2669</v>
      </c>
      <c r="C286" s="53"/>
      <c r="D286" s="53"/>
      <c r="E286" s="54"/>
      <c r="F286" s="73" t="s">
        <v>178</v>
      </c>
      <c r="G286" s="71" t="s">
        <v>950</v>
      </c>
      <c r="H286" s="74" t="str">
        <f>IF(G286="",IF(COUNTA(C288,B291:D296)&gt;0,"⚠ 상태 미선택(입력값 있음)","상태 미선택 → 미수집 간주"),IF(G286="값 있음",IF(COUNTA(C288,B291:D296)=0,"⚠ 값 있음인데 입력값 없음","✓ 정상"),IF(COUNTA(C288,B291:D296)&gt;0,"⚠ 상태와 입력값 불일치","✓ 정상")))</f>
        <v>✓ 정상</v>
      </c>
      <c r="I286" s="54"/>
    </row>
    <row r="287" ht="24.0" customHeight="1">
      <c r="B287" s="60" t="s">
        <v>2670</v>
      </c>
    </row>
    <row r="288" ht="15.75" customHeight="1">
      <c r="B288" s="17" t="s">
        <v>1058</v>
      </c>
      <c r="C288" s="39"/>
      <c r="D288" s="49" t="s">
        <v>165</v>
      </c>
      <c r="E288" s="41"/>
    </row>
    <row r="289" ht="15.75" customHeight="1">
      <c r="A289" s="62" t="s">
        <v>24</v>
      </c>
      <c r="B289" s="13" t="s">
        <v>1059</v>
      </c>
      <c r="C289" s="13" t="s">
        <v>1060</v>
      </c>
      <c r="D289" s="13" t="s">
        <v>902</v>
      </c>
    </row>
    <row r="290" ht="15.0" customHeight="1">
      <c r="A290" s="63" t="s">
        <v>111</v>
      </c>
      <c r="B290" s="63" t="s">
        <v>1061</v>
      </c>
      <c r="C290" s="63" t="s">
        <v>78</v>
      </c>
      <c r="D290" s="63" t="s">
        <v>78</v>
      </c>
    </row>
    <row r="291" ht="15.75" customHeight="1">
      <c r="A291" s="65">
        <v>1.0</v>
      </c>
      <c r="B291" s="42"/>
      <c r="C291" s="42"/>
      <c r="D291" s="42"/>
    </row>
    <row r="292" ht="15.75" customHeight="1">
      <c r="A292" s="65">
        <v>2.0</v>
      </c>
      <c r="B292" s="42"/>
      <c r="C292" s="42"/>
      <c r="D292" s="42"/>
    </row>
    <row r="293" ht="15.75" customHeight="1">
      <c r="A293" s="65">
        <v>3.0</v>
      </c>
      <c r="B293" s="42"/>
      <c r="C293" s="42"/>
      <c r="D293" s="42"/>
    </row>
    <row r="294" ht="15.75" customHeight="1">
      <c r="A294" s="65">
        <v>4.0</v>
      </c>
      <c r="B294" s="42"/>
      <c r="C294" s="42"/>
      <c r="D294" s="42"/>
    </row>
    <row r="295" ht="15.75" customHeight="1">
      <c r="A295" s="65">
        <v>5.0</v>
      </c>
      <c r="B295" s="42"/>
      <c r="C295" s="42"/>
      <c r="D295" s="42"/>
    </row>
    <row r="296" ht="15.75" customHeight="1">
      <c r="A296" s="65">
        <v>6.0</v>
      </c>
      <c r="B296" s="42"/>
      <c r="C296" s="42"/>
      <c r="D296" s="42"/>
    </row>
    <row r="297" ht="15.75" customHeight="1"/>
    <row r="298" ht="21.75" customHeight="1">
      <c r="A298" s="70">
        <v>32.0</v>
      </c>
      <c r="B298" s="72" t="s">
        <v>786</v>
      </c>
      <c r="C298" s="53"/>
      <c r="D298" s="53"/>
      <c r="E298" s="54"/>
      <c r="F298" s="73" t="s">
        <v>178</v>
      </c>
      <c r="G298" s="71" t="s">
        <v>950</v>
      </c>
      <c r="H298" s="74" t="str">
        <f>IF(G298="",IF(COUNTA(C300:C303)&gt;0,"⚠ 상태 미선택(입력값 있음)","상태 미선택 → 미수집 간주"),IF(G298="값 있음",IF(COUNTA(C300:C303)=0,"⚠ 값 있음인데 입력값 없음","✓ 정상"),IF(COUNTA(C300:C303)&gt;0,"⚠ 상태와 입력값 불일치","✓ 정상")))</f>
        <v>✓ 정상</v>
      </c>
      <c r="I298" s="54"/>
    </row>
    <row r="299" ht="15.0" customHeight="1">
      <c r="B299" s="60" t="s">
        <v>2671</v>
      </c>
    </row>
    <row r="300" ht="15.75" customHeight="1">
      <c r="B300" s="17" t="s">
        <v>1058</v>
      </c>
      <c r="C300" s="39"/>
      <c r="D300" s="49" t="s">
        <v>165</v>
      </c>
      <c r="E300" s="41"/>
    </row>
    <row r="301" ht="15.75" customHeight="1">
      <c r="B301" s="17" t="s">
        <v>1077</v>
      </c>
      <c r="C301" s="42"/>
      <c r="D301" s="40" t="s">
        <v>78</v>
      </c>
      <c r="E301" s="41"/>
    </row>
    <row r="302" ht="15.75" customHeight="1">
      <c r="B302" s="17" t="s">
        <v>902</v>
      </c>
      <c r="C302" s="42"/>
      <c r="D302" s="40" t="s">
        <v>78</v>
      </c>
      <c r="E302" s="41"/>
    </row>
    <row r="303" ht="30.0" customHeight="1">
      <c r="B303" s="17" t="s">
        <v>1079</v>
      </c>
      <c r="C303" s="42"/>
      <c r="D303" s="40" t="s">
        <v>130</v>
      </c>
      <c r="E303" s="41" t="s">
        <v>1080</v>
      </c>
    </row>
    <row r="304" ht="15.75" customHeight="1"/>
    <row r="305" ht="21.75" customHeight="1">
      <c r="A305" s="76">
        <v>33.0</v>
      </c>
      <c r="B305" s="77" t="s">
        <v>2672</v>
      </c>
      <c r="C305" s="53"/>
      <c r="D305" s="53"/>
      <c r="E305" s="54"/>
      <c r="F305" s="78" t="s">
        <v>178</v>
      </c>
      <c r="G305" s="71" t="s">
        <v>47</v>
      </c>
      <c r="H305" s="79" t="str">
        <f>IF(G305="",IF(COUNTA(B309:G311)&gt;0,"⚠ 상태 미선택(입력값 있음)","상태 미선택 → 미수집 간주"),IF(G305="값 있음",IF(COUNTA(B309:G311)=0,"⚠ 값 있음인데 입력값 없음","✓ 정상"),IF(COUNTA(B309:G311)&gt;0,"⚠ 상태와 입력값 불일치","✓ 정상")))</f>
        <v>✓ 정상</v>
      </c>
      <c r="I305" s="54"/>
    </row>
    <row r="306" ht="24.0" customHeight="1">
      <c r="B306" s="60" t="s">
        <v>2673</v>
      </c>
    </row>
    <row r="307" ht="15.75" customHeight="1">
      <c r="A307" s="62" t="s">
        <v>24</v>
      </c>
      <c r="B307" s="13" t="s">
        <v>2674</v>
      </c>
      <c r="C307" s="13" t="s">
        <v>1090</v>
      </c>
      <c r="D307" s="13" t="s">
        <v>2675</v>
      </c>
      <c r="E307" s="13" t="s">
        <v>2676</v>
      </c>
      <c r="F307" s="13" t="s">
        <v>2677</v>
      </c>
      <c r="G307" s="13" t="s">
        <v>2678</v>
      </c>
    </row>
    <row r="308" ht="15.0" customHeight="1">
      <c r="A308" s="63" t="s">
        <v>111</v>
      </c>
      <c r="B308" s="63" t="s">
        <v>2679</v>
      </c>
      <c r="C308" s="63" t="s">
        <v>130</v>
      </c>
      <c r="D308" s="63" t="s">
        <v>525</v>
      </c>
      <c r="E308" s="63" t="s">
        <v>525</v>
      </c>
      <c r="F308" s="63" t="s">
        <v>525</v>
      </c>
      <c r="G308" s="63" t="s">
        <v>2680</v>
      </c>
    </row>
    <row r="309" ht="60.0" customHeight="1">
      <c r="A309" s="65">
        <v>1.0</v>
      </c>
      <c r="B309" s="42">
        <v>17.0</v>
      </c>
      <c r="C309" s="69" t="s">
        <v>2681</v>
      </c>
      <c r="D309" s="69" t="s">
        <v>2682</v>
      </c>
      <c r="E309" s="69" t="s">
        <v>2683</v>
      </c>
      <c r="F309" s="69" t="s">
        <v>2684</v>
      </c>
      <c r="G309" s="69" t="s">
        <v>2685</v>
      </c>
    </row>
    <row r="310" ht="60.0" customHeight="1">
      <c r="A310" s="65">
        <v>2.0</v>
      </c>
      <c r="B310" s="42"/>
      <c r="C310" s="42"/>
      <c r="D310" s="42"/>
      <c r="E310" s="42"/>
      <c r="F310" s="42"/>
      <c r="G310" s="42"/>
    </row>
    <row r="311" ht="60.0" customHeight="1">
      <c r="A311" s="65">
        <v>3.0</v>
      </c>
      <c r="B311" s="42"/>
      <c r="C311" s="42"/>
      <c r="D311" s="42"/>
      <c r="E311" s="42"/>
      <c r="F311" s="42"/>
      <c r="G311" s="42"/>
    </row>
    <row r="312" ht="15.75" customHeight="1"/>
    <row r="313" ht="21.75" customHeight="1">
      <c r="A313" s="76">
        <v>34.0</v>
      </c>
      <c r="B313" s="77" t="s">
        <v>826</v>
      </c>
      <c r="C313" s="53"/>
      <c r="D313" s="53"/>
      <c r="E313" s="54"/>
      <c r="F313" s="78" t="s">
        <v>178</v>
      </c>
      <c r="G313" s="71" t="s">
        <v>950</v>
      </c>
      <c r="H313" s="79" t="str">
        <f>IF(G313="",IF(COUNTA(B317:F318)&gt;0,"⚠ 상태 미선택(입력값 있음)","상태 미선택 → 미수집 간주"),IF(G313="값 있음",IF(COUNTA(B317:F318)=0,"⚠ 값 있음인데 입력값 없음","✓ 정상"),IF(COUNTA(B317:F318)&gt;0,"⚠ 상태와 입력값 불일치","✓ 정상")))</f>
        <v>✓ 정상</v>
      </c>
      <c r="I313" s="54"/>
    </row>
    <row r="314" ht="15.0" customHeight="1">
      <c r="B314" s="60" t="s">
        <v>2686</v>
      </c>
    </row>
    <row r="315" ht="15.75" customHeight="1">
      <c r="A315" s="62" t="s">
        <v>24</v>
      </c>
      <c r="B315" s="13" t="s">
        <v>2687</v>
      </c>
      <c r="C315" s="13" t="s">
        <v>1112</v>
      </c>
      <c r="D315" s="13" t="s">
        <v>1114</v>
      </c>
      <c r="E315" s="13" t="s">
        <v>1115</v>
      </c>
      <c r="F315" s="13" t="s">
        <v>1116</v>
      </c>
    </row>
    <row r="316" ht="15.0" customHeight="1">
      <c r="A316" s="63" t="s">
        <v>111</v>
      </c>
      <c r="B316" s="63" t="s">
        <v>130</v>
      </c>
      <c r="C316" s="64" t="s">
        <v>2688</v>
      </c>
      <c r="D316" s="63" t="s">
        <v>130</v>
      </c>
      <c r="E316" s="63" t="s">
        <v>525</v>
      </c>
      <c r="F316" s="64" t="s">
        <v>165</v>
      </c>
    </row>
    <row r="317" ht="36.0" customHeight="1">
      <c r="A317" s="65">
        <v>1.0</v>
      </c>
      <c r="B317" s="42"/>
      <c r="C317" s="42"/>
      <c r="D317" s="42"/>
      <c r="E317" s="42"/>
      <c r="F317" s="39"/>
    </row>
    <row r="318" ht="36.0" customHeight="1">
      <c r="A318" s="65">
        <v>2.0</v>
      </c>
      <c r="B318" s="42"/>
      <c r="C318" s="42"/>
      <c r="D318" s="42"/>
      <c r="E318" s="42"/>
      <c r="F318" s="39"/>
    </row>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4">
    <mergeCell ref="A1:I1"/>
    <mergeCell ref="A2:I2"/>
    <mergeCell ref="F3:I3"/>
    <mergeCell ref="A5:I5"/>
    <mergeCell ref="E6:I6"/>
    <mergeCell ref="E7:I7"/>
    <mergeCell ref="E8:I8"/>
    <mergeCell ref="E9:I9"/>
    <mergeCell ref="E10:I10"/>
    <mergeCell ref="E11:I11"/>
    <mergeCell ref="E12:I12"/>
    <mergeCell ref="E13:I13"/>
    <mergeCell ref="E14:I14"/>
    <mergeCell ref="E15:I15"/>
    <mergeCell ref="E16:I16"/>
    <mergeCell ref="E17:I17"/>
    <mergeCell ref="E18:I18"/>
    <mergeCell ref="E19:I19"/>
    <mergeCell ref="E20:I20"/>
    <mergeCell ref="A22:I22"/>
    <mergeCell ref="H23:I23"/>
    <mergeCell ref="B23:E23"/>
    <mergeCell ref="B24:I24"/>
    <mergeCell ref="E25:I25"/>
    <mergeCell ref="E26:I26"/>
    <mergeCell ref="E27:I27"/>
    <mergeCell ref="H39:I39"/>
    <mergeCell ref="B40:I40"/>
    <mergeCell ref="B39:E39"/>
    <mergeCell ref="B49:E49"/>
    <mergeCell ref="H49:I49"/>
    <mergeCell ref="B50:I50"/>
    <mergeCell ref="E51:I51"/>
    <mergeCell ref="E52:I52"/>
    <mergeCell ref="H60:I60"/>
    <mergeCell ref="B60:E60"/>
    <mergeCell ref="B61:I61"/>
    <mergeCell ref="E62:I62"/>
    <mergeCell ref="E63:I63"/>
    <mergeCell ref="E64:I64"/>
    <mergeCell ref="A66:I66"/>
    <mergeCell ref="H67:I67"/>
    <mergeCell ref="B67:E67"/>
    <mergeCell ref="B68:I68"/>
    <mergeCell ref="E69:I69"/>
    <mergeCell ref="E70:I70"/>
    <mergeCell ref="E71:I71"/>
    <mergeCell ref="E72:I72"/>
    <mergeCell ref="E73:I73"/>
    <mergeCell ref="E74:I74"/>
    <mergeCell ref="B76:E76"/>
    <mergeCell ref="H76:I76"/>
    <mergeCell ref="B77:I77"/>
    <mergeCell ref="E78:I78"/>
    <mergeCell ref="E79:I79"/>
    <mergeCell ref="E80:I80"/>
    <mergeCell ref="E81:I81"/>
    <mergeCell ref="B83:E83"/>
    <mergeCell ref="H83:I83"/>
    <mergeCell ref="B84:I84"/>
    <mergeCell ref="E85:I85"/>
    <mergeCell ref="E86:I86"/>
    <mergeCell ref="E87:I87"/>
    <mergeCell ref="E88:I88"/>
    <mergeCell ref="A90:I90"/>
    <mergeCell ref="B91:E91"/>
    <mergeCell ref="H91:I91"/>
    <mergeCell ref="B92:I92"/>
    <mergeCell ref="H100:I100"/>
    <mergeCell ref="B101:I101"/>
    <mergeCell ref="B100:E100"/>
    <mergeCell ref="B108:E108"/>
    <mergeCell ref="H108:I108"/>
    <mergeCell ref="B109:I109"/>
    <mergeCell ref="A116:I116"/>
    <mergeCell ref="H117:I117"/>
    <mergeCell ref="B118:I118"/>
    <mergeCell ref="B117:E117"/>
    <mergeCell ref="B125:E125"/>
    <mergeCell ref="H125:I125"/>
    <mergeCell ref="B126:I126"/>
    <mergeCell ref="B133:E133"/>
    <mergeCell ref="H133:I133"/>
    <mergeCell ref="B134:I134"/>
    <mergeCell ref="E135:I135"/>
    <mergeCell ref="E136:I136"/>
    <mergeCell ref="E137:I137"/>
    <mergeCell ref="E138:I138"/>
    <mergeCell ref="A140:I140"/>
    <mergeCell ref="H141:I141"/>
    <mergeCell ref="B142:I142"/>
    <mergeCell ref="B141:E141"/>
    <mergeCell ref="B151:E151"/>
    <mergeCell ref="H151:I151"/>
    <mergeCell ref="B152:I152"/>
    <mergeCell ref="B158:E158"/>
    <mergeCell ref="H158:I158"/>
    <mergeCell ref="B159:I159"/>
    <mergeCell ref="B264:E264"/>
    <mergeCell ref="B265:I265"/>
    <mergeCell ref="B271:E271"/>
    <mergeCell ref="H271:I271"/>
    <mergeCell ref="B272:I272"/>
    <mergeCell ref="E273:I273"/>
    <mergeCell ref="E274:I274"/>
    <mergeCell ref="E275:I275"/>
    <mergeCell ref="E276:I276"/>
    <mergeCell ref="E277:I277"/>
    <mergeCell ref="B279:E279"/>
    <mergeCell ref="H279:I279"/>
    <mergeCell ref="B280:I280"/>
    <mergeCell ref="E281:I281"/>
    <mergeCell ref="B305:E305"/>
    <mergeCell ref="H305:I305"/>
    <mergeCell ref="B306:I306"/>
    <mergeCell ref="B313:E313"/>
    <mergeCell ref="H313:I313"/>
    <mergeCell ref="B314:I314"/>
    <mergeCell ref="B298:E298"/>
    <mergeCell ref="H298:I298"/>
    <mergeCell ref="B299:I299"/>
    <mergeCell ref="E300:I300"/>
    <mergeCell ref="E301:I301"/>
    <mergeCell ref="E302:I302"/>
    <mergeCell ref="E303:I303"/>
    <mergeCell ref="A165:I165"/>
    <mergeCell ref="B166:E166"/>
    <mergeCell ref="H166:I166"/>
    <mergeCell ref="B167:I167"/>
    <mergeCell ref="B174:E174"/>
    <mergeCell ref="H174:I174"/>
    <mergeCell ref="B175:I175"/>
    <mergeCell ref="E176:I176"/>
    <mergeCell ref="E177:I177"/>
    <mergeCell ref="E178:I178"/>
    <mergeCell ref="A180:I180"/>
    <mergeCell ref="B181:E181"/>
    <mergeCell ref="H181:I181"/>
    <mergeCell ref="B182:I182"/>
    <mergeCell ref="B190:E190"/>
    <mergeCell ref="H190:I190"/>
    <mergeCell ref="B191:I191"/>
    <mergeCell ref="B198:E198"/>
    <mergeCell ref="H198:I198"/>
    <mergeCell ref="B199:I199"/>
    <mergeCell ref="A207:I207"/>
    <mergeCell ref="B208:E208"/>
    <mergeCell ref="H208:I208"/>
    <mergeCell ref="B209:I209"/>
    <mergeCell ref="B217:E217"/>
    <mergeCell ref="H217:I217"/>
    <mergeCell ref="B218:I218"/>
    <mergeCell ref="E219:I219"/>
    <mergeCell ref="B227:E227"/>
    <mergeCell ref="H227:I227"/>
    <mergeCell ref="B228:I228"/>
    <mergeCell ref="B235:E235"/>
    <mergeCell ref="H235:I235"/>
    <mergeCell ref="B236:I236"/>
    <mergeCell ref="A244:I244"/>
    <mergeCell ref="B245:E245"/>
    <mergeCell ref="H245:I245"/>
    <mergeCell ref="B246:I246"/>
    <mergeCell ref="B254:E254"/>
    <mergeCell ref="H254:I254"/>
    <mergeCell ref="B255:I255"/>
    <mergeCell ref="H264:I264"/>
    <mergeCell ref="E282:I282"/>
    <mergeCell ref="E283:I283"/>
    <mergeCell ref="A285:I285"/>
    <mergeCell ref="B286:E286"/>
    <mergeCell ref="H286:I286"/>
    <mergeCell ref="B287:I287"/>
    <mergeCell ref="E288:I288"/>
  </mergeCells>
  <conditionalFormatting sqref="H5:H1000">
    <cfRule type="expression" dxfId="5" priority="1">
      <formula>LEFT(H5,1)="✓"</formula>
    </cfRule>
  </conditionalFormatting>
  <conditionalFormatting sqref="H5:H1000">
    <cfRule type="expression" dxfId="6" priority="2">
      <formula>LEFT(H5,2)="상태"</formula>
    </cfRule>
  </conditionalFormatting>
  <dataValidations>
    <dataValidation type="list" allowBlank="1" showInputMessage="1" showErrorMessage="1" prompt="허용값 아님 - 목록에서 선택해 주세요: 논문,보고서,학술발표자료" sqref="B104:B106">
      <formula1>"논문,보고서,학술발표자료"</formula1>
    </dataValidation>
    <dataValidation type="list" allowBlank="1" showInputMessage="1" showErrorMessage="1" prompt="허용값 아님 - 목록에서 선택해 주세요: 신청,이수중,이수완료" sqref="D55:D58">
      <formula1>"신청,이수중,이수완료"</formula1>
    </dataValidation>
    <dataValidation type="list" allowBlank="1" showInputMessage="1" showErrorMessage="1" prompt="허용값 아님 - 목록에서 선택해 주세요: 교과,비교과,3품(AI)" sqref="B185:B188">
      <formula1>"교과,비교과,3품(AI)"</formula1>
    </dataValidation>
    <dataValidation type="list" allowBlank="1" showInputMessage="1" showErrorMessage="1" prompt="허용값 아님 - 목록에서 선택해 주세요: 참가,입선,장려,우수,최우수,대상" sqref="E145:E149">
      <formula1>"참가,입선,장려,우수,최우수,대상"</formula1>
    </dataValidation>
    <dataValidation type="list" allowBlank="1" showInputMessage="1" showErrorMessage="1" prompt="허용값 아님 - 목록에서 선택해 주세요: TOEIC,TOEFL iBT,TOEIC Speaking,OPIc,HSK,JPT,JLPT,DELF/DALF,DELE,기타" sqref="B249:B252">
      <formula1>"TOEIC,TOEFL iBT,TOEIC Speaking,OPIc,HSK,JPT,JLPT,DELF/DALF,DELE,기타"</formula1>
    </dataValidation>
    <dataValidation type="list" allowBlank="1" showInputMessage="1" showErrorMessage="1" prompt="허용값 아님 - 목록에서 선택해 주세요: Y,N" sqref="C17 C20 I121:I123 C136 G170:G172">
      <formula1>"Y,N"</formula1>
    </dataValidation>
    <dataValidation type="list" allowBlank="1" showInputMessage="1" showErrorMessage="1" prompt="허용값 아님 - 목록에서 선택해 주세요: 지도교수,수업 담당교수" sqref="C317:C318">
      <formula1>"지도교수,수업 담당교수"</formula1>
    </dataValidation>
    <dataValidation type="list" allowBlank="1" showInputMessage="1" showErrorMessage="1" prompt="허용값 아님 - 목록에서 선택해 주세요: 튜터,튜티,멘토,멘티,스터디,학습공동체" sqref="B231:B233">
      <formula1>"튜터,튜티,멘토,멘티,스터디,학습공동체"</formula1>
    </dataValidation>
    <dataValidation type="list" allowBlank="1" showInputMessage="1" showErrorMessage="1" prompt="허용값 아님 - 목록에서 선택해 주세요: 학부,석사,박사,석박통합" sqref="C13">
      <formula1>"학부,석사,박사,석박통합"</formula1>
    </dataValidation>
    <dataValidation type="list" allowBlank="1" showInputMessage="1" showErrorMessage="1" prompt="허용값 아님 - 목록에서 선택해 주세요: 출원,등록" sqref="D162:D163">
      <formula1>"출원,등록"</formula1>
    </dataValidation>
    <dataValidation type="list" allowBlank="1" showInputMessage="1" showErrorMessage="1" prompt="허용값 아님 - 목록에서 선택해 주세요: 특허,실용신안,디자인,SW등록" sqref="B162:B163">
      <formula1>"특허,실용신안,디자인,SW등록"</formula1>
    </dataValidation>
    <dataValidation type="list" allowBlank="1" showInputMessage="1" showErrorMessage="1" prompt="허용값 아님 - 목록에서 선택해 주세요: 값 있음,활동 없음,미수집,해당 없음" sqref="G23 G39 G49 G60 G67 G76 G83 G91 G100 G108 G117 G125 G133 G141 G151 G158 G166 G174 G181 G190 G198 G208 G217 G227 G235 G245 G254 G264 G271 G279 G286 G298 G305 G313">
      <formula1>"값 있음,활동 없음,미수집,해당 없음"</formula1>
    </dataValidation>
    <dataValidation type="list" allowBlank="1" showInputMessage="1" showErrorMessage="1" prompt="허용값 아님 - 목록에서 선택해 주세요: 주전공,복수전공,부전공,연계전공,융합전공,심화전공" sqref="B55:B58">
      <formula1>"주전공,복수전공,부전공,연계전공,융합전공,심화전공"</formula1>
    </dataValidation>
    <dataValidation type="list" allowBlank="1" showInputMessage="1" showErrorMessage="1" prompt="허용값 아님 - 목록에서 선택해 주세요: 교내,교외(국내),국외,유학생 봉사" sqref="B222:B225">
      <formula1>"교내,교외(국내),국외,유학생 봉사"</formula1>
    </dataValidation>
    <dataValidation type="list" allowBlank="1" showInputMessage="1" showErrorMessage="1" prompt="허용값 아님 - 목록에서 선택해 주세요: 이수중,이수완료,미이수,포기" sqref="C64">
      <formula1>"이수중,이수완료,미이수,포기"</formula1>
    </dataValidation>
    <dataValidation type="list" allowBlank="1" showInputMessage="1" showErrorMessage="1" prompt="허용값 아님 - 목록에서 선택해 주세요: 관련,일부 관련,무관" sqref="H121:H123">
      <formula1>"관련,일부 관련,무관"</formula1>
    </dataValidation>
    <dataValidation type="list" allowBlank="1" showInputMessage="1" showErrorMessage="1" prompt="허용값 아님 - 목록에서 선택해 주세요: 시스템 연동,학생 직접 입력,혼합" sqref="C19">
      <formula1>"시스템 연동,학생 직접 입력,혼합"</formula1>
    </dataValidation>
    <dataValidation type="list" allowBlank="1" showInputMessage="1" showErrorMessage="1" prompt="허용값 아님 - 목록에서 선택해 주세요: 국제학술지,국내학술지,국제학술대회,국내학술대회,교내" sqref="D104:D106">
      <formula1>"국제학술지,국내학술지,국제학술대회,국내학술대회,교내"</formula1>
    </dataValidation>
    <dataValidation type="list" allowBlank="1" showInputMessage="1" showErrorMessage="1" prompt="허용값 아님 - 목록에서 선택해 주세요: 게재,게재승인,투고,작성중" sqref="E104:E106">
      <formula1>"게재,게재승인,투고,작성중"</formula1>
    </dataValidation>
    <dataValidation type="list" allowBlank="1" showInputMessage="1" showErrorMessage="1" prompt="허용값 아님 - 목록에서 선택해 주세요: 이수,수강중,미이수" sqref="F185:F188">
      <formula1>"이수,수강중,미이수"</formula1>
    </dataValidation>
    <dataValidation type="list" allowBlank="1" showInputMessage="1" showErrorMessage="1" prompt="허용값 아님 - 목록에서 선택해 주세요: 신입학,편입학,재입학" sqref="C14">
      <formula1>"신입학,편입학,재입학"</formula1>
    </dataValidation>
    <dataValidation type="list" allowBlank="1" showInputMessage="1" showErrorMessage="1" prompt="허용값 아님 - 목록에서 선택해 주세요: 창업교과목,창업경진대회,사업자등록,창업동아리" sqref="B155:B156">
      <formula1>"창업교과목,창업경진대회,사업자등록,창업동아리"</formula1>
    </dataValidation>
    <dataValidation type="list" allowBlank="1" showInputMessage="1" showErrorMessage="1" prompt="허용값 아님 - 목록에서 선택해 주세요: 고용보험,재직·경력증명,없음" sqref="F129:F131">
      <formula1>"고용보험,재직·경력증명,없음"</formula1>
    </dataValidation>
    <dataValidation type="list" allowBlank="1" showInputMessage="1" showErrorMessage="1" prompt="허용값 아님 - 목록에서 선택해 주세요: 발표형,토론형,과제·보고서형,PBL형" sqref="D43:D47">
      <formula1>"발표형,토론형,과제·보고서형,PBL형"</formula1>
    </dataValidation>
    <dataValidation type="list" allowBlank="1" showInputMessage="1" showErrorMessage="1" prompt="허용값 아님 - 목록에서 선택해 주세요: A+,A0,B+,B0,C+,C0,D+,D0,F,P" sqref="E43:E47">
      <formula1>"A+,A0,B+,B0,C+,C0,D+,D0,F,P"</formula1>
    </dataValidation>
    <dataValidation type="list" allowBlank="1" showInputMessage="1" showErrorMessage="1" prompt="허용값 아님 - 목록에서 선택해 주세요: 교환학생,어학연수,해외봉사,국제연구,국제문화체험,해외학습" sqref="B170:B172">
      <formula1>"교환학생,어학연수,해외봉사,국제연구,국제문화체험,해외학습"</formula1>
    </dataValidation>
    <dataValidation type="list" allowBlank="1" showInputMessage="1" showErrorMessage="1" prompt="허용값 아님 - 목록에서 선택해 주세요: 대상,비대상" sqref="C62">
      <formula1>"대상,비대상"</formula1>
    </dataValidation>
    <dataValidation type="list" allowBlank="1" showInputMessage="1" showErrorMessage="1" prompt="허용값 아님 - 목록에서 선택해 주세요: 기초,활용,능숙" sqref="C202:C205">
      <formula1>"기초,활용,능숙"</formula1>
    </dataValidation>
    <dataValidation type="list" allowBlank="1" showInputMessage="1" showErrorMessage="1" prompt="허용값 아님 - 목록에서 선택해 주세요: 학부연구생,URP,학회,연구실 인턴,팀연구프로젝트" sqref="B95:B98">
      <formula1>"학부연구생,URP,학회,연구실 인턴,팀연구프로젝트"</formula1>
    </dataValidation>
    <dataValidation type="list" allowBlank="1" showInputMessage="1" showErrorMessage="1" prompt="허용값 아님 - 목록에서 선택해 주세요: AI캡스톤,AI대회,AI공모전,AI프로젝트" sqref="B194:B196">
      <formula1>"AI캡스톤,AI대회,AI공모전,AI프로젝트"</formula1>
    </dataValidation>
    <dataValidation type="list" allowBlank="1" showInputMessage="1" showErrorMessage="1" prompt="허용값 아님 - 목록에서 선택해 주세요: 재학,휴학,수료" sqref="C16">
      <formula1>"재학,휴학,수료"</formula1>
    </dataValidation>
    <dataValidation type="list" allowBlank="1" showInputMessage="1" showErrorMessage="1" prompt="허용값 아님 - 목록에서 선택해 주세요: 동아리,학생회,학회,기타단체" sqref="B212:B215">
      <formula1>"동아리,학생회,학회,기타단체"</formula1>
    </dataValidation>
    <dataValidation type="list" allowBlank="1" showInputMessage="1" showErrorMessage="1" prompt="허용값 아님 - 목록에서 선택해 주세요: 교내,지역,전국,국제" sqref="D145:D149 F194:F196">
      <formula1>"교내,지역,전국,국제"</formula1>
    </dataValidation>
    <dataValidation type="list" allowBlank="1" showInputMessage="1" showErrorMessage="1" prompt="허용값 아님 - 목록에서 선택해 주세요: 인턴십,현장실습,연구체험,문제해결프로젝트" sqref="B121:B123">
      <formula1>"인턴십,현장실습,연구체험,문제해결프로젝트"</formula1>
    </dataValidation>
    <dataValidation type="list" allowBlank="1" showInputMessage="1" showErrorMessage="1" prompt="허용값 아님 - 목록에서 선택해 주세요: 개인,팀" sqref="F145:F149">
      <formula1>"개인,팀"</formula1>
    </dataValidation>
    <dataValidation type="list" allowBlank="1" showInputMessage="1" showErrorMessage="1" prompt="허용값 아님 - 목록에서 선택해 주세요: 단독,공동" sqref="G162:G163">
      <formula1>"단독,공동"</formula1>
    </dataValidation>
    <dataValidation type="list" allowBlank="1" showInputMessage="1" showErrorMessage="1" prompt="허용값 아님 - 목록에서 선택해 주세요: 회장,부회장,부장,총무,부원" sqref="D212:D215">
      <formula1>"회장,부회장,부장,총무,부원"</formula1>
    </dataValidation>
    <dataValidation type="list" allowBlank="1" showInputMessage="1" showErrorMessage="1" prompt="허용값 아님 - 목록에서 선택해 주세요: 단독,제1저자,공동저자" sqref="F104:F106">
      <formula1>"단독,제1저자,공동저자"</formula1>
    </dataValidation>
    <dataValidation type="list" allowBlank="1" showInputMessage="1" showErrorMessage="1" prompt="허용값 아님 - 목록에서 선택해 주세요: 취득,진행중,미취득" sqref="C273:C277">
      <formula1>"취득,진행중,미취득"</formula1>
    </dataValidation>
    <dataValidation type="list" allowBlank="1" showInputMessage="1" showErrorMessage="1" prompt="허용값 아님 - 목록에서 선택해 주세요: 응시,1차 합격,2차 합격,최종 합격" sqref="C268:C269">
      <formula1>"응시,1차 합격,2차 합격,최종 합격"</formula1>
    </dataValidation>
  </dataValidations>
  <printOptions/>
  <pageMargins bottom="1.0" footer="0.0" header="0.0" left="0.75" right="0.75" top="1.0"/>
  <pageSetup fitToHeight="0"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0.0"/>
    <col customWidth="1" min="2" max="2" width="26.0"/>
    <col customWidth="1" min="3" max="3" width="22.0"/>
    <col customWidth="1" min="4" max="4" width="60.0"/>
    <col customWidth="1" min="5" max="5" width="26.0"/>
    <col customWidth="1" min="6" max="26" width="8.71"/>
  </cols>
  <sheetData>
    <row r="1">
      <c r="A1" s="2" t="s">
        <v>2168</v>
      </c>
    </row>
    <row r="3">
      <c r="A3" s="11" t="s">
        <v>2169</v>
      </c>
      <c r="B3" s="11" t="s">
        <v>2170</v>
      </c>
      <c r="C3" s="11" t="s">
        <v>2171</v>
      </c>
      <c r="D3" s="11" t="s">
        <v>2172</v>
      </c>
      <c r="E3" s="11" t="s">
        <v>27</v>
      </c>
    </row>
    <row r="4">
      <c r="A4" s="86" t="s">
        <v>47</v>
      </c>
      <c r="B4" s="22" t="s">
        <v>2173</v>
      </c>
      <c r="C4" s="22" t="s">
        <v>2175</v>
      </c>
      <c r="D4" s="22" t="s">
        <v>2177</v>
      </c>
      <c r="E4" s="21" t="s">
        <v>2178</v>
      </c>
    </row>
    <row r="5">
      <c r="A5" s="86" t="s">
        <v>49</v>
      </c>
      <c r="B5" s="22" t="s">
        <v>2180</v>
      </c>
      <c r="C5" s="22" t="s">
        <v>2181</v>
      </c>
      <c r="D5" s="21" t="s">
        <v>2182</v>
      </c>
      <c r="E5" s="22" t="s">
        <v>2185</v>
      </c>
    </row>
    <row r="6">
      <c r="A6" s="86" t="s">
        <v>950</v>
      </c>
      <c r="B6" s="22" t="s">
        <v>2187</v>
      </c>
      <c r="C6" s="22" t="s">
        <v>2181</v>
      </c>
      <c r="D6" s="22" t="s">
        <v>2190</v>
      </c>
      <c r="E6" s="21" t="s">
        <v>2192</v>
      </c>
    </row>
    <row r="7">
      <c r="A7" s="86" t="s">
        <v>51</v>
      </c>
      <c r="B7" s="22" t="s">
        <v>2193</v>
      </c>
      <c r="C7" s="22" t="s">
        <v>2181</v>
      </c>
      <c r="D7" s="22" t="s">
        <v>2195</v>
      </c>
      <c r="E7" s="22" t="s">
        <v>2196</v>
      </c>
    </row>
    <row r="8">
      <c r="A8" s="87" t="s">
        <v>2197</v>
      </c>
      <c r="B8" s="22" t="s">
        <v>2198</v>
      </c>
      <c r="C8" s="21" t="s">
        <v>1929</v>
      </c>
      <c r="D8" s="22" t="s">
        <v>2199</v>
      </c>
      <c r="E8" s="21" t="s">
        <v>1929</v>
      </c>
    </row>
    <row r="10">
      <c r="A10" s="3" t="s">
        <v>2201</v>
      </c>
    </row>
    <row r="12">
      <c r="A12" s="12" t="s">
        <v>24</v>
      </c>
      <c r="B12" s="11" t="s">
        <v>25</v>
      </c>
      <c r="C12" s="11" t="s">
        <v>107</v>
      </c>
      <c r="D12" s="11" t="s">
        <v>2202</v>
      </c>
    </row>
    <row r="13">
      <c r="A13" s="22" t="s">
        <v>2203</v>
      </c>
      <c r="B13" s="22" t="s">
        <v>2204</v>
      </c>
      <c r="C13" s="22" t="s">
        <v>143</v>
      </c>
      <c r="D13" s="22" t="s">
        <v>2205</v>
      </c>
    </row>
    <row r="14">
      <c r="A14" s="22" t="s">
        <v>2203</v>
      </c>
      <c r="B14" s="22" t="s">
        <v>2204</v>
      </c>
      <c r="C14" s="22" t="s">
        <v>149</v>
      </c>
      <c r="D14" s="22" t="s">
        <v>2206</v>
      </c>
    </row>
    <row r="15">
      <c r="A15" s="22" t="s">
        <v>2203</v>
      </c>
      <c r="B15" s="22" t="s">
        <v>2204</v>
      </c>
      <c r="C15" s="22" t="s">
        <v>161</v>
      </c>
      <c r="D15" s="22" t="s">
        <v>2207</v>
      </c>
    </row>
    <row r="16">
      <c r="A16" s="22" t="s">
        <v>2203</v>
      </c>
      <c r="B16" s="22" t="s">
        <v>2204</v>
      </c>
      <c r="C16" s="22" t="s">
        <v>162</v>
      </c>
      <c r="D16" s="21" t="s">
        <v>2208</v>
      </c>
    </row>
    <row r="17">
      <c r="A17" s="22" t="s">
        <v>2203</v>
      </c>
      <c r="B17" s="22" t="s">
        <v>2204</v>
      </c>
      <c r="C17" s="22" t="s">
        <v>167</v>
      </c>
      <c r="D17" s="22" t="s">
        <v>2209</v>
      </c>
    </row>
    <row r="18">
      <c r="A18" s="22" t="s">
        <v>2203</v>
      </c>
      <c r="B18" s="22" t="s">
        <v>2204</v>
      </c>
      <c r="C18" s="22" t="s">
        <v>2211</v>
      </c>
      <c r="D18" s="21" t="s">
        <v>2208</v>
      </c>
    </row>
    <row r="19">
      <c r="A19" s="21">
        <v>2.0</v>
      </c>
      <c r="B19" s="22" t="s">
        <v>127</v>
      </c>
      <c r="C19" s="22" t="s">
        <v>216</v>
      </c>
      <c r="D19" s="22" t="s">
        <v>2213</v>
      </c>
    </row>
    <row r="20">
      <c r="A20" s="21">
        <v>2.0</v>
      </c>
      <c r="B20" s="22" t="s">
        <v>127</v>
      </c>
      <c r="C20" s="22" t="s">
        <v>217</v>
      </c>
      <c r="D20" s="21" t="s">
        <v>2215</v>
      </c>
    </row>
    <row r="21" ht="15.75" customHeight="1">
      <c r="A21" s="21">
        <v>3.0</v>
      </c>
      <c r="B21" s="22" t="s">
        <v>2218</v>
      </c>
      <c r="C21" s="22" t="s">
        <v>263</v>
      </c>
      <c r="D21" s="22" t="s">
        <v>2219</v>
      </c>
    </row>
    <row r="22" ht="15.75" customHeight="1">
      <c r="A22" s="21">
        <v>3.0</v>
      </c>
      <c r="B22" s="22" t="s">
        <v>2220</v>
      </c>
      <c r="C22" s="22" t="s">
        <v>265</v>
      </c>
      <c r="D22" s="22" t="s">
        <v>2240</v>
      </c>
    </row>
    <row r="23" ht="15.75" customHeight="1">
      <c r="A23" s="21">
        <v>4.0</v>
      </c>
      <c r="B23" s="22" t="s">
        <v>180</v>
      </c>
      <c r="C23" s="22" t="s">
        <v>280</v>
      </c>
      <c r="D23" s="22" t="s">
        <v>2246</v>
      </c>
    </row>
    <row r="24" ht="15.75" customHeight="1">
      <c r="A24" s="21">
        <v>4.0</v>
      </c>
      <c r="B24" s="22" t="s">
        <v>180</v>
      </c>
      <c r="C24" s="22" t="s">
        <v>265</v>
      </c>
      <c r="D24" s="22" t="s">
        <v>2250</v>
      </c>
    </row>
    <row r="25" ht="15.75" customHeight="1">
      <c r="A25" s="21">
        <v>8.0</v>
      </c>
      <c r="B25" s="22" t="s">
        <v>2251</v>
      </c>
      <c r="C25" s="22" t="s">
        <v>377</v>
      </c>
      <c r="D25" s="22" t="s">
        <v>2253</v>
      </c>
    </row>
    <row r="26" ht="15.75" customHeight="1">
      <c r="A26" s="21">
        <v>9.0</v>
      </c>
      <c r="B26" s="22" t="s">
        <v>2255</v>
      </c>
      <c r="C26" s="22" t="s">
        <v>400</v>
      </c>
      <c r="D26" s="22" t="s">
        <v>2256</v>
      </c>
    </row>
    <row r="27" ht="15.75" customHeight="1">
      <c r="A27" s="21">
        <v>9.0</v>
      </c>
      <c r="B27" s="22" t="s">
        <v>2258</v>
      </c>
      <c r="C27" s="22" t="s">
        <v>402</v>
      </c>
      <c r="D27" s="22" t="s">
        <v>2261</v>
      </c>
    </row>
    <row r="28" ht="15.75" customHeight="1">
      <c r="A28" s="21">
        <v>9.0</v>
      </c>
      <c r="B28" s="22" t="s">
        <v>2264</v>
      </c>
      <c r="C28" s="22" t="s">
        <v>403</v>
      </c>
      <c r="D28" s="22" t="s">
        <v>2266</v>
      </c>
    </row>
    <row r="29" ht="15.75" customHeight="1">
      <c r="A29" s="21">
        <v>9.0</v>
      </c>
      <c r="B29" s="22" t="s">
        <v>2268</v>
      </c>
      <c r="C29" s="22" t="s">
        <v>404</v>
      </c>
      <c r="D29" s="22" t="s">
        <v>2271</v>
      </c>
    </row>
    <row r="30" ht="15.75" customHeight="1">
      <c r="A30" s="21">
        <v>11.0</v>
      </c>
      <c r="B30" s="22" t="s">
        <v>2273</v>
      </c>
      <c r="C30" s="22" t="s">
        <v>400</v>
      </c>
      <c r="D30" s="22" t="s">
        <v>2275</v>
      </c>
    </row>
    <row r="31" ht="15.75" customHeight="1">
      <c r="A31" s="21">
        <v>11.0</v>
      </c>
      <c r="B31" s="22" t="s">
        <v>2278</v>
      </c>
      <c r="C31" s="22" t="s">
        <v>454</v>
      </c>
      <c r="D31" s="22" t="s">
        <v>2279</v>
      </c>
    </row>
    <row r="32" ht="15.75" customHeight="1">
      <c r="A32" s="21">
        <v>11.0</v>
      </c>
      <c r="B32" s="22" t="s">
        <v>2282</v>
      </c>
      <c r="C32" s="21" t="s">
        <v>2284</v>
      </c>
      <c r="D32" s="21" t="s">
        <v>2208</v>
      </c>
    </row>
    <row r="33" ht="15.75" customHeight="1">
      <c r="A33" s="21">
        <v>12.0</v>
      </c>
      <c r="B33" s="22" t="s">
        <v>330</v>
      </c>
      <c r="C33" s="22" t="s">
        <v>487</v>
      </c>
      <c r="D33" s="22" t="s">
        <v>2288</v>
      </c>
    </row>
    <row r="34" ht="15.75" customHeight="1">
      <c r="A34" s="21">
        <v>13.0</v>
      </c>
      <c r="B34" s="22" t="s">
        <v>2290</v>
      </c>
      <c r="C34" s="22" t="s">
        <v>521</v>
      </c>
      <c r="D34" s="21" t="s">
        <v>2208</v>
      </c>
    </row>
    <row r="35" ht="15.75" customHeight="1">
      <c r="A35" s="21">
        <v>14.0</v>
      </c>
      <c r="B35" s="22" t="s">
        <v>2292</v>
      </c>
      <c r="C35" s="22" t="s">
        <v>554</v>
      </c>
      <c r="D35" s="22" t="s">
        <v>2293</v>
      </c>
    </row>
    <row r="36" ht="15.75" customHeight="1">
      <c r="A36" s="21">
        <v>14.0</v>
      </c>
      <c r="B36" s="22" t="s">
        <v>2294</v>
      </c>
      <c r="C36" s="22" t="s">
        <v>555</v>
      </c>
      <c r="D36" s="22" t="s">
        <v>2296</v>
      </c>
    </row>
    <row r="37" ht="15.75" customHeight="1">
      <c r="A37" s="21">
        <v>14.0</v>
      </c>
      <c r="B37" s="22" t="s">
        <v>2297</v>
      </c>
      <c r="C37" s="22" t="s">
        <v>556</v>
      </c>
      <c r="D37" s="22" t="s">
        <v>2299</v>
      </c>
    </row>
    <row r="38" ht="15.75" customHeight="1">
      <c r="A38" s="21">
        <v>15.0</v>
      </c>
      <c r="B38" s="22" t="s">
        <v>374</v>
      </c>
      <c r="C38" s="22" t="s">
        <v>400</v>
      </c>
      <c r="D38" s="22" t="s">
        <v>2301</v>
      </c>
    </row>
    <row r="39" ht="15.75" customHeight="1">
      <c r="A39" s="21">
        <v>16.0</v>
      </c>
      <c r="B39" s="22" t="s">
        <v>2303</v>
      </c>
      <c r="C39" s="22" t="s">
        <v>400</v>
      </c>
      <c r="D39" s="22" t="s">
        <v>2304</v>
      </c>
    </row>
    <row r="40" ht="15.75" customHeight="1">
      <c r="A40" s="21">
        <v>16.0</v>
      </c>
      <c r="B40" s="22" t="s">
        <v>2305</v>
      </c>
      <c r="C40" s="22" t="s">
        <v>403</v>
      </c>
      <c r="D40" s="22" t="s">
        <v>2307</v>
      </c>
    </row>
    <row r="41" ht="15.75" customHeight="1">
      <c r="A41" s="21">
        <v>16.0</v>
      </c>
      <c r="B41" s="22" t="s">
        <v>2309</v>
      </c>
      <c r="C41" s="22" t="s">
        <v>613</v>
      </c>
      <c r="D41" s="22" t="s">
        <v>2312</v>
      </c>
    </row>
    <row r="42" ht="15.75" customHeight="1">
      <c r="A42" s="21">
        <v>17.0</v>
      </c>
      <c r="B42" s="22" t="s">
        <v>2313</v>
      </c>
      <c r="C42" s="22" t="s">
        <v>400</v>
      </c>
      <c r="D42" s="22" t="s">
        <v>2316</v>
      </c>
    </row>
    <row r="43" ht="15.75" customHeight="1">
      <c r="A43" s="21">
        <v>17.0</v>
      </c>
      <c r="B43" s="22" t="s">
        <v>2317</v>
      </c>
      <c r="C43" s="21" t="s">
        <v>2318</v>
      </c>
      <c r="D43" s="21" t="s">
        <v>2208</v>
      </c>
    </row>
    <row r="44" ht="15.75" customHeight="1">
      <c r="A44" s="21">
        <v>19.0</v>
      </c>
      <c r="B44" s="21" t="s">
        <v>2319</v>
      </c>
      <c r="C44" s="22" t="s">
        <v>20</v>
      </c>
      <c r="D44" s="22" t="s">
        <v>2324</v>
      </c>
    </row>
    <row r="45" ht="15.75" customHeight="1">
      <c r="A45" s="21">
        <v>19.0</v>
      </c>
      <c r="B45" s="21" t="s">
        <v>2327</v>
      </c>
      <c r="C45" s="22" t="s">
        <v>699</v>
      </c>
      <c r="D45" s="22" t="s">
        <v>2328</v>
      </c>
    </row>
    <row r="46" ht="15.75" customHeight="1">
      <c r="A46" s="21">
        <v>20.0</v>
      </c>
      <c r="B46" s="21" t="s">
        <v>2330</v>
      </c>
      <c r="C46" s="22" t="s">
        <v>400</v>
      </c>
      <c r="D46" s="21" t="s">
        <v>2331</v>
      </c>
    </row>
    <row r="47" ht="15.75" customHeight="1">
      <c r="A47" s="21">
        <v>20.0</v>
      </c>
      <c r="B47" s="21" t="s">
        <v>2334</v>
      </c>
      <c r="C47" s="22" t="s">
        <v>554</v>
      </c>
      <c r="D47" s="22" t="s">
        <v>2338</v>
      </c>
    </row>
    <row r="48" ht="15.75" customHeight="1">
      <c r="A48" s="21">
        <v>21.0</v>
      </c>
      <c r="B48" s="22" t="s">
        <v>504</v>
      </c>
      <c r="C48" s="22" t="s">
        <v>755</v>
      </c>
      <c r="D48" s="22" t="s">
        <v>2341</v>
      </c>
    </row>
    <row r="49" ht="15.75" customHeight="1">
      <c r="A49" s="21">
        <v>22.0</v>
      </c>
      <c r="B49" s="22" t="s">
        <v>2345</v>
      </c>
      <c r="C49" s="22" t="s">
        <v>400</v>
      </c>
      <c r="D49" s="22" t="s">
        <v>2348</v>
      </c>
    </row>
    <row r="50" ht="15.75" customHeight="1">
      <c r="A50" s="21">
        <v>22.0</v>
      </c>
      <c r="B50" s="22" t="s">
        <v>2353</v>
      </c>
      <c r="C50" s="22" t="s">
        <v>811</v>
      </c>
      <c r="D50" s="22" t="s">
        <v>2356</v>
      </c>
    </row>
    <row r="51" ht="15.75" customHeight="1">
      <c r="A51" s="21">
        <v>23.0</v>
      </c>
      <c r="B51" s="22" t="s">
        <v>564</v>
      </c>
      <c r="C51" s="22" t="s">
        <v>20</v>
      </c>
      <c r="D51" s="22" t="s">
        <v>2363</v>
      </c>
    </row>
    <row r="52" ht="15.75" customHeight="1">
      <c r="A52" s="21">
        <v>24.0</v>
      </c>
      <c r="B52" s="22" t="s">
        <v>2365</v>
      </c>
      <c r="C52" s="22" t="s">
        <v>400</v>
      </c>
      <c r="D52" s="22" t="s">
        <v>2369</v>
      </c>
    </row>
    <row r="53" ht="15.75" customHeight="1">
      <c r="A53" s="21">
        <v>26.0</v>
      </c>
      <c r="B53" s="22" t="s">
        <v>2376</v>
      </c>
      <c r="C53" s="22" t="s">
        <v>931</v>
      </c>
      <c r="D53" s="21" t="s">
        <v>2377</v>
      </c>
    </row>
    <row r="54" ht="15.75" customHeight="1">
      <c r="A54" s="21">
        <v>28.0</v>
      </c>
      <c r="B54" s="22" t="s">
        <v>2382</v>
      </c>
      <c r="C54" s="22" t="s">
        <v>972</v>
      </c>
      <c r="D54" s="22" t="s">
        <v>2387</v>
      </c>
    </row>
    <row r="55" ht="15.75" customHeight="1">
      <c r="A55" s="21">
        <v>29.0</v>
      </c>
      <c r="B55" s="21" t="s">
        <v>2389</v>
      </c>
      <c r="C55" s="22" t="s">
        <v>993</v>
      </c>
      <c r="D55" s="22" t="s">
        <v>2391</v>
      </c>
    </row>
    <row r="56" ht="15.75" customHeight="1">
      <c r="A56" s="21">
        <v>29.0</v>
      </c>
      <c r="B56" s="21" t="s">
        <v>2395</v>
      </c>
      <c r="C56" s="22" t="s">
        <v>998</v>
      </c>
      <c r="D56" s="22" t="s">
        <v>2398</v>
      </c>
    </row>
    <row r="57" ht="15.75" customHeight="1">
      <c r="A57" s="21">
        <v>29.0</v>
      </c>
      <c r="B57" s="21" t="s">
        <v>2401</v>
      </c>
      <c r="C57" s="22" t="s">
        <v>1002</v>
      </c>
      <c r="D57" s="22" t="s">
        <v>2405</v>
      </c>
    </row>
    <row r="58" ht="15.75" customHeight="1">
      <c r="A58" s="21">
        <v>29.0</v>
      </c>
      <c r="B58" s="21" t="s">
        <v>2407</v>
      </c>
      <c r="C58" s="21" t="s">
        <v>2409</v>
      </c>
      <c r="D58" s="22" t="s">
        <v>2411</v>
      </c>
    </row>
    <row r="59" ht="15.75" customHeight="1">
      <c r="A59" s="21">
        <v>29.0</v>
      </c>
      <c r="B59" s="21" t="s">
        <v>2413</v>
      </c>
      <c r="C59" s="22" t="s">
        <v>1007</v>
      </c>
      <c r="D59" s="22" t="s">
        <v>2416</v>
      </c>
    </row>
    <row r="60" ht="15.75" customHeight="1">
      <c r="A60" s="21">
        <v>34.0</v>
      </c>
      <c r="B60" s="22" t="s">
        <v>826</v>
      </c>
      <c r="C60" s="22" t="s">
        <v>1112</v>
      </c>
      <c r="D60" s="22" t="s">
        <v>2421</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rintOptions/>
  <pageMargins bottom="1.0" footer="0.0" header="0.0" left="0.75" right="0.75" top="1.0"/>
  <pageSetup fitToHeight="0"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5.0"/>
    <col customWidth="1" min="2" max="2" width="14.0"/>
    <col customWidth="1" min="3" max="3" width="24.0"/>
    <col customWidth="1" min="4" max="4" width="46.0"/>
    <col customWidth="1" min="5" max="5" width="11.0"/>
    <col customWidth="1" min="6" max="6" width="30.0"/>
    <col customWidth="1" min="7" max="7" width="17.0"/>
    <col customWidth="1" min="8" max="8" width="34.0"/>
    <col customWidth="1" min="9" max="9" width="44.0"/>
    <col customWidth="1" hidden="1" min="10" max="10" width="13.0"/>
    <col customWidth="1" min="11" max="26" width="8.71"/>
  </cols>
  <sheetData>
    <row r="1" ht="21.0" customHeight="1">
      <c r="A1" s="88" t="s">
        <v>2212</v>
      </c>
      <c r="B1" s="89"/>
      <c r="C1" s="89"/>
      <c r="D1" s="89"/>
      <c r="E1" s="89"/>
      <c r="F1" s="89"/>
      <c r="G1" s="89"/>
      <c r="H1" s="89"/>
      <c r="I1" s="89"/>
      <c r="J1" s="89"/>
    </row>
    <row r="2" ht="15.0" customHeight="1">
      <c r="A2" s="90" t="s">
        <v>2216</v>
      </c>
      <c r="B2" s="89"/>
      <c r="C2" s="89"/>
      <c r="D2" s="89"/>
      <c r="E2" s="89"/>
      <c r="F2" s="89"/>
      <c r="G2" s="89"/>
      <c r="H2" s="89"/>
      <c r="I2" s="89"/>
      <c r="J2" s="89"/>
    </row>
    <row r="3">
      <c r="A3" s="89"/>
      <c r="B3" s="89"/>
      <c r="C3" s="89"/>
      <c r="D3" s="89"/>
      <c r="E3" s="89"/>
      <c r="F3" s="89"/>
      <c r="G3" s="89"/>
      <c r="H3" s="89"/>
      <c r="I3" s="89"/>
      <c r="J3" s="89"/>
    </row>
    <row r="4" ht="16.5" customHeight="1">
      <c r="A4" s="91" t="s">
        <v>24</v>
      </c>
      <c r="B4" s="92" t="s">
        <v>12</v>
      </c>
      <c r="C4" s="92" t="s">
        <v>25</v>
      </c>
      <c r="D4" s="92" t="s">
        <v>2224</v>
      </c>
      <c r="E4" s="92" t="s">
        <v>2225</v>
      </c>
      <c r="F4" s="92" t="s">
        <v>2226</v>
      </c>
      <c r="G4" s="92" t="s">
        <v>26</v>
      </c>
      <c r="H4" s="92" t="s">
        <v>2227</v>
      </c>
      <c r="I4" s="92" t="s">
        <v>198</v>
      </c>
      <c r="J4" s="89"/>
    </row>
    <row r="5" ht="29.25" customHeight="1">
      <c r="A5" s="93">
        <v>1.0</v>
      </c>
      <c r="B5" s="94" t="s">
        <v>2228</v>
      </c>
      <c r="C5" s="95" t="s">
        <v>2229</v>
      </c>
      <c r="D5" s="96" t="s">
        <v>2230</v>
      </c>
      <c r="E5" s="97" t="s">
        <v>2231</v>
      </c>
      <c r="F5" s="96" t="s">
        <v>2232</v>
      </c>
      <c r="G5" s="97" t="s">
        <v>2233</v>
      </c>
      <c r="H5" s="96" t="s">
        <v>2234</v>
      </c>
      <c r="I5" s="98" t="s">
        <v>2235</v>
      </c>
      <c r="J5" s="99" t="s">
        <v>2228</v>
      </c>
    </row>
    <row r="6" ht="29.25" customHeight="1">
      <c r="A6" s="93">
        <v>2.0</v>
      </c>
      <c r="B6" s="100"/>
      <c r="C6" s="95" t="s">
        <v>127</v>
      </c>
      <c r="D6" s="96" t="s">
        <v>2237</v>
      </c>
      <c r="E6" s="97" t="s">
        <v>2238</v>
      </c>
      <c r="F6" s="96" t="s">
        <v>2239</v>
      </c>
      <c r="G6" s="97" t="s">
        <v>128</v>
      </c>
      <c r="H6" s="96" t="s">
        <v>2241</v>
      </c>
      <c r="I6" s="96" t="s">
        <v>2242</v>
      </c>
      <c r="J6" s="99" t="s">
        <v>2228</v>
      </c>
    </row>
    <row r="7" ht="29.25" customHeight="1">
      <c r="A7" s="93">
        <v>3.0</v>
      </c>
      <c r="B7" s="100"/>
      <c r="C7" s="95" t="s">
        <v>2243</v>
      </c>
      <c r="D7" s="96" t="s">
        <v>2244</v>
      </c>
      <c r="E7" s="97" t="s">
        <v>2245</v>
      </c>
      <c r="F7" s="96" t="s">
        <v>2247</v>
      </c>
      <c r="G7" s="97" t="s">
        <v>2233</v>
      </c>
      <c r="H7" s="96" t="s">
        <v>2248</v>
      </c>
      <c r="I7" s="96" t="s">
        <v>2249</v>
      </c>
      <c r="J7" s="99" t="s">
        <v>2228</v>
      </c>
    </row>
    <row r="8" ht="29.25" customHeight="1">
      <c r="A8" s="93">
        <v>4.0</v>
      </c>
      <c r="B8" s="101"/>
      <c r="C8" s="102" t="s">
        <v>180</v>
      </c>
      <c r="D8" s="103" t="s">
        <v>2254</v>
      </c>
      <c r="E8" s="104" t="s">
        <v>2245</v>
      </c>
      <c r="F8" s="103" t="s">
        <v>2257</v>
      </c>
      <c r="G8" s="105" t="s">
        <v>2260</v>
      </c>
      <c r="H8" s="103" t="s">
        <v>2262</v>
      </c>
      <c r="I8" s="103" t="s">
        <v>2263</v>
      </c>
      <c r="J8" s="99" t="s">
        <v>2228</v>
      </c>
    </row>
    <row r="9" ht="29.25" customHeight="1">
      <c r="A9" s="93">
        <v>5.0</v>
      </c>
      <c r="B9" s="94" t="s">
        <v>2265</v>
      </c>
      <c r="C9" s="106" t="s">
        <v>2270</v>
      </c>
      <c r="D9" s="96" t="s">
        <v>2272</v>
      </c>
      <c r="E9" s="97" t="s">
        <v>2231</v>
      </c>
      <c r="F9" s="98" t="s">
        <v>2274</v>
      </c>
      <c r="G9" s="97" t="s">
        <v>128</v>
      </c>
      <c r="H9" s="96" t="s">
        <v>2276</v>
      </c>
      <c r="I9" s="96" t="s">
        <v>2277</v>
      </c>
      <c r="J9" s="99" t="s">
        <v>2265</v>
      </c>
    </row>
    <row r="10" ht="15.0" customHeight="1">
      <c r="A10" s="93">
        <v>6.0</v>
      </c>
      <c r="B10" s="100"/>
      <c r="C10" s="95" t="s">
        <v>2280</v>
      </c>
      <c r="D10" s="96" t="s">
        <v>2281</v>
      </c>
      <c r="E10" s="97" t="s">
        <v>2231</v>
      </c>
      <c r="F10" s="96" t="s">
        <v>2283</v>
      </c>
      <c r="G10" s="97" t="s">
        <v>128</v>
      </c>
      <c r="H10" s="96" t="s">
        <v>2285</v>
      </c>
      <c r="I10" s="96" t="s">
        <v>2286</v>
      </c>
      <c r="J10" s="99" t="s">
        <v>2265</v>
      </c>
    </row>
    <row r="11" ht="15.0" customHeight="1">
      <c r="A11" s="93">
        <v>7.0</v>
      </c>
      <c r="B11" s="101"/>
      <c r="C11" s="107" t="s">
        <v>2289</v>
      </c>
      <c r="D11" s="108" t="s">
        <v>2291</v>
      </c>
      <c r="E11" s="109" t="s">
        <v>2231</v>
      </c>
      <c r="F11" s="108" t="s">
        <v>2295</v>
      </c>
      <c r="G11" s="109" t="s">
        <v>100</v>
      </c>
      <c r="H11" s="110" t="s">
        <v>2298</v>
      </c>
      <c r="I11" s="110" t="s">
        <v>2300</v>
      </c>
      <c r="J11" s="99" t="s">
        <v>2265</v>
      </c>
    </row>
    <row r="12" ht="29.25" customHeight="1">
      <c r="A12" s="93">
        <v>8.0</v>
      </c>
      <c r="B12" s="94" t="s">
        <v>2302</v>
      </c>
      <c r="C12" s="95" t="s">
        <v>2306</v>
      </c>
      <c r="D12" s="96" t="s">
        <v>2308</v>
      </c>
      <c r="E12" s="97" t="s">
        <v>2310</v>
      </c>
      <c r="F12" s="96" t="s">
        <v>2311</v>
      </c>
      <c r="G12" s="97" t="s">
        <v>2233</v>
      </c>
      <c r="H12" s="96" t="s">
        <v>2314</v>
      </c>
      <c r="I12" s="98" t="s">
        <v>2315</v>
      </c>
      <c r="J12" s="99" t="s">
        <v>2302</v>
      </c>
    </row>
    <row r="13" ht="15.0" customHeight="1">
      <c r="A13" s="93">
        <v>9.0</v>
      </c>
      <c r="B13" s="100"/>
      <c r="C13" s="95" t="s">
        <v>2320</v>
      </c>
      <c r="D13" s="96" t="s">
        <v>2321</v>
      </c>
      <c r="E13" s="97" t="s">
        <v>2322</v>
      </c>
      <c r="F13" s="96" t="s">
        <v>2323</v>
      </c>
      <c r="G13" s="97" t="s">
        <v>128</v>
      </c>
      <c r="H13" s="96" t="s">
        <v>2325</v>
      </c>
      <c r="I13" s="96" t="s">
        <v>2326</v>
      </c>
      <c r="J13" s="99" t="s">
        <v>2302</v>
      </c>
    </row>
    <row r="14" ht="15.0" customHeight="1">
      <c r="A14" s="93">
        <v>10.0</v>
      </c>
      <c r="B14" s="101"/>
      <c r="C14" s="111" t="s">
        <v>2329</v>
      </c>
      <c r="D14" s="103" t="s">
        <v>2332</v>
      </c>
      <c r="E14" s="104" t="s">
        <v>2310</v>
      </c>
      <c r="F14" s="103" t="s">
        <v>2333</v>
      </c>
      <c r="G14" s="105" t="s">
        <v>2335</v>
      </c>
      <c r="H14" s="103" t="s">
        <v>2336</v>
      </c>
      <c r="I14" s="103" t="s">
        <v>2337</v>
      </c>
      <c r="J14" s="99" t="s">
        <v>2302</v>
      </c>
    </row>
    <row r="15" ht="29.25" customHeight="1">
      <c r="A15" s="93">
        <v>11.0</v>
      </c>
      <c r="B15" s="94" t="s">
        <v>2339</v>
      </c>
      <c r="C15" s="95" t="s">
        <v>2340</v>
      </c>
      <c r="D15" s="96" t="s">
        <v>2342</v>
      </c>
      <c r="E15" s="97" t="s">
        <v>2310</v>
      </c>
      <c r="F15" s="96" t="s">
        <v>2343</v>
      </c>
      <c r="G15" s="97" t="s">
        <v>2233</v>
      </c>
      <c r="H15" s="96" t="s">
        <v>2344</v>
      </c>
      <c r="I15" s="96" t="s">
        <v>2346</v>
      </c>
      <c r="J15" s="99" t="s">
        <v>2339</v>
      </c>
    </row>
    <row r="16" ht="15.0" customHeight="1">
      <c r="A16" s="93">
        <v>12.0</v>
      </c>
      <c r="B16" s="100"/>
      <c r="C16" s="95" t="s">
        <v>330</v>
      </c>
      <c r="D16" s="96" t="s">
        <v>2349</v>
      </c>
      <c r="E16" s="97" t="s">
        <v>2350</v>
      </c>
      <c r="F16" s="96" t="s">
        <v>2351</v>
      </c>
      <c r="G16" s="97" t="s">
        <v>128</v>
      </c>
      <c r="H16" s="96" t="s">
        <v>2352</v>
      </c>
      <c r="I16" s="96" t="s">
        <v>2354</v>
      </c>
      <c r="J16" s="99" t="s">
        <v>2339</v>
      </c>
    </row>
    <row r="17" ht="15.0" customHeight="1">
      <c r="A17" s="93">
        <v>13.0</v>
      </c>
      <c r="B17" s="101"/>
      <c r="C17" s="107" t="s">
        <v>2355</v>
      </c>
      <c r="D17" s="110" t="s">
        <v>2357</v>
      </c>
      <c r="E17" s="109" t="s">
        <v>2358</v>
      </c>
      <c r="F17" s="110" t="s">
        <v>2359</v>
      </c>
      <c r="G17" s="109" t="s">
        <v>100</v>
      </c>
      <c r="H17" s="110" t="s">
        <v>2360</v>
      </c>
      <c r="I17" s="108" t="s">
        <v>2361</v>
      </c>
      <c r="J17" s="99" t="s">
        <v>2339</v>
      </c>
    </row>
    <row r="18" ht="29.25" customHeight="1">
      <c r="A18" s="93">
        <v>14.0</v>
      </c>
      <c r="B18" s="94" t="s">
        <v>2364</v>
      </c>
      <c r="C18" s="95" t="s">
        <v>2367</v>
      </c>
      <c r="D18" s="96" t="s">
        <v>2370</v>
      </c>
      <c r="E18" s="97" t="s">
        <v>2245</v>
      </c>
      <c r="F18" s="96" t="s">
        <v>2371</v>
      </c>
      <c r="G18" s="97" t="s">
        <v>2233</v>
      </c>
      <c r="H18" s="96" t="s">
        <v>2373</v>
      </c>
      <c r="I18" s="96" t="s">
        <v>2375</v>
      </c>
      <c r="J18" s="99" t="s">
        <v>2364</v>
      </c>
    </row>
    <row r="19" ht="29.25" customHeight="1">
      <c r="A19" s="93">
        <v>15.0</v>
      </c>
      <c r="B19" s="100"/>
      <c r="C19" s="95" t="s">
        <v>374</v>
      </c>
      <c r="D19" s="96" t="s">
        <v>2378</v>
      </c>
      <c r="E19" s="97" t="s">
        <v>2245</v>
      </c>
      <c r="F19" s="96" t="s">
        <v>2380</v>
      </c>
      <c r="G19" s="97" t="s">
        <v>2233</v>
      </c>
      <c r="H19" s="96" t="s">
        <v>2381</v>
      </c>
      <c r="I19" s="98"/>
      <c r="J19" s="99" t="s">
        <v>2364</v>
      </c>
    </row>
    <row r="20" ht="15.0" customHeight="1">
      <c r="A20" s="93">
        <v>16.0</v>
      </c>
      <c r="B20" s="101"/>
      <c r="C20" s="102" t="s">
        <v>2384</v>
      </c>
      <c r="D20" s="103" t="s">
        <v>2385</v>
      </c>
      <c r="E20" s="104" t="s">
        <v>2245</v>
      </c>
      <c r="F20" s="116" t="s">
        <v>2390</v>
      </c>
      <c r="G20" s="105" t="s">
        <v>2392</v>
      </c>
      <c r="H20" s="103" t="s">
        <v>2393</v>
      </c>
      <c r="I20" s="103" t="s">
        <v>2337</v>
      </c>
      <c r="J20" s="99" t="s">
        <v>2364</v>
      </c>
    </row>
    <row r="21" ht="29.25" customHeight="1">
      <c r="A21" s="93">
        <v>17.0</v>
      </c>
      <c r="B21" s="94" t="s">
        <v>418</v>
      </c>
      <c r="C21" s="95" t="s">
        <v>2399</v>
      </c>
      <c r="D21" s="96" t="s">
        <v>2400</v>
      </c>
      <c r="E21" s="97" t="s">
        <v>2310</v>
      </c>
      <c r="F21" s="96" t="s">
        <v>2402</v>
      </c>
      <c r="G21" s="97" t="s">
        <v>2233</v>
      </c>
      <c r="H21" s="96" t="s">
        <v>2403</v>
      </c>
      <c r="I21" s="98" t="s">
        <v>2406</v>
      </c>
      <c r="J21" s="99" t="s">
        <v>418</v>
      </c>
    </row>
    <row r="22" ht="15.0" customHeight="1">
      <c r="A22" s="93">
        <v>18.0</v>
      </c>
      <c r="B22" s="101"/>
      <c r="C22" s="102" t="s">
        <v>431</v>
      </c>
      <c r="D22" s="103" t="s">
        <v>2410</v>
      </c>
      <c r="E22" s="104" t="s">
        <v>2231</v>
      </c>
      <c r="F22" s="103" t="s">
        <v>2247</v>
      </c>
      <c r="G22" s="105" t="s">
        <v>2412</v>
      </c>
      <c r="H22" s="103" t="s">
        <v>2414</v>
      </c>
      <c r="I22" s="103" t="s">
        <v>2415</v>
      </c>
      <c r="J22" s="99" t="s">
        <v>418</v>
      </c>
    </row>
    <row r="23" ht="29.25" customHeight="1">
      <c r="A23" s="93">
        <v>19.0</v>
      </c>
      <c r="B23" s="94" t="s">
        <v>2417</v>
      </c>
      <c r="C23" s="106" t="s">
        <v>2420</v>
      </c>
      <c r="D23" s="98" t="s">
        <v>2422</v>
      </c>
      <c r="E23" s="97" t="s">
        <v>2423</v>
      </c>
      <c r="F23" s="96" t="s">
        <v>2424</v>
      </c>
      <c r="G23" s="97" t="s">
        <v>2233</v>
      </c>
      <c r="H23" s="96" t="s">
        <v>2426</v>
      </c>
      <c r="I23" s="96" t="s">
        <v>2427</v>
      </c>
      <c r="J23" s="99" t="s">
        <v>2417</v>
      </c>
    </row>
    <row r="24" ht="15.0" customHeight="1">
      <c r="A24" s="93">
        <v>20.0</v>
      </c>
      <c r="B24" s="100"/>
      <c r="C24" s="111" t="s">
        <v>2428</v>
      </c>
      <c r="D24" s="116" t="s">
        <v>2429</v>
      </c>
      <c r="E24" s="104" t="s">
        <v>2245</v>
      </c>
      <c r="F24" s="103" t="s">
        <v>2430</v>
      </c>
      <c r="G24" s="105" t="s">
        <v>2431</v>
      </c>
      <c r="H24" s="103" t="s">
        <v>2432</v>
      </c>
      <c r="I24" s="103" t="s">
        <v>2433</v>
      </c>
      <c r="J24" s="99" t="s">
        <v>2417</v>
      </c>
    </row>
    <row r="25" ht="15.0" customHeight="1">
      <c r="A25" s="93">
        <v>21.0</v>
      </c>
      <c r="B25" s="101"/>
      <c r="C25" s="95" t="s">
        <v>504</v>
      </c>
      <c r="D25" s="96" t="s">
        <v>2434</v>
      </c>
      <c r="E25" s="97" t="s">
        <v>130</v>
      </c>
      <c r="F25" s="96" t="s">
        <v>2435</v>
      </c>
      <c r="G25" s="97" t="s">
        <v>128</v>
      </c>
      <c r="H25" s="96" t="s">
        <v>2426</v>
      </c>
      <c r="I25" s="96" t="s">
        <v>2436</v>
      </c>
      <c r="J25" s="99" t="s">
        <v>2417</v>
      </c>
    </row>
    <row r="26" ht="29.25" customHeight="1">
      <c r="A26" s="93">
        <v>22.0</v>
      </c>
      <c r="B26" s="94" t="s">
        <v>2437</v>
      </c>
      <c r="C26" s="95" t="s">
        <v>2438</v>
      </c>
      <c r="D26" s="96" t="s">
        <v>2439</v>
      </c>
      <c r="E26" s="97" t="s">
        <v>2310</v>
      </c>
      <c r="F26" s="96" t="s">
        <v>2440</v>
      </c>
      <c r="G26" s="97" t="s">
        <v>2233</v>
      </c>
      <c r="H26" s="96" t="s">
        <v>2441</v>
      </c>
      <c r="I26" s="96" t="s">
        <v>2442</v>
      </c>
      <c r="J26" s="99" t="s">
        <v>2437</v>
      </c>
    </row>
    <row r="27" ht="29.25" customHeight="1">
      <c r="A27" s="93">
        <v>23.0</v>
      </c>
      <c r="B27" s="100"/>
      <c r="C27" s="95" t="s">
        <v>564</v>
      </c>
      <c r="D27" s="96" t="s">
        <v>2443</v>
      </c>
      <c r="E27" s="97" t="s">
        <v>2238</v>
      </c>
      <c r="F27" s="98" t="s">
        <v>2444</v>
      </c>
      <c r="G27" s="97" t="s">
        <v>2233</v>
      </c>
      <c r="H27" s="96" t="s">
        <v>2445</v>
      </c>
      <c r="I27" s="96" t="s">
        <v>2446</v>
      </c>
      <c r="J27" s="99" t="s">
        <v>2437</v>
      </c>
    </row>
    <row r="28" ht="15.0" customHeight="1">
      <c r="A28" s="93">
        <v>24.0</v>
      </c>
      <c r="B28" s="100"/>
      <c r="C28" s="107" t="s">
        <v>2447</v>
      </c>
      <c r="D28" s="110" t="s">
        <v>2448</v>
      </c>
      <c r="E28" s="109" t="s">
        <v>2310</v>
      </c>
      <c r="F28" s="110" t="s">
        <v>2449</v>
      </c>
      <c r="G28" s="109" t="s">
        <v>100</v>
      </c>
      <c r="H28" s="110" t="s">
        <v>2450</v>
      </c>
      <c r="I28" s="110" t="s">
        <v>2451</v>
      </c>
      <c r="J28" s="99" t="s">
        <v>2437</v>
      </c>
    </row>
    <row r="29" ht="29.25" customHeight="1">
      <c r="A29" s="93">
        <v>25.0</v>
      </c>
      <c r="B29" s="101"/>
      <c r="C29" s="107" t="s">
        <v>611</v>
      </c>
      <c r="D29" s="110" t="s">
        <v>2452</v>
      </c>
      <c r="E29" s="109" t="s">
        <v>2453</v>
      </c>
      <c r="F29" s="108" t="s">
        <v>2295</v>
      </c>
      <c r="G29" s="109" t="s">
        <v>100</v>
      </c>
      <c r="H29" s="110" t="s">
        <v>2454</v>
      </c>
      <c r="I29" s="110" t="s">
        <v>2455</v>
      </c>
      <c r="J29" s="99" t="s">
        <v>2437</v>
      </c>
    </row>
    <row r="30" ht="29.25" customHeight="1">
      <c r="A30" s="93">
        <v>26.0</v>
      </c>
      <c r="B30" s="94" t="s">
        <v>2456</v>
      </c>
      <c r="C30" s="95" t="s">
        <v>2457</v>
      </c>
      <c r="D30" s="98" t="s">
        <v>2458</v>
      </c>
      <c r="E30" s="97" t="s">
        <v>2238</v>
      </c>
      <c r="F30" s="96" t="s">
        <v>2459</v>
      </c>
      <c r="G30" s="97" t="s">
        <v>2233</v>
      </c>
      <c r="H30" s="96" t="s">
        <v>2460</v>
      </c>
      <c r="I30" s="96" t="s">
        <v>2461</v>
      </c>
      <c r="J30" s="99" t="s">
        <v>2456</v>
      </c>
    </row>
    <row r="31" ht="29.25" customHeight="1">
      <c r="A31" s="93">
        <v>27.0</v>
      </c>
      <c r="B31" s="100"/>
      <c r="C31" s="95" t="s">
        <v>2462</v>
      </c>
      <c r="D31" s="96" t="s">
        <v>2463</v>
      </c>
      <c r="E31" s="97" t="s">
        <v>2245</v>
      </c>
      <c r="F31" s="96" t="s">
        <v>2464</v>
      </c>
      <c r="G31" s="97" t="s">
        <v>2233</v>
      </c>
      <c r="H31" s="96" t="s">
        <v>2465</v>
      </c>
      <c r="I31" s="96" t="s">
        <v>2466</v>
      </c>
      <c r="J31" s="99" t="s">
        <v>2456</v>
      </c>
    </row>
    <row r="32" ht="15.0" customHeight="1">
      <c r="A32" s="93">
        <v>28.0</v>
      </c>
      <c r="B32" s="100"/>
      <c r="C32" s="102" t="s">
        <v>2467</v>
      </c>
      <c r="D32" s="103" t="s">
        <v>2468</v>
      </c>
      <c r="E32" s="104" t="s">
        <v>2245</v>
      </c>
      <c r="F32" s="116" t="s">
        <v>2469</v>
      </c>
      <c r="G32" s="105" t="s">
        <v>2471</v>
      </c>
      <c r="H32" s="103" t="s">
        <v>2472</v>
      </c>
      <c r="I32" s="103" t="s">
        <v>2473</v>
      </c>
      <c r="J32" s="99" t="s">
        <v>2456</v>
      </c>
    </row>
    <row r="33" ht="29.25" customHeight="1">
      <c r="A33" s="93">
        <v>29.0</v>
      </c>
      <c r="B33" s="100"/>
      <c r="C33" s="111" t="s">
        <v>2474</v>
      </c>
      <c r="D33" s="103" t="s">
        <v>2475</v>
      </c>
      <c r="E33" s="104" t="s">
        <v>2245</v>
      </c>
      <c r="F33" s="116" t="s">
        <v>2476</v>
      </c>
      <c r="G33" s="105" t="s">
        <v>2477</v>
      </c>
      <c r="H33" s="116" t="s">
        <v>2479</v>
      </c>
      <c r="I33" s="103" t="s">
        <v>2480</v>
      </c>
      <c r="J33" s="99" t="s">
        <v>2456</v>
      </c>
    </row>
    <row r="34" ht="15.0" customHeight="1">
      <c r="A34" s="93">
        <v>30.0</v>
      </c>
      <c r="B34" s="101"/>
      <c r="C34" s="102" t="s">
        <v>743</v>
      </c>
      <c r="D34" s="103" t="s">
        <v>2481</v>
      </c>
      <c r="E34" s="104" t="s">
        <v>2231</v>
      </c>
      <c r="F34" s="103" t="s">
        <v>2482</v>
      </c>
      <c r="G34" s="105" t="s">
        <v>2483</v>
      </c>
      <c r="H34" s="103" t="s">
        <v>2484</v>
      </c>
      <c r="I34" s="103" t="s">
        <v>2485</v>
      </c>
      <c r="J34" s="99" t="s">
        <v>2456</v>
      </c>
    </row>
    <row r="35" ht="29.25" customHeight="1">
      <c r="A35" s="93">
        <v>31.0</v>
      </c>
      <c r="B35" s="94" t="s">
        <v>2487</v>
      </c>
      <c r="C35" s="111" t="s">
        <v>2488</v>
      </c>
      <c r="D35" s="116" t="s">
        <v>2490</v>
      </c>
      <c r="E35" s="104" t="s">
        <v>2231</v>
      </c>
      <c r="F35" s="103" t="s">
        <v>2491</v>
      </c>
      <c r="G35" s="105" t="s">
        <v>2492</v>
      </c>
      <c r="H35" s="103" t="s">
        <v>2493</v>
      </c>
      <c r="I35" s="103" t="s">
        <v>2494</v>
      </c>
      <c r="J35" s="99" t="s">
        <v>2487</v>
      </c>
    </row>
    <row r="36" ht="15.0" customHeight="1">
      <c r="A36" s="93">
        <v>32.0</v>
      </c>
      <c r="B36" s="100"/>
      <c r="C36" s="102" t="s">
        <v>786</v>
      </c>
      <c r="D36" s="103" t="s">
        <v>2496</v>
      </c>
      <c r="E36" s="104" t="s">
        <v>2231</v>
      </c>
      <c r="F36" s="103" t="s">
        <v>2491</v>
      </c>
      <c r="G36" s="105" t="s">
        <v>2497</v>
      </c>
      <c r="H36" s="103" t="s">
        <v>2498</v>
      </c>
      <c r="I36" s="116" t="s">
        <v>2499</v>
      </c>
      <c r="J36" s="99" t="s">
        <v>2487</v>
      </c>
    </row>
    <row r="37" ht="29.25" customHeight="1">
      <c r="A37" s="93">
        <v>33.0</v>
      </c>
      <c r="B37" s="100"/>
      <c r="C37" s="107" t="s">
        <v>2500</v>
      </c>
      <c r="D37" s="110" t="s">
        <v>2501</v>
      </c>
      <c r="E37" s="109" t="s">
        <v>130</v>
      </c>
      <c r="F37" s="110" t="s">
        <v>2502</v>
      </c>
      <c r="G37" s="109" t="s">
        <v>100</v>
      </c>
      <c r="H37" s="110" t="s">
        <v>2503</v>
      </c>
      <c r="I37" s="110" t="s">
        <v>2504</v>
      </c>
      <c r="J37" s="99" t="s">
        <v>2487</v>
      </c>
    </row>
    <row r="38" ht="15.0" customHeight="1">
      <c r="A38" s="93">
        <v>34.0</v>
      </c>
      <c r="B38" s="101"/>
      <c r="C38" s="107" t="s">
        <v>826</v>
      </c>
      <c r="D38" s="110" t="s">
        <v>2506</v>
      </c>
      <c r="E38" s="109" t="s">
        <v>130</v>
      </c>
      <c r="F38" s="110" t="s">
        <v>2507</v>
      </c>
      <c r="G38" s="109" t="s">
        <v>100</v>
      </c>
      <c r="H38" s="110" t="s">
        <v>2508</v>
      </c>
      <c r="I38" s="110" t="s">
        <v>2509</v>
      </c>
      <c r="J38" s="99" t="s">
        <v>2487</v>
      </c>
    </row>
    <row r="39" ht="15.75" customHeight="1">
      <c r="A39" s="89"/>
      <c r="B39" s="89"/>
      <c r="C39" s="89"/>
      <c r="D39" s="89"/>
      <c r="E39" s="89"/>
      <c r="F39" s="89"/>
      <c r="G39" s="89"/>
      <c r="H39" s="89"/>
      <c r="I39" s="89"/>
      <c r="J39" s="89"/>
    </row>
    <row r="40" ht="15.0" customHeight="1">
      <c r="A40" s="117" t="s">
        <v>2511</v>
      </c>
      <c r="B40" s="89"/>
      <c r="C40" s="89"/>
      <c r="D40" s="89"/>
      <c r="E40" s="89"/>
      <c r="F40" s="89"/>
      <c r="G40" s="89"/>
      <c r="H40" s="89"/>
      <c r="I40" s="89"/>
      <c r="J40" s="89"/>
    </row>
    <row r="41" ht="15.75" customHeight="1">
      <c r="A41" s="89"/>
      <c r="B41" s="89"/>
      <c r="C41" s="89"/>
      <c r="D41" s="89"/>
      <c r="E41" s="89"/>
      <c r="F41" s="89"/>
      <c r="G41" s="89"/>
      <c r="H41" s="89"/>
      <c r="I41" s="89"/>
      <c r="J41" s="89"/>
    </row>
    <row r="42" ht="15.75" customHeight="1">
      <c r="A42" s="89"/>
      <c r="B42" s="89"/>
      <c r="C42" s="89"/>
      <c r="D42" s="89"/>
      <c r="E42" s="89"/>
      <c r="F42" s="89"/>
      <c r="G42" s="89"/>
      <c r="H42" s="89"/>
      <c r="I42" s="89"/>
      <c r="J42" s="89"/>
    </row>
    <row r="43" ht="15.75" customHeight="1">
      <c r="A43" s="89"/>
      <c r="B43" s="89"/>
      <c r="C43" s="89"/>
      <c r="D43" s="89"/>
      <c r="E43" s="89"/>
      <c r="F43" s="89"/>
      <c r="G43" s="89"/>
      <c r="H43" s="89"/>
      <c r="I43" s="89"/>
      <c r="J43" s="89"/>
    </row>
    <row r="44" ht="15.75" customHeight="1">
      <c r="A44" s="89"/>
      <c r="B44" s="89"/>
      <c r="C44" s="89"/>
      <c r="D44" s="89"/>
      <c r="E44" s="89"/>
      <c r="F44" s="89"/>
      <c r="G44" s="89"/>
      <c r="H44" s="89"/>
      <c r="I44" s="89"/>
      <c r="J44" s="89"/>
    </row>
    <row r="45" ht="15.75" customHeight="1">
      <c r="A45" s="89"/>
      <c r="B45" s="89"/>
      <c r="C45" s="89"/>
      <c r="D45" s="89"/>
      <c r="E45" s="89"/>
      <c r="F45" s="89"/>
      <c r="G45" s="89"/>
      <c r="H45" s="89"/>
      <c r="I45" s="89"/>
      <c r="J45" s="89"/>
    </row>
    <row r="46" ht="15.75" customHeight="1">
      <c r="A46" s="89"/>
      <c r="B46" s="89"/>
      <c r="C46" s="89"/>
      <c r="D46" s="89"/>
      <c r="E46" s="89"/>
      <c r="F46" s="89"/>
      <c r="G46" s="89"/>
      <c r="H46" s="89"/>
      <c r="I46" s="89"/>
      <c r="J46" s="89"/>
    </row>
    <row r="47" ht="15.75" customHeight="1">
      <c r="A47" s="89"/>
      <c r="B47" s="89"/>
      <c r="C47" s="89"/>
      <c r="D47" s="89"/>
      <c r="E47" s="89"/>
      <c r="F47" s="89"/>
      <c r="G47" s="89"/>
      <c r="H47" s="89"/>
      <c r="I47" s="89"/>
      <c r="J47" s="89"/>
    </row>
    <row r="48" ht="15.75" customHeight="1">
      <c r="A48" s="89"/>
      <c r="B48" s="89"/>
      <c r="C48" s="89"/>
      <c r="D48" s="89"/>
      <c r="E48" s="89"/>
      <c r="F48" s="89"/>
      <c r="G48" s="89"/>
      <c r="H48" s="89"/>
      <c r="I48" s="89"/>
      <c r="J48" s="89"/>
    </row>
    <row r="49" ht="15.75" customHeight="1">
      <c r="A49" s="89"/>
      <c r="B49" s="89"/>
      <c r="C49" s="89"/>
      <c r="D49" s="89"/>
      <c r="E49" s="89"/>
      <c r="F49" s="89"/>
      <c r="G49" s="89"/>
      <c r="H49" s="89"/>
      <c r="I49" s="89"/>
      <c r="J49" s="89"/>
    </row>
    <row r="50" ht="15.75" customHeight="1">
      <c r="A50" s="89"/>
      <c r="B50" s="89"/>
      <c r="C50" s="89"/>
      <c r="D50" s="89"/>
      <c r="E50" s="89"/>
      <c r="F50" s="89"/>
      <c r="G50" s="89"/>
      <c r="H50" s="89"/>
      <c r="I50" s="89"/>
      <c r="J50" s="89"/>
    </row>
    <row r="51" ht="15.75" customHeight="1">
      <c r="A51" s="89"/>
      <c r="B51" s="89"/>
      <c r="C51" s="89"/>
      <c r="D51" s="89"/>
      <c r="E51" s="89"/>
      <c r="F51" s="89"/>
      <c r="G51" s="89"/>
      <c r="H51" s="89"/>
      <c r="I51" s="89"/>
      <c r="J51" s="89"/>
    </row>
    <row r="52" ht="15.75" customHeight="1">
      <c r="A52" s="89"/>
      <c r="B52" s="89"/>
      <c r="C52" s="89"/>
      <c r="D52" s="89"/>
      <c r="E52" s="89"/>
      <c r="F52" s="89"/>
      <c r="G52" s="89"/>
      <c r="H52" s="89"/>
      <c r="I52" s="89"/>
      <c r="J52" s="89"/>
    </row>
    <row r="53" ht="15.75" customHeight="1">
      <c r="A53" s="89"/>
      <c r="B53" s="89"/>
      <c r="C53" s="89"/>
      <c r="D53" s="89"/>
      <c r="E53" s="89"/>
      <c r="F53" s="89"/>
      <c r="G53" s="89"/>
      <c r="H53" s="89"/>
      <c r="I53" s="89"/>
      <c r="J53" s="89"/>
    </row>
    <row r="54" ht="15.75" customHeight="1">
      <c r="A54" s="89"/>
      <c r="B54" s="89"/>
      <c r="C54" s="89"/>
      <c r="D54" s="89"/>
      <c r="E54" s="89"/>
      <c r="F54" s="89"/>
      <c r="G54" s="89"/>
      <c r="H54" s="89"/>
      <c r="I54" s="89"/>
      <c r="J54" s="89"/>
    </row>
    <row r="55" ht="15.75" customHeight="1">
      <c r="A55" s="89"/>
      <c r="B55" s="89"/>
      <c r="C55" s="89"/>
      <c r="D55" s="89"/>
      <c r="E55" s="89"/>
      <c r="F55" s="89"/>
      <c r="G55" s="89"/>
      <c r="H55" s="89"/>
      <c r="I55" s="89"/>
      <c r="J55" s="89"/>
    </row>
    <row r="56" ht="15.75" customHeight="1">
      <c r="A56" s="89"/>
      <c r="B56" s="89"/>
      <c r="C56" s="89"/>
      <c r="D56" s="89"/>
      <c r="E56" s="89"/>
      <c r="F56" s="89"/>
      <c r="G56" s="89"/>
      <c r="H56" s="89"/>
      <c r="I56" s="89"/>
      <c r="J56" s="89"/>
    </row>
    <row r="57" ht="15.75" customHeight="1">
      <c r="A57" s="89"/>
      <c r="B57" s="89"/>
      <c r="C57" s="89"/>
      <c r="D57" s="89"/>
      <c r="E57" s="89"/>
      <c r="F57" s="89"/>
      <c r="G57" s="89"/>
      <c r="H57" s="89"/>
      <c r="I57" s="89"/>
      <c r="J57" s="89"/>
    </row>
    <row r="58" ht="15.75" customHeight="1">
      <c r="A58" s="89"/>
      <c r="B58" s="89"/>
      <c r="C58" s="89"/>
      <c r="D58" s="89"/>
      <c r="E58" s="89"/>
      <c r="F58" s="89"/>
      <c r="G58" s="89"/>
      <c r="H58" s="89"/>
      <c r="I58" s="89"/>
      <c r="J58" s="89"/>
    </row>
    <row r="59" ht="15.75" customHeight="1">
      <c r="A59" s="89"/>
      <c r="B59" s="89"/>
      <c r="C59" s="89"/>
      <c r="D59" s="89"/>
      <c r="E59" s="89"/>
      <c r="F59" s="89"/>
      <c r="G59" s="89"/>
      <c r="H59" s="89"/>
      <c r="I59" s="89"/>
      <c r="J59" s="89"/>
    </row>
    <row r="60" ht="15.75" customHeight="1">
      <c r="A60" s="89"/>
      <c r="B60" s="89"/>
      <c r="C60" s="89"/>
      <c r="D60" s="89"/>
      <c r="E60" s="89"/>
      <c r="F60" s="89"/>
      <c r="G60" s="89"/>
      <c r="H60" s="89"/>
      <c r="I60" s="89"/>
      <c r="J60" s="89"/>
    </row>
    <row r="61" ht="15.75" customHeight="1">
      <c r="A61" s="89"/>
      <c r="B61" s="89"/>
      <c r="C61" s="89"/>
      <c r="D61" s="89"/>
      <c r="E61" s="89"/>
      <c r="F61" s="89"/>
      <c r="G61" s="89"/>
      <c r="H61" s="89"/>
      <c r="I61" s="89"/>
      <c r="J61" s="89"/>
    </row>
    <row r="62" ht="15.75" customHeight="1">
      <c r="A62" s="89"/>
      <c r="B62" s="89"/>
      <c r="C62" s="89"/>
      <c r="D62" s="89"/>
      <c r="E62" s="89"/>
      <c r="F62" s="89"/>
      <c r="G62" s="89"/>
      <c r="H62" s="89"/>
      <c r="I62" s="89"/>
      <c r="J62" s="89"/>
    </row>
    <row r="63" ht="15.75" customHeight="1">
      <c r="A63" s="89"/>
      <c r="B63" s="89"/>
      <c r="C63" s="89"/>
      <c r="D63" s="89"/>
      <c r="E63" s="89"/>
      <c r="F63" s="89"/>
      <c r="G63" s="89"/>
      <c r="H63" s="89"/>
      <c r="I63" s="89"/>
      <c r="J63" s="89"/>
    </row>
    <row r="64" ht="15.75" customHeight="1">
      <c r="A64" s="89"/>
      <c r="B64" s="89"/>
      <c r="C64" s="89"/>
      <c r="D64" s="89"/>
      <c r="E64" s="89"/>
      <c r="F64" s="89"/>
      <c r="G64" s="89"/>
      <c r="H64" s="89"/>
      <c r="I64" s="89"/>
      <c r="J64" s="89"/>
    </row>
    <row r="65" ht="15.75" customHeight="1">
      <c r="A65" s="89"/>
      <c r="B65" s="89"/>
      <c r="C65" s="89"/>
      <c r="D65" s="89"/>
      <c r="E65" s="89"/>
      <c r="F65" s="89"/>
      <c r="G65" s="89"/>
      <c r="H65" s="89"/>
      <c r="I65" s="89"/>
      <c r="J65" s="89"/>
    </row>
    <row r="66" ht="15.75" customHeight="1">
      <c r="A66" s="89"/>
      <c r="B66" s="89"/>
      <c r="C66" s="89"/>
      <c r="D66" s="89"/>
      <c r="E66" s="89"/>
      <c r="F66" s="89"/>
      <c r="G66" s="89"/>
      <c r="H66" s="89"/>
      <c r="I66" s="89"/>
      <c r="J66" s="89"/>
    </row>
    <row r="67" ht="15.75" customHeight="1">
      <c r="A67" s="89"/>
      <c r="B67" s="89"/>
      <c r="C67" s="89"/>
      <c r="D67" s="89"/>
      <c r="E67" s="89"/>
      <c r="F67" s="89"/>
      <c r="G67" s="89"/>
      <c r="H67" s="89"/>
      <c r="I67" s="89"/>
      <c r="J67" s="89"/>
    </row>
    <row r="68" ht="15.75" customHeight="1">
      <c r="A68" s="89"/>
      <c r="B68" s="89"/>
      <c r="C68" s="89"/>
      <c r="D68" s="89"/>
      <c r="E68" s="89"/>
      <c r="F68" s="89"/>
      <c r="G68" s="89"/>
      <c r="H68" s="89"/>
      <c r="I68" s="89"/>
      <c r="J68" s="89"/>
    </row>
    <row r="69" ht="15.75" customHeight="1">
      <c r="A69" s="89"/>
      <c r="B69" s="89"/>
      <c r="C69" s="89"/>
      <c r="D69" s="89"/>
      <c r="E69" s="89"/>
      <c r="F69" s="89"/>
      <c r="G69" s="89"/>
      <c r="H69" s="89"/>
      <c r="I69" s="89"/>
      <c r="J69" s="89"/>
    </row>
    <row r="70" ht="15.75" customHeight="1">
      <c r="A70" s="89"/>
      <c r="B70" s="89"/>
      <c r="C70" s="89"/>
      <c r="D70" s="89"/>
      <c r="E70" s="89"/>
      <c r="F70" s="89"/>
      <c r="G70" s="89"/>
      <c r="H70" s="89"/>
      <c r="I70" s="89"/>
      <c r="J70" s="89"/>
    </row>
    <row r="71" ht="15.75" customHeight="1">
      <c r="A71" s="89"/>
      <c r="B71" s="89"/>
      <c r="C71" s="89"/>
      <c r="D71" s="89"/>
      <c r="E71" s="89"/>
      <c r="F71" s="89"/>
      <c r="G71" s="89"/>
      <c r="H71" s="89"/>
      <c r="I71" s="89"/>
      <c r="J71" s="89"/>
    </row>
    <row r="72" ht="15.75" customHeight="1">
      <c r="A72" s="89"/>
      <c r="B72" s="89"/>
      <c r="C72" s="89"/>
      <c r="D72" s="89"/>
      <c r="E72" s="89"/>
      <c r="F72" s="89"/>
      <c r="G72" s="89"/>
      <c r="H72" s="89"/>
      <c r="I72" s="89"/>
      <c r="J72" s="89"/>
    </row>
    <row r="73" ht="15.75" customHeight="1">
      <c r="A73" s="89"/>
      <c r="B73" s="89"/>
      <c r="C73" s="89"/>
      <c r="D73" s="89"/>
      <c r="E73" s="89"/>
      <c r="F73" s="89"/>
      <c r="G73" s="89"/>
      <c r="H73" s="89"/>
      <c r="I73" s="89"/>
      <c r="J73" s="89"/>
    </row>
    <row r="74" ht="15.75" customHeight="1">
      <c r="A74" s="89"/>
      <c r="B74" s="89"/>
      <c r="C74" s="89"/>
      <c r="D74" s="89"/>
      <c r="E74" s="89"/>
      <c r="F74" s="89"/>
      <c r="G74" s="89"/>
      <c r="H74" s="89"/>
      <c r="I74" s="89"/>
      <c r="J74" s="89"/>
    </row>
    <row r="75" ht="15.75" customHeight="1">
      <c r="A75" s="89"/>
      <c r="B75" s="89"/>
      <c r="C75" s="89"/>
      <c r="D75" s="89"/>
      <c r="E75" s="89"/>
      <c r="F75" s="89"/>
      <c r="G75" s="89"/>
      <c r="H75" s="89"/>
      <c r="I75" s="89"/>
      <c r="J75" s="89"/>
    </row>
    <row r="76" ht="15.75" customHeight="1">
      <c r="A76" s="89"/>
      <c r="B76" s="89"/>
      <c r="C76" s="89"/>
      <c r="D76" s="89"/>
      <c r="E76" s="89"/>
      <c r="F76" s="89"/>
      <c r="G76" s="89"/>
      <c r="H76" s="89"/>
      <c r="I76" s="89"/>
      <c r="J76" s="89"/>
    </row>
    <row r="77" ht="15.75" customHeight="1">
      <c r="A77" s="89"/>
      <c r="B77" s="89"/>
      <c r="C77" s="89"/>
      <c r="D77" s="89"/>
      <c r="E77" s="89"/>
      <c r="F77" s="89"/>
      <c r="G77" s="89"/>
      <c r="H77" s="89"/>
      <c r="I77" s="89"/>
      <c r="J77" s="89"/>
    </row>
    <row r="78" ht="15.75" customHeight="1">
      <c r="A78" s="89"/>
      <c r="B78" s="89"/>
      <c r="C78" s="89"/>
      <c r="D78" s="89"/>
      <c r="E78" s="89"/>
      <c r="F78" s="89"/>
      <c r="G78" s="89"/>
      <c r="H78" s="89"/>
      <c r="I78" s="89"/>
      <c r="J78" s="89"/>
    </row>
    <row r="79" ht="15.75" customHeight="1">
      <c r="A79" s="89"/>
      <c r="B79" s="89"/>
      <c r="C79" s="89"/>
      <c r="D79" s="89"/>
      <c r="E79" s="89"/>
      <c r="F79" s="89"/>
      <c r="G79" s="89"/>
      <c r="H79" s="89"/>
      <c r="I79" s="89"/>
      <c r="J79" s="89"/>
    </row>
    <row r="80" ht="15.75" customHeight="1">
      <c r="A80" s="89"/>
      <c r="B80" s="89"/>
      <c r="C80" s="89"/>
      <c r="D80" s="89"/>
      <c r="E80" s="89"/>
      <c r="F80" s="89"/>
      <c r="G80" s="89"/>
      <c r="H80" s="89"/>
      <c r="I80" s="89"/>
      <c r="J80" s="89"/>
    </row>
    <row r="81" ht="15.75" customHeight="1">
      <c r="A81" s="89"/>
      <c r="B81" s="89"/>
      <c r="C81" s="89"/>
      <c r="D81" s="89"/>
      <c r="E81" s="89"/>
      <c r="F81" s="89"/>
      <c r="G81" s="89"/>
      <c r="H81" s="89"/>
      <c r="I81" s="89"/>
      <c r="J81" s="89"/>
    </row>
    <row r="82" ht="15.75" customHeight="1">
      <c r="A82" s="89"/>
      <c r="B82" s="89"/>
      <c r="C82" s="89"/>
      <c r="D82" s="89"/>
      <c r="E82" s="89"/>
      <c r="F82" s="89"/>
      <c r="G82" s="89"/>
      <c r="H82" s="89"/>
      <c r="I82" s="89"/>
      <c r="J82" s="89"/>
    </row>
    <row r="83" ht="15.75" customHeight="1">
      <c r="A83" s="89"/>
      <c r="B83" s="89"/>
      <c r="C83" s="89"/>
      <c r="D83" s="89"/>
      <c r="E83" s="89"/>
      <c r="F83" s="89"/>
      <c r="G83" s="89"/>
      <c r="H83" s="89"/>
      <c r="I83" s="89"/>
      <c r="J83" s="89"/>
    </row>
    <row r="84" ht="15.75" customHeight="1">
      <c r="A84" s="89"/>
      <c r="B84" s="89"/>
      <c r="C84" s="89"/>
      <c r="D84" s="89"/>
      <c r="E84" s="89"/>
      <c r="F84" s="89"/>
      <c r="G84" s="89"/>
      <c r="H84" s="89"/>
      <c r="I84" s="89"/>
      <c r="J84" s="89"/>
    </row>
    <row r="85" ht="15.75" customHeight="1">
      <c r="A85" s="89"/>
      <c r="B85" s="89"/>
      <c r="C85" s="89"/>
      <c r="D85" s="89"/>
      <c r="E85" s="89"/>
      <c r="F85" s="89"/>
      <c r="G85" s="89"/>
      <c r="H85" s="89"/>
      <c r="I85" s="89"/>
      <c r="J85" s="89"/>
    </row>
    <row r="86" ht="15.75" customHeight="1">
      <c r="A86" s="89"/>
      <c r="B86" s="89"/>
      <c r="C86" s="89"/>
      <c r="D86" s="89"/>
      <c r="E86" s="89"/>
      <c r="F86" s="89"/>
      <c r="G86" s="89"/>
      <c r="H86" s="89"/>
      <c r="I86" s="89"/>
      <c r="J86" s="89"/>
    </row>
    <row r="87" ht="15.75" customHeight="1">
      <c r="A87" s="89"/>
      <c r="B87" s="89"/>
      <c r="C87" s="89"/>
      <c r="D87" s="89"/>
      <c r="E87" s="89"/>
      <c r="F87" s="89"/>
      <c r="G87" s="89"/>
      <c r="H87" s="89"/>
      <c r="I87" s="89"/>
      <c r="J87" s="89"/>
    </row>
    <row r="88" ht="15.75" customHeight="1">
      <c r="A88" s="89"/>
      <c r="B88" s="89"/>
      <c r="C88" s="89"/>
      <c r="D88" s="89"/>
      <c r="E88" s="89"/>
      <c r="F88" s="89"/>
      <c r="G88" s="89"/>
      <c r="H88" s="89"/>
      <c r="I88" s="89"/>
      <c r="J88" s="89"/>
    </row>
    <row r="89" ht="15.75" customHeight="1">
      <c r="A89" s="89"/>
      <c r="B89" s="89"/>
      <c r="C89" s="89"/>
      <c r="D89" s="89"/>
      <c r="E89" s="89"/>
      <c r="F89" s="89"/>
      <c r="G89" s="89"/>
      <c r="H89" s="89"/>
      <c r="I89" s="89"/>
      <c r="J89" s="89"/>
    </row>
    <row r="90" ht="15.75" customHeight="1">
      <c r="A90" s="89"/>
      <c r="B90" s="89"/>
      <c r="C90" s="89"/>
      <c r="D90" s="89"/>
      <c r="E90" s="89"/>
      <c r="F90" s="89"/>
      <c r="G90" s="89"/>
      <c r="H90" s="89"/>
      <c r="I90" s="89"/>
      <c r="J90" s="89"/>
    </row>
    <row r="91" ht="15.75" customHeight="1">
      <c r="A91" s="89"/>
      <c r="B91" s="89"/>
      <c r="C91" s="89"/>
      <c r="D91" s="89"/>
      <c r="E91" s="89"/>
      <c r="F91" s="89"/>
      <c r="G91" s="89"/>
      <c r="H91" s="89"/>
      <c r="I91" s="89"/>
      <c r="J91" s="89"/>
    </row>
    <row r="92" ht="15.75" customHeight="1">
      <c r="A92" s="89"/>
      <c r="B92" s="89"/>
      <c r="C92" s="89"/>
      <c r="D92" s="89"/>
      <c r="E92" s="89"/>
      <c r="F92" s="89"/>
      <c r="G92" s="89"/>
      <c r="H92" s="89"/>
      <c r="I92" s="89"/>
      <c r="J92" s="89"/>
    </row>
    <row r="93" ht="15.75" customHeight="1">
      <c r="A93" s="89"/>
      <c r="B93" s="89"/>
      <c r="C93" s="89"/>
      <c r="D93" s="89"/>
      <c r="E93" s="89"/>
      <c r="F93" s="89"/>
      <c r="G93" s="89"/>
      <c r="H93" s="89"/>
      <c r="I93" s="89"/>
      <c r="J93" s="89"/>
    </row>
    <row r="94" ht="15.75" customHeight="1">
      <c r="A94" s="89"/>
      <c r="B94" s="89"/>
      <c r="C94" s="89"/>
      <c r="D94" s="89"/>
      <c r="E94" s="89"/>
      <c r="F94" s="89"/>
      <c r="G94" s="89"/>
      <c r="H94" s="89"/>
      <c r="I94" s="89"/>
      <c r="J94" s="89"/>
    </row>
    <row r="95" ht="15.75" customHeight="1">
      <c r="A95" s="89"/>
      <c r="B95" s="89"/>
      <c r="C95" s="89"/>
      <c r="D95" s="89"/>
      <c r="E95" s="89"/>
      <c r="F95" s="89"/>
      <c r="G95" s="89"/>
      <c r="H95" s="89"/>
      <c r="I95" s="89"/>
      <c r="J95" s="89"/>
    </row>
    <row r="96" ht="15.75" customHeight="1">
      <c r="A96" s="89"/>
      <c r="B96" s="89"/>
      <c r="C96" s="89"/>
      <c r="D96" s="89"/>
      <c r="E96" s="89"/>
      <c r="F96" s="89"/>
      <c r="G96" s="89"/>
      <c r="H96" s="89"/>
      <c r="I96" s="89"/>
      <c r="J96" s="89"/>
    </row>
    <row r="97" ht="15.75" customHeight="1">
      <c r="A97" s="89"/>
      <c r="B97" s="89"/>
      <c r="C97" s="89"/>
      <c r="D97" s="89"/>
      <c r="E97" s="89"/>
      <c r="F97" s="89"/>
      <c r="G97" s="89"/>
      <c r="H97" s="89"/>
      <c r="I97" s="89"/>
      <c r="J97" s="89"/>
    </row>
    <row r="98" ht="15.75" customHeight="1">
      <c r="A98" s="89"/>
      <c r="B98" s="89"/>
      <c r="C98" s="89"/>
      <c r="D98" s="89"/>
      <c r="E98" s="89"/>
      <c r="F98" s="89"/>
      <c r="G98" s="89"/>
      <c r="H98" s="89"/>
      <c r="I98" s="89"/>
      <c r="J98" s="89"/>
    </row>
    <row r="99" ht="15.75" customHeight="1">
      <c r="A99" s="89"/>
      <c r="B99" s="89"/>
      <c r="C99" s="89"/>
      <c r="D99" s="89"/>
      <c r="E99" s="89"/>
      <c r="F99" s="89"/>
      <c r="G99" s="89"/>
      <c r="H99" s="89"/>
      <c r="I99" s="89"/>
      <c r="J99" s="89"/>
    </row>
    <row r="100" ht="15.75" customHeight="1">
      <c r="A100" s="89"/>
      <c r="B100" s="89"/>
      <c r="C100" s="89"/>
      <c r="D100" s="89"/>
      <c r="E100" s="89"/>
      <c r="F100" s="89"/>
      <c r="G100" s="89"/>
      <c r="H100" s="89"/>
      <c r="I100" s="89"/>
      <c r="J100" s="89"/>
    </row>
    <row r="101" ht="15.75" customHeight="1">
      <c r="A101" s="89"/>
      <c r="B101" s="89"/>
      <c r="C101" s="89"/>
      <c r="D101" s="89"/>
      <c r="E101" s="89"/>
      <c r="F101" s="89"/>
      <c r="G101" s="89"/>
      <c r="H101" s="89"/>
      <c r="I101" s="89"/>
      <c r="J101" s="89"/>
    </row>
    <row r="102" ht="15.75" customHeight="1">
      <c r="A102" s="89"/>
      <c r="B102" s="89"/>
      <c r="C102" s="89"/>
      <c r="D102" s="89"/>
      <c r="E102" s="89"/>
      <c r="F102" s="89"/>
      <c r="G102" s="89"/>
      <c r="H102" s="89"/>
      <c r="I102" s="89"/>
      <c r="J102" s="89"/>
    </row>
    <row r="103" ht="15.75" customHeight="1">
      <c r="A103" s="89"/>
      <c r="B103" s="89"/>
      <c r="C103" s="89"/>
      <c r="D103" s="89"/>
      <c r="E103" s="89"/>
      <c r="F103" s="89"/>
      <c r="G103" s="89"/>
      <c r="H103" s="89"/>
      <c r="I103" s="89"/>
      <c r="J103" s="89"/>
    </row>
    <row r="104" ht="15.75" customHeight="1">
      <c r="A104" s="89"/>
      <c r="B104" s="89"/>
      <c r="C104" s="89"/>
      <c r="D104" s="89"/>
      <c r="E104" s="89"/>
      <c r="F104" s="89"/>
      <c r="G104" s="89"/>
      <c r="H104" s="89"/>
      <c r="I104" s="89"/>
      <c r="J104" s="89"/>
    </row>
    <row r="105" ht="15.75" customHeight="1">
      <c r="A105" s="89"/>
      <c r="B105" s="89"/>
      <c r="C105" s="89"/>
      <c r="D105" s="89"/>
      <c r="E105" s="89"/>
      <c r="F105" s="89"/>
      <c r="G105" s="89"/>
      <c r="H105" s="89"/>
      <c r="I105" s="89"/>
      <c r="J105" s="89"/>
    </row>
    <row r="106" ht="15.75" customHeight="1">
      <c r="A106" s="89"/>
      <c r="B106" s="89"/>
      <c r="C106" s="89"/>
      <c r="D106" s="89"/>
      <c r="E106" s="89"/>
      <c r="F106" s="89"/>
      <c r="G106" s="89"/>
      <c r="H106" s="89"/>
      <c r="I106" s="89"/>
      <c r="J106" s="89"/>
    </row>
    <row r="107" ht="15.75" customHeight="1">
      <c r="A107" s="89"/>
      <c r="B107" s="89"/>
      <c r="C107" s="89"/>
      <c r="D107" s="89"/>
      <c r="E107" s="89"/>
      <c r="F107" s="89"/>
      <c r="G107" s="89"/>
      <c r="H107" s="89"/>
      <c r="I107" s="89"/>
      <c r="J107" s="89"/>
    </row>
    <row r="108" ht="15.75" customHeight="1">
      <c r="A108" s="89"/>
      <c r="B108" s="89"/>
      <c r="C108" s="89"/>
      <c r="D108" s="89"/>
      <c r="E108" s="89"/>
      <c r="F108" s="89"/>
      <c r="G108" s="89"/>
      <c r="H108" s="89"/>
      <c r="I108" s="89"/>
      <c r="J108" s="89"/>
    </row>
    <row r="109" ht="15.75" customHeight="1">
      <c r="A109" s="89"/>
      <c r="B109" s="89"/>
      <c r="C109" s="89"/>
      <c r="D109" s="89"/>
      <c r="E109" s="89"/>
      <c r="F109" s="89"/>
      <c r="G109" s="89"/>
      <c r="H109" s="89"/>
      <c r="I109" s="89"/>
      <c r="J109" s="89"/>
    </row>
    <row r="110" ht="15.75" customHeight="1">
      <c r="A110" s="89"/>
      <c r="B110" s="89"/>
      <c r="C110" s="89"/>
      <c r="D110" s="89"/>
      <c r="E110" s="89"/>
      <c r="F110" s="89"/>
      <c r="G110" s="89"/>
      <c r="H110" s="89"/>
      <c r="I110" s="89"/>
      <c r="J110" s="89"/>
    </row>
    <row r="111" ht="15.75" customHeight="1">
      <c r="A111" s="89"/>
      <c r="B111" s="89"/>
      <c r="C111" s="89"/>
      <c r="D111" s="89"/>
      <c r="E111" s="89"/>
      <c r="F111" s="89"/>
      <c r="G111" s="89"/>
      <c r="H111" s="89"/>
      <c r="I111" s="89"/>
      <c r="J111" s="89"/>
    </row>
    <row r="112" ht="15.75" customHeight="1">
      <c r="A112" s="89"/>
      <c r="B112" s="89"/>
      <c r="C112" s="89"/>
      <c r="D112" s="89"/>
      <c r="E112" s="89"/>
      <c r="F112" s="89"/>
      <c r="G112" s="89"/>
      <c r="H112" s="89"/>
      <c r="I112" s="89"/>
      <c r="J112" s="89"/>
    </row>
    <row r="113" ht="15.75" customHeight="1">
      <c r="A113" s="89"/>
      <c r="B113" s="89"/>
      <c r="C113" s="89"/>
      <c r="D113" s="89"/>
      <c r="E113" s="89"/>
      <c r="F113" s="89"/>
      <c r="G113" s="89"/>
      <c r="H113" s="89"/>
      <c r="I113" s="89"/>
      <c r="J113" s="89"/>
    </row>
    <row r="114" ht="15.75" customHeight="1">
      <c r="A114" s="89"/>
      <c r="B114" s="89"/>
      <c r="C114" s="89"/>
      <c r="D114" s="89"/>
      <c r="E114" s="89"/>
      <c r="F114" s="89"/>
      <c r="G114" s="89"/>
      <c r="H114" s="89"/>
      <c r="I114" s="89"/>
      <c r="J114" s="89"/>
    </row>
    <row r="115" ht="15.75" customHeight="1">
      <c r="A115" s="89"/>
      <c r="B115" s="89"/>
      <c r="C115" s="89"/>
      <c r="D115" s="89"/>
      <c r="E115" s="89"/>
      <c r="F115" s="89"/>
      <c r="G115" s="89"/>
      <c r="H115" s="89"/>
      <c r="I115" s="89"/>
      <c r="J115" s="89"/>
    </row>
    <row r="116" ht="15.75" customHeight="1">
      <c r="A116" s="89"/>
      <c r="B116" s="89"/>
      <c r="C116" s="89"/>
      <c r="D116" s="89"/>
      <c r="E116" s="89"/>
      <c r="F116" s="89"/>
      <c r="G116" s="89"/>
      <c r="H116" s="89"/>
      <c r="I116" s="89"/>
      <c r="J116" s="89"/>
    </row>
    <row r="117" ht="15.75" customHeight="1">
      <c r="A117" s="89"/>
      <c r="B117" s="89"/>
      <c r="C117" s="89"/>
      <c r="D117" s="89"/>
      <c r="E117" s="89"/>
      <c r="F117" s="89"/>
      <c r="G117" s="89"/>
      <c r="H117" s="89"/>
      <c r="I117" s="89"/>
      <c r="J117" s="89"/>
    </row>
    <row r="118" ht="15.75" customHeight="1">
      <c r="A118" s="89"/>
      <c r="B118" s="89"/>
      <c r="C118" s="89"/>
      <c r="D118" s="89"/>
      <c r="E118" s="89"/>
      <c r="F118" s="89"/>
      <c r="G118" s="89"/>
      <c r="H118" s="89"/>
      <c r="I118" s="89"/>
      <c r="J118" s="89"/>
    </row>
    <row r="119" ht="15.75" customHeight="1">
      <c r="A119" s="89"/>
      <c r="B119" s="89"/>
      <c r="C119" s="89"/>
      <c r="D119" s="89"/>
      <c r="E119" s="89"/>
      <c r="F119" s="89"/>
      <c r="G119" s="89"/>
      <c r="H119" s="89"/>
      <c r="I119" s="89"/>
      <c r="J119" s="89"/>
    </row>
    <row r="120" ht="15.75" customHeight="1">
      <c r="A120" s="89"/>
      <c r="B120" s="89"/>
      <c r="C120" s="89"/>
      <c r="D120" s="89"/>
      <c r="E120" s="89"/>
      <c r="F120" s="89"/>
      <c r="G120" s="89"/>
      <c r="H120" s="89"/>
      <c r="I120" s="89"/>
      <c r="J120" s="89"/>
    </row>
    <row r="121" ht="15.75" customHeight="1">
      <c r="A121" s="89"/>
      <c r="B121" s="89"/>
      <c r="C121" s="89"/>
      <c r="D121" s="89"/>
      <c r="E121" s="89"/>
      <c r="F121" s="89"/>
      <c r="G121" s="89"/>
      <c r="H121" s="89"/>
      <c r="I121" s="89"/>
      <c r="J121" s="89"/>
    </row>
    <row r="122" ht="15.75" customHeight="1">
      <c r="A122" s="89"/>
      <c r="B122" s="89"/>
      <c r="C122" s="89"/>
      <c r="D122" s="89"/>
      <c r="E122" s="89"/>
      <c r="F122" s="89"/>
      <c r="G122" s="89"/>
      <c r="H122" s="89"/>
      <c r="I122" s="89"/>
      <c r="J122" s="89"/>
    </row>
    <row r="123" ht="15.75" customHeight="1">
      <c r="A123" s="89"/>
      <c r="B123" s="89"/>
      <c r="C123" s="89"/>
      <c r="D123" s="89"/>
      <c r="E123" s="89"/>
      <c r="F123" s="89"/>
      <c r="G123" s="89"/>
      <c r="H123" s="89"/>
      <c r="I123" s="89"/>
      <c r="J123" s="89"/>
    </row>
    <row r="124" ht="15.75" customHeight="1">
      <c r="A124" s="89"/>
      <c r="B124" s="89"/>
      <c r="C124" s="89"/>
      <c r="D124" s="89"/>
      <c r="E124" s="89"/>
      <c r="F124" s="89"/>
      <c r="G124" s="89"/>
      <c r="H124" s="89"/>
      <c r="I124" s="89"/>
      <c r="J124" s="89"/>
    </row>
    <row r="125" ht="15.75" customHeight="1">
      <c r="A125" s="89"/>
      <c r="B125" s="89"/>
      <c r="C125" s="89"/>
      <c r="D125" s="89"/>
      <c r="E125" s="89"/>
      <c r="F125" s="89"/>
      <c r="G125" s="89"/>
      <c r="H125" s="89"/>
      <c r="I125" s="89"/>
      <c r="J125" s="89"/>
    </row>
    <row r="126" ht="15.75" customHeight="1">
      <c r="A126" s="89"/>
      <c r="B126" s="89"/>
      <c r="C126" s="89"/>
      <c r="D126" s="89"/>
      <c r="E126" s="89"/>
      <c r="F126" s="89"/>
      <c r="G126" s="89"/>
      <c r="H126" s="89"/>
      <c r="I126" s="89"/>
      <c r="J126" s="89"/>
    </row>
    <row r="127" ht="15.75" customHeight="1">
      <c r="A127" s="89"/>
      <c r="B127" s="89"/>
      <c r="C127" s="89"/>
      <c r="D127" s="89"/>
      <c r="E127" s="89"/>
      <c r="F127" s="89"/>
      <c r="G127" s="89"/>
      <c r="H127" s="89"/>
      <c r="I127" s="89"/>
      <c r="J127" s="89"/>
    </row>
    <row r="128" ht="15.75" customHeight="1">
      <c r="A128" s="89"/>
      <c r="B128" s="89"/>
      <c r="C128" s="89"/>
      <c r="D128" s="89"/>
      <c r="E128" s="89"/>
      <c r="F128" s="89"/>
      <c r="G128" s="89"/>
      <c r="H128" s="89"/>
      <c r="I128" s="89"/>
      <c r="J128" s="89"/>
    </row>
    <row r="129" ht="15.75" customHeight="1">
      <c r="A129" s="89"/>
      <c r="B129" s="89"/>
      <c r="C129" s="89"/>
      <c r="D129" s="89"/>
      <c r="E129" s="89"/>
      <c r="F129" s="89"/>
      <c r="G129" s="89"/>
      <c r="H129" s="89"/>
      <c r="I129" s="89"/>
      <c r="J129" s="89"/>
    </row>
    <row r="130" ht="15.75" customHeight="1">
      <c r="A130" s="89"/>
      <c r="B130" s="89"/>
      <c r="C130" s="89"/>
      <c r="D130" s="89"/>
      <c r="E130" s="89"/>
      <c r="F130" s="89"/>
      <c r="G130" s="89"/>
      <c r="H130" s="89"/>
      <c r="I130" s="89"/>
      <c r="J130" s="89"/>
    </row>
    <row r="131" ht="15.75" customHeight="1">
      <c r="A131" s="89"/>
      <c r="B131" s="89"/>
      <c r="C131" s="89"/>
      <c r="D131" s="89"/>
      <c r="E131" s="89"/>
      <c r="F131" s="89"/>
      <c r="G131" s="89"/>
      <c r="H131" s="89"/>
      <c r="I131" s="89"/>
      <c r="J131" s="89"/>
    </row>
    <row r="132" ht="15.75" customHeight="1">
      <c r="A132" s="89"/>
      <c r="B132" s="89"/>
      <c r="C132" s="89"/>
      <c r="D132" s="89"/>
      <c r="E132" s="89"/>
      <c r="F132" s="89"/>
      <c r="G132" s="89"/>
      <c r="H132" s="89"/>
      <c r="I132" s="89"/>
      <c r="J132" s="89"/>
    </row>
    <row r="133" ht="15.75" customHeight="1">
      <c r="A133" s="89"/>
      <c r="B133" s="89"/>
      <c r="C133" s="89"/>
      <c r="D133" s="89"/>
      <c r="E133" s="89"/>
      <c r="F133" s="89"/>
      <c r="G133" s="89"/>
      <c r="H133" s="89"/>
      <c r="I133" s="89"/>
      <c r="J133" s="89"/>
    </row>
    <row r="134" ht="15.75" customHeight="1">
      <c r="A134" s="89"/>
      <c r="B134" s="89"/>
      <c r="C134" s="89"/>
      <c r="D134" s="89"/>
      <c r="E134" s="89"/>
      <c r="F134" s="89"/>
      <c r="G134" s="89"/>
      <c r="H134" s="89"/>
      <c r="I134" s="89"/>
      <c r="J134" s="89"/>
    </row>
    <row r="135" ht="15.75" customHeight="1">
      <c r="A135" s="89"/>
      <c r="B135" s="89"/>
      <c r="C135" s="89"/>
      <c r="D135" s="89"/>
      <c r="E135" s="89"/>
      <c r="F135" s="89"/>
      <c r="G135" s="89"/>
      <c r="H135" s="89"/>
      <c r="I135" s="89"/>
      <c r="J135" s="89"/>
    </row>
    <row r="136" ht="15.75" customHeight="1">
      <c r="A136" s="89"/>
      <c r="B136" s="89"/>
      <c r="C136" s="89"/>
      <c r="D136" s="89"/>
      <c r="E136" s="89"/>
      <c r="F136" s="89"/>
      <c r="G136" s="89"/>
      <c r="H136" s="89"/>
      <c r="I136" s="89"/>
      <c r="J136" s="89"/>
    </row>
    <row r="137" ht="15.75" customHeight="1">
      <c r="A137" s="89"/>
      <c r="B137" s="89"/>
      <c r="C137" s="89"/>
      <c r="D137" s="89"/>
      <c r="E137" s="89"/>
      <c r="F137" s="89"/>
      <c r="G137" s="89"/>
      <c r="H137" s="89"/>
      <c r="I137" s="89"/>
      <c r="J137" s="89"/>
    </row>
    <row r="138" ht="15.75" customHeight="1">
      <c r="A138" s="89"/>
      <c r="B138" s="89"/>
      <c r="C138" s="89"/>
      <c r="D138" s="89"/>
      <c r="E138" s="89"/>
      <c r="F138" s="89"/>
      <c r="G138" s="89"/>
      <c r="H138" s="89"/>
      <c r="I138" s="89"/>
      <c r="J138" s="89"/>
    </row>
    <row r="139" ht="15.75" customHeight="1">
      <c r="A139" s="89"/>
      <c r="B139" s="89"/>
      <c r="C139" s="89"/>
      <c r="D139" s="89"/>
      <c r="E139" s="89"/>
      <c r="F139" s="89"/>
      <c r="G139" s="89"/>
      <c r="H139" s="89"/>
      <c r="I139" s="89"/>
      <c r="J139" s="89"/>
    </row>
    <row r="140" ht="15.75" customHeight="1">
      <c r="A140" s="89"/>
      <c r="B140" s="89"/>
      <c r="C140" s="89"/>
      <c r="D140" s="89"/>
      <c r="E140" s="89"/>
      <c r="F140" s="89"/>
      <c r="G140" s="89"/>
      <c r="H140" s="89"/>
      <c r="I140" s="89"/>
      <c r="J140" s="89"/>
    </row>
    <row r="141" ht="15.75" customHeight="1">
      <c r="A141" s="89"/>
      <c r="B141" s="89"/>
      <c r="C141" s="89"/>
      <c r="D141" s="89"/>
      <c r="E141" s="89"/>
      <c r="F141" s="89"/>
      <c r="G141" s="89"/>
      <c r="H141" s="89"/>
      <c r="I141" s="89"/>
      <c r="J141" s="89"/>
    </row>
    <row r="142" ht="15.75" customHeight="1">
      <c r="A142" s="89"/>
      <c r="B142" s="89"/>
      <c r="C142" s="89"/>
      <c r="D142" s="89"/>
      <c r="E142" s="89"/>
      <c r="F142" s="89"/>
      <c r="G142" s="89"/>
      <c r="H142" s="89"/>
      <c r="I142" s="89"/>
      <c r="J142" s="89"/>
    </row>
    <row r="143" ht="15.75" customHeight="1">
      <c r="A143" s="89"/>
      <c r="B143" s="89"/>
      <c r="C143" s="89"/>
      <c r="D143" s="89"/>
      <c r="E143" s="89"/>
      <c r="F143" s="89"/>
      <c r="G143" s="89"/>
      <c r="H143" s="89"/>
      <c r="I143" s="89"/>
      <c r="J143" s="89"/>
    </row>
    <row r="144" ht="15.75" customHeight="1">
      <c r="A144" s="89"/>
      <c r="B144" s="89"/>
      <c r="C144" s="89"/>
      <c r="D144" s="89"/>
      <c r="E144" s="89"/>
      <c r="F144" s="89"/>
      <c r="G144" s="89"/>
      <c r="H144" s="89"/>
      <c r="I144" s="89"/>
      <c r="J144" s="89"/>
    </row>
    <row r="145" ht="15.75" customHeight="1">
      <c r="A145" s="89"/>
      <c r="B145" s="89"/>
      <c r="C145" s="89"/>
      <c r="D145" s="89"/>
      <c r="E145" s="89"/>
      <c r="F145" s="89"/>
      <c r="G145" s="89"/>
      <c r="H145" s="89"/>
      <c r="I145" s="89"/>
      <c r="J145" s="89"/>
    </row>
    <row r="146" ht="15.75" customHeight="1">
      <c r="A146" s="89"/>
      <c r="B146" s="89"/>
      <c r="C146" s="89"/>
      <c r="D146" s="89"/>
      <c r="E146" s="89"/>
      <c r="F146" s="89"/>
      <c r="G146" s="89"/>
      <c r="H146" s="89"/>
      <c r="I146" s="89"/>
      <c r="J146" s="89"/>
    </row>
    <row r="147" ht="15.75" customHeight="1">
      <c r="A147" s="89"/>
      <c r="B147" s="89"/>
      <c r="C147" s="89"/>
      <c r="D147" s="89"/>
      <c r="E147" s="89"/>
      <c r="F147" s="89"/>
      <c r="G147" s="89"/>
      <c r="H147" s="89"/>
      <c r="I147" s="89"/>
      <c r="J147" s="89"/>
    </row>
    <row r="148" ht="15.75" customHeight="1">
      <c r="A148" s="89"/>
      <c r="B148" s="89"/>
      <c r="C148" s="89"/>
      <c r="D148" s="89"/>
      <c r="E148" s="89"/>
      <c r="F148" s="89"/>
      <c r="G148" s="89"/>
      <c r="H148" s="89"/>
      <c r="I148" s="89"/>
      <c r="J148" s="89"/>
    </row>
    <row r="149" ht="15.75" customHeight="1">
      <c r="A149" s="89"/>
      <c r="B149" s="89"/>
      <c r="C149" s="89"/>
      <c r="D149" s="89"/>
      <c r="E149" s="89"/>
      <c r="F149" s="89"/>
      <c r="G149" s="89"/>
      <c r="H149" s="89"/>
      <c r="I149" s="89"/>
      <c r="J149" s="89"/>
    </row>
    <row r="150" ht="15.75" customHeight="1">
      <c r="A150" s="89"/>
      <c r="B150" s="89"/>
      <c r="C150" s="89"/>
      <c r="D150" s="89"/>
      <c r="E150" s="89"/>
      <c r="F150" s="89"/>
      <c r="G150" s="89"/>
      <c r="H150" s="89"/>
      <c r="I150" s="89"/>
      <c r="J150" s="89"/>
    </row>
    <row r="151" ht="15.75" customHeight="1">
      <c r="A151" s="89"/>
      <c r="B151" s="89"/>
      <c r="C151" s="89"/>
      <c r="D151" s="89"/>
      <c r="E151" s="89"/>
      <c r="F151" s="89"/>
      <c r="G151" s="89"/>
      <c r="H151" s="89"/>
      <c r="I151" s="89"/>
      <c r="J151" s="89"/>
    </row>
    <row r="152" ht="15.75" customHeight="1">
      <c r="A152" s="89"/>
      <c r="B152" s="89"/>
      <c r="C152" s="89"/>
      <c r="D152" s="89"/>
      <c r="E152" s="89"/>
      <c r="F152" s="89"/>
      <c r="G152" s="89"/>
      <c r="H152" s="89"/>
      <c r="I152" s="89"/>
      <c r="J152" s="89"/>
    </row>
    <row r="153" ht="15.75" customHeight="1">
      <c r="A153" s="89"/>
      <c r="B153" s="89"/>
      <c r="C153" s="89"/>
      <c r="D153" s="89"/>
      <c r="E153" s="89"/>
      <c r="F153" s="89"/>
      <c r="G153" s="89"/>
      <c r="H153" s="89"/>
      <c r="I153" s="89"/>
      <c r="J153" s="89"/>
    </row>
    <row r="154" ht="15.75" customHeight="1">
      <c r="A154" s="89"/>
      <c r="B154" s="89"/>
      <c r="C154" s="89"/>
      <c r="D154" s="89"/>
      <c r="E154" s="89"/>
      <c r="F154" s="89"/>
      <c r="G154" s="89"/>
      <c r="H154" s="89"/>
      <c r="I154" s="89"/>
      <c r="J154" s="89"/>
    </row>
    <row r="155" ht="15.75" customHeight="1">
      <c r="A155" s="89"/>
      <c r="B155" s="89"/>
      <c r="C155" s="89"/>
      <c r="D155" s="89"/>
      <c r="E155" s="89"/>
      <c r="F155" s="89"/>
      <c r="G155" s="89"/>
      <c r="H155" s="89"/>
      <c r="I155" s="89"/>
      <c r="J155" s="89"/>
    </row>
    <row r="156" ht="15.75" customHeight="1">
      <c r="A156" s="89"/>
      <c r="B156" s="89"/>
      <c r="C156" s="89"/>
      <c r="D156" s="89"/>
      <c r="E156" s="89"/>
      <c r="F156" s="89"/>
      <c r="G156" s="89"/>
      <c r="H156" s="89"/>
      <c r="I156" s="89"/>
      <c r="J156" s="89"/>
    </row>
    <row r="157" ht="15.75" customHeight="1">
      <c r="A157" s="89"/>
      <c r="B157" s="89"/>
      <c r="C157" s="89"/>
      <c r="D157" s="89"/>
      <c r="E157" s="89"/>
      <c r="F157" s="89"/>
      <c r="G157" s="89"/>
      <c r="H157" s="89"/>
      <c r="I157" s="89"/>
      <c r="J157" s="89"/>
    </row>
    <row r="158" ht="15.75" customHeight="1">
      <c r="A158" s="89"/>
      <c r="B158" s="89"/>
      <c r="C158" s="89"/>
      <c r="D158" s="89"/>
      <c r="E158" s="89"/>
      <c r="F158" s="89"/>
      <c r="G158" s="89"/>
      <c r="H158" s="89"/>
      <c r="I158" s="89"/>
      <c r="J158" s="89"/>
    </row>
    <row r="159" ht="15.75" customHeight="1">
      <c r="A159" s="89"/>
      <c r="B159" s="89"/>
      <c r="C159" s="89"/>
      <c r="D159" s="89"/>
      <c r="E159" s="89"/>
      <c r="F159" s="89"/>
      <c r="G159" s="89"/>
      <c r="H159" s="89"/>
      <c r="I159" s="89"/>
      <c r="J159" s="89"/>
    </row>
    <row r="160" ht="15.75" customHeight="1">
      <c r="A160" s="89"/>
      <c r="B160" s="89"/>
      <c r="C160" s="89"/>
      <c r="D160" s="89"/>
      <c r="E160" s="89"/>
      <c r="F160" s="89"/>
      <c r="G160" s="89"/>
      <c r="H160" s="89"/>
      <c r="I160" s="89"/>
      <c r="J160" s="89"/>
    </row>
    <row r="161" ht="15.75" customHeight="1">
      <c r="A161" s="89"/>
      <c r="B161" s="89"/>
      <c r="C161" s="89"/>
      <c r="D161" s="89"/>
      <c r="E161" s="89"/>
      <c r="F161" s="89"/>
      <c r="G161" s="89"/>
      <c r="H161" s="89"/>
      <c r="I161" s="89"/>
      <c r="J161" s="89"/>
    </row>
    <row r="162" ht="15.75" customHeight="1">
      <c r="A162" s="89"/>
      <c r="B162" s="89"/>
      <c r="C162" s="89"/>
      <c r="D162" s="89"/>
      <c r="E162" s="89"/>
      <c r="F162" s="89"/>
      <c r="G162" s="89"/>
      <c r="H162" s="89"/>
      <c r="I162" s="89"/>
      <c r="J162" s="89"/>
    </row>
    <row r="163" ht="15.75" customHeight="1">
      <c r="A163" s="89"/>
      <c r="B163" s="89"/>
      <c r="C163" s="89"/>
      <c r="D163" s="89"/>
      <c r="E163" s="89"/>
      <c r="F163" s="89"/>
      <c r="G163" s="89"/>
      <c r="H163" s="89"/>
      <c r="I163" s="89"/>
      <c r="J163" s="89"/>
    </row>
    <row r="164" ht="15.75" customHeight="1">
      <c r="A164" s="89"/>
      <c r="B164" s="89"/>
      <c r="C164" s="89"/>
      <c r="D164" s="89"/>
      <c r="E164" s="89"/>
      <c r="F164" s="89"/>
      <c r="G164" s="89"/>
      <c r="H164" s="89"/>
      <c r="I164" s="89"/>
      <c r="J164" s="89"/>
    </row>
    <row r="165" ht="15.75" customHeight="1">
      <c r="A165" s="89"/>
      <c r="B165" s="89"/>
      <c r="C165" s="89"/>
      <c r="D165" s="89"/>
      <c r="E165" s="89"/>
      <c r="F165" s="89"/>
      <c r="G165" s="89"/>
      <c r="H165" s="89"/>
      <c r="I165" s="89"/>
      <c r="J165" s="89"/>
    </row>
    <row r="166" ht="15.75" customHeight="1">
      <c r="A166" s="89"/>
      <c r="B166" s="89"/>
      <c r="C166" s="89"/>
      <c r="D166" s="89"/>
      <c r="E166" s="89"/>
      <c r="F166" s="89"/>
      <c r="G166" s="89"/>
      <c r="H166" s="89"/>
      <c r="I166" s="89"/>
      <c r="J166" s="89"/>
    </row>
    <row r="167" ht="15.75" customHeight="1">
      <c r="A167" s="89"/>
      <c r="B167" s="89"/>
      <c r="C167" s="89"/>
      <c r="D167" s="89"/>
      <c r="E167" s="89"/>
      <c r="F167" s="89"/>
      <c r="G167" s="89"/>
      <c r="H167" s="89"/>
      <c r="I167" s="89"/>
      <c r="J167" s="89"/>
    </row>
    <row r="168" ht="15.75" customHeight="1">
      <c r="A168" s="89"/>
      <c r="B168" s="89"/>
      <c r="C168" s="89"/>
      <c r="D168" s="89"/>
      <c r="E168" s="89"/>
      <c r="F168" s="89"/>
      <c r="G168" s="89"/>
      <c r="H168" s="89"/>
      <c r="I168" s="89"/>
      <c r="J168" s="89"/>
    </row>
    <row r="169" ht="15.75" customHeight="1">
      <c r="A169" s="89"/>
      <c r="B169" s="89"/>
      <c r="C169" s="89"/>
      <c r="D169" s="89"/>
      <c r="E169" s="89"/>
      <c r="F169" s="89"/>
      <c r="G169" s="89"/>
      <c r="H169" s="89"/>
      <c r="I169" s="89"/>
      <c r="J169" s="89"/>
    </row>
    <row r="170" ht="15.75" customHeight="1">
      <c r="A170" s="89"/>
      <c r="B170" s="89"/>
      <c r="C170" s="89"/>
      <c r="D170" s="89"/>
      <c r="E170" s="89"/>
      <c r="F170" s="89"/>
      <c r="G170" s="89"/>
      <c r="H170" s="89"/>
      <c r="I170" s="89"/>
      <c r="J170" s="89"/>
    </row>
    <row r="171" ht="15.75" customHeight="1">
      <c r="A171" s="89"/>
      <c r="B171" s="89"/>
      <c r="C171" s="89"/>
      <c r="D171" s="89"/>
      <c r="E171" s="89"/>
      <c r="F171" s="89"/>
      <c r="G171" s="89"/>
      <c r="H171" s="89"/>
      <c r="I171" s="89"/>
      <c r="J171" s="89"/>
    </row>
    <row r="172" ht="15.75" customHeight="1">
      <c r="A172" s="89"/>
      <c r="B172" s="89"/>
      <c r="C172" s="89"/>
      <c r="D172" s="89"/>
      <c r="E172" s="89"/>
      <c r="F172" s="89"/>
      <c r="G172" s="89"/>
      <c r="H172" s="89"/>
      <c r="I172" s="89"/>
      <c r="J172" s="89"/>
    </row>
    <row r="173" ht="15.75" customHeight="1">
      <c r="A173" s="89"/>
      <c r="B173" s="89"/>
      <c r="C173" s="89"/>
      <c r="D173" s="89"/>
      <c r="E173" s="89"/>
      <c r="F173" s="89"/>
      <c r="G173" s="89"/>
      <c r="H173" s="89"/>
      <c r="I173" s="89"/>
      <c r="J173" s="89"/>
    </row>
    <row r="174" ht="15.75" customHeight="1">
      <c r="A174" s="89"/>
      <c r="B174" s="89"/>
      <c r="C174" s="89"/>
      <c r="D174" s="89"/>
      <c r="E174" s="89"/>
      <c r="F174" s="89"/>
      <c r="G174" s="89"/>
      <c r="H174" s="89"/>
      <c r="I174" s="89"/>
      <c r="J174" s="89"/>
    </row>
    <row r="175" ht="15.75" customHeight="1">
      <c r="A175" s="89"/>
      <c r="B175" s="89"/>
      <c r="C175" s="89"/>
      <c r="D175" s="89"/>
      <c r="E175" s="89"/>
      <c r="F175" s="89"/>
      <c r="G175" s="89"/>
      <c r="H175" s="89"/>
      <c r="I175" s="89"/>
      <c r="J175" s="89"/>
    </row>
    <row r="176" ht="15.75" customHeight="1">
      <c r="A176" s="89"/>
      <c r="B176" s="89"/>
      <c r="C176" s="89"/>
      <c r="D176" s="89"/>
      <c r="E176" s="89"/>
      <c r="F176" s="89"/>
      <c r="G176" s="89"/>
      <c r="H176" s="89"/>
      <c r="I176" s="89"/>
      <c r="J176" s="89"/>
    </row>
    <row r="177" ht="15.75" customHeight="1">
      <c r="A177" s="89"/>
      <c r="B177" s="89"/>
      <c r="C177" s="89"/>
      <c r="D177" s="89"/>
      <c r="E177" s="89"/>
      <c r="F177" s="89"/>
      <c r="G177" s="89"/>
      <c r="H177" s="89"/>
      <c r="I177" s="89"/>
      <c r="J177" s="89"/>
    </row>
    <row r="178" ht="15.75" customHeight="1">
      <c r="A178" s="89"/>
      <c r="B178" s="89"/>
      <c r="C178" s="89"/>
      <c r="D178" s="89"/>
      <c r="E178" s="89"/>
      <c r="F178" s="89"/>
      <c r="G178" s="89"/>
      <c r="H178" s="89"/>
      <c r="I178" s="89"/>
      <c r="J178" s="89"/>
    </row>
    <row r="179" ht="15.75" customHeight="1">
      <c r="A179" s="89"/>
      <c r="B179" s="89"/>
      <c r="C179" s="89"/>
      <c r="D179" s="89"/>
      <c r="E179" s="89"/>
      <c r="F179" s="89"/>
      <c r="G179" s="89"/>
      <c r="H179" s="89"/>
      <c r="I179" s="89"/>
      <c r="J179" s="89"/>
    </row>
    <row r="180" ht="15.75" customHeight="1">
      <c r="A180" s="89"/>
      <c r="B180" s="89"/>
      <c r="C180" s="89"/>
      <c r="D180" s="89"/>
      <c r="E180" s="89"/>
      <c r="F180" s="89"/>
      <c r="G180" s="89"/>
      <c r="H180" s="89"/>
      <c r="I180" s="89"/>
      <c r="J180" s="89"/>
    </row>
    <row r="181" ht="15.75" customHeight="1">
      <c r="A181" s="89"/>
      <c r="B181" s="89"/>
      <c r="C181" s="89"/>
      <c r="D181" s="89"/>
      <c r="E181" s="89"/>
      <c r="F181" s="89"/>
      <c r="G181" s="89"/>
      <c r="H181" s="89"/>
      <c r="I181" s="89"/>
      <c r="J181" s="89"/>
    </row>
    <row r="182" ht="15.75" customHeight="1">
      <c r="A182" s="89"/>
      <c r="B182" s="89"/>
      <c r="C182" s="89"/>
      <c r="D182" s="89"/>
      <c r="E182" s="89"/>
      <c r="F182" s="89"/>
      <c r="G182" s="89"/>
      <c r="H182" s="89"/>
      <c r="I182" s="89"/>
      <c r="J182" s="89"/>
    </row>
    <row r="183" ht="15.75" customHeight="1">
      <c r="A183" s="89"/>
      <c r="B183" s="89"/>
      <c r="C183" s="89"/>
      <c r="D183" s="89"/>
      <c r="E183" s="89"/>
      <c r="F183" s="89"/>
      <c r="G183" s="89"/>
      <c r="H183" s="89"/>
      <c r="I183" s="89"/>
      <c r="J183" s="89"/>
    </row>
    <row r="184" ht="15.75" customHeight="1">
      <c r="A184" s="89"/>
      <c r="B184" s="89"/>
      <c r="C184" s="89"/>
      <c r="D184" s="89"/>
      <c r="E184" s="89"/>
      <c r="F184" s="89"/>
      <c r="G184" s="89"/>
      <c r="H184" s="89"/>
      <c r="I184" s="89"/>
      <c r="J184" s="89"/>
    </row>
    <row r="185" ht="15.75" customHeight="1">
      <c r="A185" s="89"/>
      <c r="B185" s="89"/>
      <c r="C185" s="89"/>
      <c r="D185" s="89"/>
      <c r="E185" s="89"/>
      <c r="F185" s="89"/>
      <c r="G185" s="89"/>
      <c r="H185" s="89"/>
      <c r="I185" s="89"/>
      <c r="J185" s="89"/>
    </row>
    <row r="186" ht="15.75" customHeight="1">
      <c r="A186" s="89"/>
      <c r="B186" s="89"/>
      <c r="C186" s="89"/>
      <c r="D186" s="89"/>
      <c r="E186" s="89"/>
      <c r="F186" s="89"/>
      <c r="G186" s="89"/>
      <c r="H186" s="89"/>
      <c r="I186" s="89"/>
      <c r="J186" s="89"/>
    </row>
    <row r="187" ht="15.75" customHeight="1">
      <c r="A187" s="89"/>
      <c r="B187" s="89"/>
      <c r="C187" s="89"/>
      <c r="D187" s="89"/>
      <c r="E187" s="89"/>
      <c r="F187" s="89"/>
      <c r="G187" s="89"/>
      <c r="H187" s="89"/>
      <c r="I187" s="89"/>
      <c r="J187" s="89"/>
    </row>
    <row r="188" ht="15.75" customHeight="1">
      <c r="A188" s="89"/>
      <c r="B188" s="89"/>
      <c r="C188" s="89"/>
      <c r="D188" s="89"/>
      <c r="E188" s="89"/>
      <c r="F188" s="89"/>
      <c r="G188" s="89"/>
      <c r="H188" s="89"/>
      <c r="I188" s="89"/>
      <c r="J188" s="89"/>
    </row>
    <row r="189" ht="15.75" customHeight="1">
      <c r="A189" s="89"/>
      <c r="B189" s="89"/>
      <c r="C189" s="89"/>
      <c r="D189" s="89"/>
      <c r="E189" s="89"/>
      <c r="F189" s="89"/>
      <c r="G189" s="89"/>
      <c r="H189" s="89"/>
      <c r="I189" s="89"/>
      <c r="J189" s="89"/>
    </row>
    <row r="190" ht="15.75" customHeight="1">
      <c r="A190" s="89"/>
      <c r="B190" s="89"/>
      <c r="C190" s="89"/>
      <c r="D190" s="89"/>
      <c r="E190" s="89"/>
      <c r="F190" s="89"/>
      <c r="G190" s="89"/>
      <c r="H190" s="89"/>
      <c r="I190" s="89"/>
      <c r="J190" s="89"/>
    </row>
    <row r="191" ht="15.75" customHeight="1">
      <c r="A191" s="89"/>
      <c r="B191" s="89"/>
      <c r="C191" s="89"/>
      <c r="D191" s="89"/>
      <c r="E191" s="89"/>
      <c r="F191" s="89"/>
      <c r="G191" s="89"/>
      <c r="H191" s="89"/>
      <c r="I191" s="89"/>
      <c r="J191" s="89"/>
    </row>
    <row r="192" ht="15.75" customHeight="1">
      <c r="A192" s="89"/>
      <c r="B192" s="89"/>
      <c r="C192" s="89"/>
      <c r="D192" s="89"/>
      <c r="E192" s="89"/>
      <c r="F192" s="89"/>
      <c r="G192" s="89"/>
      <c r="H192" s="89"/>
      <c r="I192" s="89"/>
      <c r="J192" s="89"/>
    </row>
    <row r="193" ht="15.75" customHeight="1">
      <c r="A193" s="89"/>
      <c r="B193" s="89"/>
      <c r="C193" s="89"/>
      <c r="D193" s="89"/>
      <c r="E193" s="89"/>
      <c r="F193" s="89"/>
      <c r="G193" s="89"/>
      <c r="H193" s="89"/>
      <c r="I193" s="89"/>
      <c r="J193" s="89"/>
    </row>
    <row r="194" ht="15.75" customHeight="1">
      <c r="A194" s="89"/>
      <c r="B194" s="89"/>
      <c r="C194" s="89"/>
      <c r="D194" s="89"/>
      <c r="E194" s="89"/>
      <c r="F194" s="89"/>
      <c r="G194" s="89"/>
      <c r="H194" s="89"/>
      <c r="I194" s="89"/>
      <c r="J194" s="89"/>
    </row>
    <row r="195" ht="15.75" customHeight="1">
      <c r="A195" s="89"/>
      <c r="B195" s="89"/>
      <c r="C195" s="89"/>
      <c r="D195" s="89"/>
      <c r="E195" s="89"/>
      <c r="F195" s="89"/>
      <c r="G195" s="89"/>
      <c r="H195" s="89"/>
      <c r="I195" s="89"/>
      <c r="J195" s="89"/>
    </row>
    <row r="196" ht="15.75" customHeight="1">
      <c r="A196" s="89"/>
      <c r="B196" s="89"/>
      <c r="C196" s="89"/>
      <c r="D196" s="89"/>
      <c r="E196" s="89"/>
      <c r="F196" s="89"/>
      <c r="G196" s="89"/>
      <c r="H196" s="89"/>
      <c r="I196" s="89"/>
      <c r="J196" s="89"/>
    </row>
    <row r="197" ht="15.75" customHeight="1">
      <c r="A197" s="89"/>
      <c r="B197" s="89"/>
      <c r="C197" s="89"/>
      <c r="D197" s="89"/>
      <c r="E197" s="89"/>
      <c r="F197" s="89"/>
      <c r="G197" s="89"/>
      <c r="H197" s="89"/>
      <c r="I197" s="89"/>
      <c r="J197" s="89"/>
    </row>
    <row r="198" ht="15.75" customHeight="1">
      <c r="A198" s="89"/>
      <c r="B198" s="89"/>
      <c r="C198" s="89"/>
      <c r="D198" s="89"/>
      <c r="E198" s="89"/>
      <c r="F198" s="89"/>
      <c r="G198" s="89"/>
      <c r="H198" s="89"/>
      <c r="I198" s="89"/>
      <c r="J198" s="89"/>
    </row>
    <row r="199" ht="15.75" customHeight="1">
      <c r="A199" s="89"/>
      <c r="B199" s="89"/>
      <c r="C199" s="89"/>
      <c r="D199" s="89"/>
      <c r="E199" s="89"/>
      <c r="F199" s="89"/>
      <c r="G199" s="89"/>
      <c r="H199" s="89"/>
      <c r="I199" s="89"/>
      <c r="J199" s="89"/>
    </row>
    <row r="200" ht="15.75" customHeight="1">
      <c r="A200" s="89"/>
      <c r="B200" s="89"/>
      <c r="C200" s="89"/>
      <c r="D200" s="89"/>
      <c r="E200" s="89"/>
      <c r="F200" s="89"/>
      <c r="G200" s="89"/>
      <c r="H200" s="89"/>
      <c r="I200" s="89"/>
      <c r="J200" s="89"/>
    </row>
    <row r="201" ht="15.75" customHeight="1">
      <c r="A201" s="89"/>
      <c r="B201" s="89"/>
      <c r="C201" s="89"/>
      <c r="D201" s="89"/>
      <c r="E201" s="89"/>
      <c r="F201" s="89"/>
      <c r="G201" s="89"/>
      <c r="H201" s="89"/>
      <c r="I201" s="89"/>
      <c r="J201" s="89"/>
    </row>
    <row r="202" ht="15.75" customHeight="1">
      <c r="A202" s="89"/>
      <c r="B202" s="89"/>
      <c r="C202" s="89"/>
      <c r="D202" s="89"/>
      <c r="E202" s="89"/>
      <c r="F202" s="89"/>
      <c r="G202" s="89"/>
      <c r="H202" s="89"/>
      <c r="I202" s="89"/>
      <c r="J202" s="89"/>
    </row>
    <row r="203" ht="15.75" customHeight="1">
      <c r="A203" s="89"/>
      <c r="B203" s="89"/>
      <c r="C203" s="89"/>
      <c r="D203" s="89"/>
      <c r="E203" s="89"/>
      <c r="F203" s="89"/>
      <c r="G203" s="89"/>
      <c r="H203" s="89"/>
      <c r="I203" s="89"/>
      <c r="J203" s="89"/>
    </row>
    <row r="204" ht="15.75" customHeight="1">
      <c r="A204" s="89"/>
      <c r="B204" s="89"/>
      <c r="C204" s="89"/>
      <c r="D204" s="89"/>
      <c r="E204" s="89"/>
      <c r="F204" s="89"/>
      <c r="G204" s="89"/>
      <c r="H204" s="89"/>
      <c r="I204" s="89"/>
      <c r="J204" s="89"/>
    </row>
    <row r="205" ht="15.75" customHeight="1">
      <c r="A205" s="89"/>
      <c r="B205" s="89"/>
      <c r="C205" s="89"/>
      <c r="D205" s="89"/>
      <c r="E205" s="89"/>
      <c r="F205" s="89"/>
      <c r="G205" s="89"/>
      <c r="H205" s="89"/>
      <c r="I205" s="89"/>
      <c r="J205" s="89"/>
    </row>
    <row r="206" ht="15.75" customHeight="1">
      <c r="A206" s="89"/>
      <c r="B206" s="89"/>
      <c r="C206" s="89"/>
      <c r="D206" s="89"/>
      <c r="E206" s="89"/>
      <c r="F206" s="89"/>
      <c r="G206" s="89"/>
      <c r="H206" s="89"/>
      <c r="I206" s="89"/>
      <c r="J206" s="89"/>
    </row>
    <row r="207" ht="15.75" customHeight="1">
      <c r="A207" s="89"/>
      <c r="B207" s="89"/>
      <c r="C207" s="89"/>
      <c r="D207" s="89"/>
      <c r="E207" s="89"/>
      <c r="F207" s="89"/>
      <c r="G207" s="89"/>
      <c r="H207" s="89"/>
      <c r="I207" s="89"/>
      <c r="J207" s="89"/>
    </row>
    <row r="208" ht="15.75" customHeight="1">
      <c r="A208" s="89"/>
      <c r="B208" s="89"/>
      <c r="C208" s="89"/>
      <c r="D208" s="89"/>
      <c r="E208" s="89"/>
      <c r="F208" s="89"/>
      <c r="G208" s="89"/>
      <c r="H208" s="89"/>
      <c r="I208" s="89"/>
      <c r="J208" s="89"/>
    </row>
    <row r="209" ht="15.75" customHeight="1">
      <c r="A209" s="89"/>
      <c r="B209" s="89"/>
      <c r="C209" s="89"/>
      <c r="D209" s="89"/>
      <c r="E209" s="89"/>
      <c r="F209" s="89"/>
      <c r="G209" s="89"/>
      <c r="H209" s="89"/>
      <c r="I209" s="89"/>
      <c r="J209" s="89"/>
    </row>
    <row r="210" ht="15.75" customHeight="1">
      <c r="A210" s="89"/>
      <c r="B210" s="89"/>
      <c r="C210" s="89"/>
      <c r="D210" s="89"/>
      <c r="E210" s="89"/>
      <c r="F210" s="89"/>
      <c r="G210" s="89"/>
      <c r="H210" s="89"/>
      <c r="I210" s="89"/>
      <c r="J210" s="89"/>
    </row>
    <row r="211" ht="15.75" customHeight="1">
      <c r="A211" s="89"/>
      <c r="B211" s="89"/>
      <c r="C211" s="89"/>
      <c r="D211" s="89"/>
      <c r="E211" s="89"/>
      <c r="F211" s="89"/>
      <c r="G211" s="89"/>
      <c r="H211" s="89"/>
      <c r="I211" s="89"/>
      <c r="J211" s="89"/>
    </row>
    <row r="212" ht="15.75" customHeight="1">
      <c r="A212" s="89"/>
      <c r="B212" s="89"/>
      <c r="C212" s="89"/>
      <c r="D212" s="89"/>
      <c r="E212" s="89"/>
      <c r="F212" s="89"/>
      <c r="G212" s="89"/>
      <c r="H212" s="89"/>
      <c r="I212" s="89"/>
      <c r="J212" s="89"/>
    </row>
    <row r="213" ht="15.75" customHeight="1">
      <c r="A213" s="89"/>
      <c r="B213" s="89"/>
      <c r="C213" s="89"/>
      <c r="D213" s="89"/>
      <c r="E213" s="89"/>
      <c r="F213" s="89"/>
      <c r="G213" s="89"/>
      <c r="H213" s="89"/>
      <c r="I213" s="89"/>
      <c r="J213" s="89"/>
    </row>
    <row r="214" ht="15.75" customHeight="1">
      <c r="A214" s="89"/>
      <c r="B214" s="89"/>
      <c r="C214" s="89"/>
      <c r="D214" s="89"/>
      <c r="E214" s="89"/>
      <c r="F214" s="89"/>
      <c r="G214" s="89"/>
      <c r="H214" s="89"/>
      <c r="I214" s="89"/>
      <c r="J214" s="89"/>
    </row>
    <row r="215" ht="15.75" customHeight="1">
      <c r="A215" s="89"/>
      <c r="B215" s="89"/>
      <c r="C215" s="89"/>
      <c r="D215" s="89"/>
      <c r="E215" s="89"/>
      <c r="F215" s="89"/>
      <c r="G215" s="89"/>
      <c r="H215" s="89"/>
      <c r="I215" s="89"/>
      <c r="J215" s="89"/>
    </row>
    <row r="216" ht="15.75" customHeight="1">
      <c r="A216" s="89"/>
      <c r="B216" s="89"/>
      <c r="C216" s="89"/>
      <c r="D216" s="89"/>
      <c r="E216" s="89"/>
      <c r="F216" s="89"/>
      <c r="G216" s="89"/>
      <c r="H216" s="89"/>
      <c r="I216" s="89"/>
      <c r="J216" s="89"/>
    </row>
    <row r="217" ht="15.75" customHeight="1">
      <c r="A217" s="89"/>
      <c r="B217" s="89"/>
      <c r="C217" s="89"/>
      <c r="D217" s="89"/>
      <c r="E217" s="89"/>
      <c r="F217" s="89"/>
      <c r="G217" s="89"/>
      <c r="H217" s="89"/>
      <c r="I217" s="89"/>
      <c r="J217" s="89"/>
    </row>
    <row r="218" ht="15.75" customHeight="1">
      <c r="A218" s="89"/>
      <c r="B218" s="89"/>
      <c r="C218" s="89"/>
      <c r="D218" s="89"/>
      <c r="E218" s="89"/>
      <c r="F218" s="89"/>
      <c r="G218" s="89"/>
      <c r="H218" s="89"/>
      <c r="I218" s="89"/>
      <c r="J218" s="89"/>
    </row>
    <row r="219" ht="15.75" customHeight="1">
      <c r="A219" s="89"/>
      <c r="B219" s="89"/>
      <c r="C219" s="89"/>
      <c r="D219" s="89"/>
      <c r="E219" s="89"/>
      <c r="F219" s="89"/>
      <c r="G219" s="89"/>
      <c r="H219" s="89"/>
      <c r="I219" s="89"/>
      <c r="J219" s="89"/>
    </row>
    <row r="220" ht="15.75" customHeight="1">
      <c r="A220" s="89"/>
      <c r="B220" s="89"/>
      <c r="C220" s="89"/>
      <c r="D220" s="89"/>
      <c r="E220" s="89"/>
      <c r="F220" s="89"/>
      <c r="G220" s="89"/>
      <c r="H220" s="89"/>
      <c r="I220" s="89"/>
      <c r="J220" s="89"/>
    </row>
    <row r="221" ht="15.75" customHeight="1">
      <c r="A221" s="89"/>
      <c r="B221" s="89"/>
      <c r="C221" s="89"/>
      <c r="D221" s="89"/>
      <c r="E221" s="89"/>
      <c r="F221" s="89"/>
      <c r="G221" s="89"/>
      <c r="H221" s="89"/>
      <c r="I221" s="89"/>
      <c r="J221" s="89"/>
    </row>
    <row r="222" ht="15.75" customHeight="1">
      <c r="A222" s="89"/>
      <c r="B222" s="89"/>
      <c r="C222" s="89"/>
      <c r="D222" s="89"/>
      <c r="E222" s="89"/>
      <c r="F222" s="89"/>
      <c r="G222" s="89"/>
      <c r="H222" s="89"/>
      <c r="I222" s="89"/>
      <c r="J222" s="89"/>
    </row>
    <row r="223" ht="15.75" customHeight="1">
      <c r="A223" s="89"/>
      <c r="B223" s="89"/>
      <c r="C223" s="89"/>
      <c r="D223" s="89"/>
      <c r="E223" s="89"/>
      <c r="F223" s="89"/>
      <c r="G223" s="89"/>
      <c r="H223" s="89"/>
      <c r="I223" s="89"/>
      <c r="J223" s="89"/>
    </row>
    <row r="224" ht="15.75" customHeight="1">
      <c r="A224" s="89"/>
      <c r="B224" s="89"/>
      <c r="C224" s="89"/>
      <c r="D224" s="89"/>
      <c r="E224" s="89"/>
      <c r="F224" s="89"/>
      <c r="G224" s="89"/>
      <c r="H224" s="89"/>
      <c r="I224" s="89"/>
      <c r="J224" s="89"/>
    </row>
    <row r="225" ht="15.75" customHeight="1">
      <c r="A225" s="89"/>
      <c r="B225" s="89"/>
      <c r="C225" s="89"/>
      <c r="D225" s="89"/>
      <c r="E225" s="89"/>
      <c r="F225" s="89"/>
      <c r="G225" s="89"/>
      <c r="H225" s="89"/>
      <c r="I225" s="89"/>
      <c r="J225" s="89"/>
    </row>
    <row r="226" ht="15.75" customHeight="1">
      <c r="A226" s="89"/>
      <c r="B226" s="89"/>
      <c r="C226" s="89"/>
      <c r="D226" s="89"/>
      <c r="E226" s="89"/>
      <c r="F226" s="89"/>
      <c r="G226" s="89"/>
      <c r="H226" s="89"/>
      <c r="I226" s="89"/>
      <c r="J226" s="89"/>
    </row>
    <row r="227" ht="15.75" customHeight="1">
      <c r="A227" s="89"/>
      <c r="B227" s="89"/>
      <c r="C227" s="89"/>
      <c r="D227" s="89"/>
      <c r="E227" s="89"/>
      <c r="F227" s="89"/>
      <c r="G227" s="89"/>
      <c r="H227" s="89"/>
      <c r="I227" s="89"/>
      <c r="J227" s="89"/>
    </row>
    <row r="228" ht="15.75" customHeight="1">
      <c r="A228" s="89"/>
      <c r="B228" s="89"/>
      <c r="C228" s="89"/>
      <c r="D228" s="89"/>
      <c r="E228" s="89"/>
      <c r="F228" s="89"/>
      <c r="G228" s="89"/>
      <c r="H228" s="89"/>
      <c r="I228" s="89"/>
      <c r="J228" s="89"/>
    </row>
    <row r="229" ht="15.75" customHeight="1">
      <c r="A229" s="89"/>
      <c r="B229" s="89"/>
      <c r="C229" s="89"/>
      <c r="D229" s="89"/>
      <c r="E229" s="89"/>
      <c r="F229" s="89"/>
      <c r="G229" s="89"/>
      <c r="H229" s="89"/>
      <c r="I229" s="89"/>
      <c r="J229" s="89"/>
    </row>
    <row r="230" ht="15.75" customHeight="1">
      <c r="A230" s="89"/>
      <c r="B230" s="89"/>
      <c r="C230" s="89"/>
      <c r="D230" s="89"/>
      <c r="E230" s="89"/>
      <c r="F230" s="89"/>
      <c r="G230" s="89"/>
      <c r="H230" s="89"/>
      <c r="I230" s="89"/>
      <c r="J230" s="89"/>
    </row>
    <row r="231" ht="15.75" customHeight="1">
      <c r="A231" s="89"/>
      <c r="B231" s="89"/>
      <c r="C231" s="89"/>
      <c r="D231" s="89"/>
      <c r="E231" s="89"/>
      <c r="F231" s="89"/>
      <c r="G231" s="89"/>
      <c r="H231" s="89"/>
      <c r="I231" s="89"/>
      <c r="J231" s="89"/>
    </row>
    <row r="232" ht="15.75" customHeight="1">
      <c r="A232" s="89"/>
      <c r="B232" s="89"/>
      <c r="C232" s="89"/>
      <c r="D232" s="89"/>
      <c r="E232" s="89"/>
      <c r="F232" s="89"/>
      <c r="G232" s="89"/>
      <c r="H232" s="89"/>
      <c r="I232" s="89"/>
      <c r="J232" s="89"/>
    </row>
    <row r="233" ht="15.75" customHeight="1">
      <c r="A233" s="89"/>
      <c r="B233" s="89"/>
      <c r="C233" s="89"/>
      <c r="D233" s="89"/>
      <c r="E233" s="89"/>
      <c r="F233" s="89"/>
      <c r="G233" s="89"/>
      <c r="H233" s="89"/>
      <c r="I233" s="89"/>
      <c r="J233" s="89"/>
    </row>
    <row r="234" ht="15.75" customHeight="1">
      <c r="A234" s="89"/>
      <c r="B234" s="89"/>
      <c r="C234" s="89"/>
      <c r="D234" s="89"/>
      <c r="E234" s="89"/>
      <c r="F234" s="89"/>
      <c r="G234" s="89"/>
      <c r="H234" s="89"/>
      <c r="I234" s="89"/>
      <c r="J234" s="89"/>
    </row>
    <row r="235" ht="15.75" customHeight="1">
      <c r="A235" s="89"/>
      <c r="B235" s="89"/>
      <c r="C235" s="89"/>
      <c r="D235" s="89"/>
      <c r="E235" s="89"/>
      <c r="F235" s="89"/>
      <c r="G235" s="89"/>
      <c r="H235" s="89"/>
      <c r="I235" s="89"/>
      <c r="J235" s="89"/>
    </row>
    <row r="236" ht="15.75" customHeight="1">
      <c r="A236" s="89"/>
      <c r="B236" s="89"/>
      <c r="C236" s="89"/>
      <c r="D236" s="89"/>
      <c r="E236" s="89"/>
      <c r="F236" s="89"/>
      <c r="G236" s="89"/>
      <c r="H236" s="89"/>
      <c r="I236" s="89"/>
      <c r="J236" s="89"/>
    </row>
    <row r="237" ht="15.75" customHeight="1">
      <c r="A237" s="89"/>
      <c r="B237" s="89"/>
      <c r="C237" s="89"/>
      <c r="D237" s="89"/>
      <c r="E237" s="89"/>
      <c r="F237" s="89"/>
      <c r="G237" s="89"/>
      <c r="H237" s="89"/>
      <c r="I237" s="89"/>
      <c r="J237" s="89"/>
    </row>
    <row r="238" ht="15.75" customHeight="1">
      <c r="A238" s="89"/>
      <c r="B238" s="89"/>
      <c r="C238" s="89"/>
      <c r="D238" s="89"/>
      <c r="E238" s="89"/>
      <c r="F238" s="89"/>
      <c r="G238" s="89"/>
      <c r="H238" s="89"/>
      <c r="I238" s="89"/>
      <c r="J238" s="89"/>
    </row>
    <row r="239" ht="15.75" customHeight="1">
      <c r="A239" s="89"/>
      <c r="B239" s="89"/>
      <c r="C239" s="89"/>
      <c r="D239" s="89"/>
      <c r="E239" s="89"/>
      <c r="F239" s="89"/>
      <c r="G239" s="89"/>
      <c r="H239" s="89"/>
      <c r="I239" s="89"/>
      <c r="J239" s="89"/>
    </row>
    <row r="240" ht="15.75" customHeight="1">
      <c r="A240" s="89"/>
      <c r="B240" s="89"/>
      <c r="C240" s="89"/>
      <c r="D240" s="89"/>
      <c r="E240" s="89"/>
      <c r="F240" s="89"/>
      <c r="G240" s="89"/>
      <c r="H240" s="89"/>
      <c r="I240" s="89"/>
      <c r="J240" s="89"/>
    </row>
    <row r="241" ht="15.75" customHeight="1">
      <c r="A241" s="89"/>
      <c r="B241" s="89"/>
      <c r="C241" s="89"/>
      <c r="D241" s="89"/>
      <c r="E241" s="89"/>
      <c r="F241" s="89"/>
      <c r="G241" s="89"/>
      <c r="H241" s="89"/>
      <c r="I241" s="89"/>
      <c r="J241" s="89"/>
    </row>
    <row r="242" ht="15.75" customHeight="1">
      <c r="A242" s="89"/>
      <c r="B242" s="89"/>
      <c r="C242" s="89"/>
      <c r="D242" s="89"/>
      <c r="E242" s="89"/>
      <c r="F242" s="89"/>
      <c r="G242" s="89"/>
      <c r="H242" s="89"/>
      <c r="I242" s="89"/>
      <c r="J242" s="89"/>
    </row>
    <row r="243" ht="15.75" customHeight="1">
      <c r="A243" s="89"/>
      <c r="B243" s="89"/>
      <c r="C243" s="89"/>
      <c r="D243" s="89"/>
      <c r="E243" s="89"/>
      <c r="F243" s="89"/>
      <c r="G243" s="89"/>
      <c r="H243" s="89"/>
      <c r="I243" s="89"/>
      <c r="J243" s="89"/>
    </row>
    <row r="244" ht="15.75" customHeight="1">
      <c r="A244" s="89"/>
      <c r="B244" s="89"/>
      <c r="C244" s="89"/>
      <c r="D244" s="89"/>
      <c r="E244" s="89"/>
      <c r="F244" s="89"/>
      <c r="G244" s="89"/>
      <c r="H244" s="89"/>
      <c r="I244" s="89"/>
      <c r="J244" s="89"/>
    </row>
    <row r="245" ht="15.75" customHeight="1">
      <c r="A245" s="89"/>
      <c r="B245" s="89"/>
      <c r="C245" s="89"/>
      <c r="D245" s="89"/>
      <c r="E245" s="89"/>
      <c r="F245" s="89"/>
      <c r="G245" s="89"/>
      <c r="H245" s="89"/>
      <c r="I245" s="89"/>
      <c r="J245" s="89"/>
    </row>
    <row r="246" ht="15.75" customHeight="1">
      <c r="A246" s="89"/>
      <c r="B246" s="89"/>
      <c r="C246" s="89"/>
      <c r="D246" s="89"/>
      <c r="E246" s="89"/>
      <c r="F246" s="89"/>
      <c r="G246" s="89"/>
      <c r="H246" s="89"/>
      <c r="I246" s="89"/>
      <c r="J246" s="89"/>
    </row>
    <row r="247" ht="15.75" customHeight="1">
      <c r="A247" s="89"/>
      <c r="B247" s="89"/>
      <c r="C247" s="89"/>
      <c r="D247" s="89"/>
      <c r="E247" s="89"/>
      <c r="F247" s="89"/>
      <c r="G247" s="89"/>
      <c r="H247" s="89"/>
      <c r="I247" s="89"/>
      <c r="J247" s="89"/>
    </row>
    <row r="248" ht="15.75" customHeight="1">
      <c r="A248" s="89"/>
      <c r="B248" s="89"/>
      <c r="C248" s="89"/>
      <c r="D248" s="89"/>
      <c r="E248" s="89"/>
      <c r="F248" s="89"/>
      <c r="G248" s="89"/>
      <c r="H248" s="89"/>
      <c r="I248" s="89"/>
      <c r="J248" s="89"/>
    </row>
    <row r="249" ht="15.75" customHeight="1">
      <c r="A249" s="89"/>
      <c r="B249" s="89"/>
      <c r="C249" s="89"/>
      <c r="D249" s="89"/>
      <c r="E249" s="89"/>
      <c r="F249" s="89"/>
      <c r="G249" s="89"/>
      <c r="H249" s="89"/>
      <c r="I249" s="89"/>
      <c r="J249" s="89"/>
    </row>
    <row r="250" ht="15.75" customHeight="1">
      <c r="A250" s="89"/>
      <c r="B250" s="89"/>
      <c r="C250" s="89"/>
      <c r="D250" s="89"/>
      <c r="E250" s="89"/>
      <c r="F250" s="89"/>
      <c r="G250" s="89"/>
      <c r="H250" s="89"/>
      <c r="I250" s="89"/>
      <c r="J250" s="89"/>
    </row>
    <row r="251" ht="15.75" customHeight="1">
      <c r="A251" s="89"/>
      <c r="B251" s="89"/>
      <c r="C251" s="89"/>
      <c r="D251" s="89"/>
      <c r="E251" s="89"/>
      <c r="F251" s="89"/>
      <c r="G251" s="89"/>
      <c r="H251" s="89"/>
      <c r="I251" s="89"/>
      <c r="J251" s="89"/>
    </row>
    <row r="252" ht="15.75" customHeight="1">
      <c r="A252" s="89"/>
      <c r="B252" s="89"/>
      <c r="C252" s="89"/>
      <c r="D252" s="89"/>
      <c r="E252" s="89"/>
      <c r="F252" s="89"/>
      <c r="G252" s="89"/>
      <c r="H252" s="89"/>
      <c r="I252" s="89"/>
      <c r="J252" s="89"/>
    </row>
    <row r="253" ht="15.75" customHeight="1">
      <c r="A253" s="89"/>
      <c r="B253" s="89"/>
      <c r="C253" s="89"/>
      <c r="D253" s="89"/>
      <c r="E253" s="89"/>
      <c r="F253" s="89"/>
      <c r="G253" s="89"/>
      <c r="H253" s="89"/>
      <c r="I253" s="89"/>
      <c r="J253" s="89"/>
    </row>
    <row r="254" ht="15.75" customHeight="1">
      <c r="A254" s="89"/>
      <c r="B254" s="89"/>
      <c r="C254" s="89"/>
      <c r="D254" s="89"/>
      <c r="E254" s="89"/>
      <c r="F254" s="89"/>
      <c r="G254" s="89"/>
      <c r="H254" s="89"/>
      <c r="I254" s="89"/>
      <c r="J254" s="89"/>
    </row>
    <row r="255" ht="15.75" customHeight="1">
      <c r="A255" s="89"/>
      <c r="B255" s="89"/>
      <c r="C255" s="89"/>
      <c r="D255" s="89"/>
      <c r="E255" s="89"/>
      <c r="F255" s="89"/>
      <c r="G255" s="89"/>
      <c r="H255" s="89"/>
      <c r="I255" s="89"/>
      <c r="J255" s="89"/>
    </row>
    <row r="256" ht="15.75" customHeight="1">
      <c r="A256" s="89"/>
      <c r="B256" s="89"/>
      <c r="C256" s="89"/>
      <c r="D256" s="89"/>
      <c r="E256" s="89"/>
      <c r="F256" s="89"/>
      <c r="G256" s="89"/>
      <c r="H256" s="89"/>
      <c r="I256" s="89"/>
      <c r="J256" s="89"/>
    </row>
    <row r="257" ht="15.75" customHeight="1">
      <c r="A257" s="89"/>
      <c r="B257" s="89"/>
      <c r="C257" s="89"/>
      <c r="D257" s="89"/>
      <c r="E257" s="89"/>
      <c r="F257" s="89"/>
      <c r="G257" s="89"/>
      <c r="H257" s="89"/>
      <c r="I257" s="89"/>
      <c r="J257" s="89"/>
    </row>
    <row r="258" ht="15.75" customHeight="1">
      <c r="A258" s="89"/>
      <c r="B258" s="89"/>
      <c r="C258" s="89"/>
      <c r="D258" s="89"/>
      <c r="E258" s="89"/>
      <c r="F258" s="89"/>
      <c r="G258" s="89"/>
      <c r="H258" s="89"/>
      <c r="I258" s="89"/>
      <c r="J258" s="89"/>
    </row>
    <row r="259" ht="15.75" customHeight="1">
      <c r="A259" s="89"/>
      <c r="B259" s="89"/>
      <c r="C259" s="89"/>
      <c r="D259" s="89"/>
      <c r="E259" s="89"/>
      <c r="F259" s="89"/>
      <c r="G259" s="89"/>
      <c r="H259" s="89"/>
      <c r="I259" s="89"/>
      <c r="J259" s="89"/>
    </row>
    <row r="260" ht="15.75" customHeight="1">
      <c r="A260" s="89"/>
      <c r="B260" s="89"/>
      <c r="C260" s="89"/>
      <c r="D260" s="89"/>
      <c r="E260" s="89"/>
      <c r="F260" s="89"/>
      <c r="G260" s="89"/>
      <c r="H260" s="89"/>
      <c r="I260" s="89"/>
      <c r="J260" s="89"/>
    </row>
    <row r="261" ht="15.75" customHeight="1">
      <c r="A261" s="89"/>
      <c r="B261" s="89"/>
      <c r="C261" s="89"/>
      <c r="D261" s="89"/>
      <c r="E261" s="89"/>
      <c r="F261" s="89"/>
      <c r="G261" s="89"/>
      <c r="H261" s="89"/>
      <c r="I261" s="89"/>
      <c r="J261" s="89"/>
    </row>
    <row r="262" ht="15.75" customHeight="1">
      <c r="A262" s="89"/>
      <c r="B262" s="89"/>
      <c r="C262" s="89"/>
      <c r="D262" s="89"/>
      <c r="E262" s="89"/>
      <c r="F262" s="89"/>
      <c r="G262" s="89"/>
      <c r="H262" s="89"/>
      <c r="I262" s="89"/>
      <c r="J262" s="89"/>
    </row>
    <row r="263" ht="15.75" customHeight="1">
      <c r="A263" s="89"/>
      <c r="B263" s="89"/>
      <c r="C263" s="89"/>
      <c r="D263" s="89"/>
      <c r="E263" s="89"/>
      <c r="F263" s="89"/>
      <c r="G263" s="89"/>
      <c r="H263" s="89"/>
      <c r="I263" s="89"/>
      <c r="J263" s="89"/>
    </row>
    <row r="264" ht="15.75" customHeight="1">
      <c r="A264" s="89"/>
      <c r="B264" s="89"/>
      <c r="C264" s="89"/>
      <c r="D264" s="89"/>
      <c r="E264" s="89"/>
      <c r="F264" s="89"/>
      <c r="G264" s="89"/>
      <c r="H264" s="89"/>
      <c r="I264" s="89"/>
      <c r="J264" s="89"/>
    </row>
    <row r="265" ht="15.75" customHeight="1">
      <c r="A265" s="89"/>
      <c r="B265" s="89"/>
      <c r="C265" s="89"/>
      <c r="D265" s="89"/>
      <c r="E265" s="89"/>
      <c r="F265" s="89"/>
      <c r="G265" s="89"/>
      <c r="H265" s="89"/>
      <c r="I265" s="89"/>
      <c r="J265" s="89"/>
    </row>
    <row r="266" ht="15.75" customHeight="1">
      <c r="A266" s="89"/>
      <c r="B266" s="89"/>
      <c r="C266" s="89"/>
      <c r="D266" s="89"/>
      <c r="E266" s="89"/>
      <c r="F266" s="89"/>
      <c r="G266" s="89"/>
      <c r="H266" s="89"/>
      <c r="I266" s="89"/>
      <c r="J266" s="89"/>
    </row>
    <row r="267" ht="15.75" customHeight="1">
      <c r="A267" s="89"/>
      <c r="B267" s="89"/>
      <c r="C267" s="89"/>
      <c r="D267" s="89"/>
      <c r="E267" s="89"/>
      <c r="F267" s="89"/>
      <c r="G267" s="89"/>
      <c r="H267" s="89"/>
      <c r="I267" s="89"/>
      <c r="J267" s="89"/>
    </row>
    <row r="268" ht="15.75" customHeight="1">
      <c r="A268" s="89"/>
      <c r="B268" s="89"/>
      <c r="C268" s="89"/>
      <c r="D268" s="89"/>
      <c r="E268" s="89"/>
      <c r="F268" s="89"/>
      <c r="G268" s="89"/>
      <c r="H268" s="89"/>
      <c r="I268" s="89"/>
      <c r="J268" s="89"/>
    </row>
    <row r="269" ht="15.75" customHeight="1">
      <c r="A269" s="89"/>
      <c r="B269" s="89"/>
      <c r="C269" s="89"/>
      <c r="D269" s="89"/>
      <c r="E269" s="89"/>
      <c r="F269" s="89"/>
      <c r="G269" s="89"/>
      <c r="H269" s="89"/>
      <c r="I269" s="89"/>
      <c r="J269" s="89"/>
    </row>
    <row r="270" ht="15.75" customHeight="1">
      <c r="A270" s="89"/>
      <c r="B270" s="89"/>
      <c r="C270" s="89"/>
      <c r="D270" s="89"/>
      <c r="E270" s="89"/>
      <c r="F270" s="89"/>
      <c r="G270" s="89"/>
      <c r="H270" s="89"/>
      <c r="I270" s="89"/>
      <c r="J270" s="89"/>
    </row>
    <row r="271" ht="15.75" customHeight="1">
      <c r="A271" s="89"/>
      <c r="B271" s="89"/>
      <c r="C271" s="89"/>
      <c r="D271" s="89"/>
      <c r="E271" s="89"/>
      <c r="F271" s="89"/>
      <c r="G271" s="89"/>
      <c r="H271" s="89"/>
      <c r="I271" s="89"/>
      <c r="J271" s="89"/>
    </row>
    <row r="272" ht="15.75" customHeight="1">
      <c r="A272" s="89"/>
      <c r="B272" s="89"/>
      <c r="C272" s="89"/>
      <c r="D272" s="89"/>
      <c r="E272" s="89"/>
      <c r="F272" s="89"/>
      <c r="G272" s="89"/>
      <c r="H272" s="89"/>
      <c r="I272" s="89"/>
      <c r="J272" s="89"/>
    </row>
    <row r="273" ht="15.75" customHeight="1">
      <c r="A273" s="89"/>
      <c r="B273" s="89"/>
      <c r="C273" s="89"/>
      <c r="D273" s="89"/>
      <c r="E273" s="89"/>
      <c r="F273" s="89"/>
      <c r="G273" s="89"/>
      <c r="H273" s="89"/>
      <c r="I273" s="89"/>
      <c r="J273" s="89"/>
    </row>
    <row r="274" ht="15.75" customHeight="1">
      <c r="A274" s="89"/>
      <c r="B274" s="89"/>
      <c r="C274" s="89"/>
      <c r="D274" s="89"/>
      <c r="E274" s="89"/>
      <c r="F274" s="89"/>
      <c r="G274" s="89"/>
      <c r="H274" s="89"/>
      <c r="I274" s="89"/>
      <c r="J274" s="89"/>
    </row>
    <row r="275" ht="15.75" customHeight="1">
      <c r="A275" s="89"/>
      <c r="B275" s="89"/>
      <c r="C275" s="89"/>
      <c r="D275" s="89"/>
      <c r="E275" s="89"/>
      <c r="F275" s="89"/>
      <c r="G275" s="89"/>
      <c r="H275" s="89"/>
      <c r="I275" s="89"/>
      <c r="J275" s="89"/>
    </row>
    <row r="276" ht="15.75" customHeight="1">
      <c r="A276" s="89"/>
      <c r="B276" s="89"/>
      <c r="C276" s="89"/>
      <c r="D276" s="89"/>
      <c r="E276" s="89"/>
      <c r="F276" s="89"/>
      <c r="G276" s="89"/>
      <c r="H276" s="89"/>
      <c r="I276" s="89"/>
      <c r="J276" s="89"/>
    </row>
    <row r="277" ht="15.75" customHeight="1">
      <c r="A277" s="89"/>
      <c r="B277" s="89"/>
      <c r="C277" s="89"/>
      <c r="D277" s="89"/>
      <c r="E277" s="89"/>
      <c r="F277" s="89"/>
      <c r="G277" s="89"/>
      <c r="H277" s="89"/>
      <c r="I277" s="89"/>
      <c r="J277" s="89"/>
    </row>
    <row r="278" ht="15.75" customHeight="1">
      <c r="A278" s="89"/>
      <c r="B278" s="89"/>
      <c r="C278" s="89"/>
      <c r="D278" s="89"/>
      <c r="E278" s="89"/>
      <c r="F278" s="89"/>
      <c r="G278" s="89"/>
      <c r="H278" s="89"/>
      <c r="I278" s="89"/>
      <c r="J278" s="89"/>
    </row>
    <row r="279" ht="15.75" customHeight="1">
      <c r="A279" s="89"/>
      <c r="B279" s="89"/>
      <c r="C279" s="89"/>
      <c r="D279" s="89"/>
      <c r="E279" s="89"/>
      <c r="F279" s="89"/>
      <c r="G279" s="89"/>
      <c r="H279" s="89"/>
      <c r="I279" s="89"/>
      <c r="J279" s="89"/>
    </row>
    <row r="280" ht="15.75" customHeight="1">
      <c r="A280" s="89"/>
      <c r="B280" s="89"/>
      <c r="C280" s="89"/>
      <c r="D280" s="89"/>
      <c r="E280" s="89"/>
      <c r="F280" s="89"/>
      <c r="G280" s="89"/>
      <c r="H280" s="89"/>
      <c r="I280" s="89"/>
      <c r="J280" s="89"/>
    </row>
    <row r="281" ht="15.75" customHeight="1">
      <c r="A281" s="89"/>
      <c r="B281" s="89"/>
      <c r="C281" s="89"/>
      <c r="D281" s="89"/>
      <c r="E281" s="89"/>
      <c r="F281" s="89"/>
      <c r="G281" s="89"/>
      <c r="H281" s="89"/>
      <c r="I281" s="89"/>
      <c r="J281" s="89"/>
    </row>
    <row r="282" ht="15.75" customHeight="1">
      <c r="A282" s="89"/>
      <c r="B282" s="89"/>
      <c r="C282" s="89"/>
      <c r="D282" s="89"/>
      <c r="E282" s="89"/>
      <c r="F282" s="89"/>
      <c r="G282" s="89"/>
      <c r="H282" s="89"/>
      <c r="I282" s="89"/>
      <c r="J282" s="89"/>
    </row>
    <row r="283" ht="15.75" customHeight="1">
      <c r="A283" s="89"/>
      <c r="B283" s="89"/>
      <c r="C283" s="89"/>
      <c r="D283" s="89"/>
      <c r="E283" s="89"/>
      <c r="F283" s="89"/>
      <c r="G283" s="89"/>
      <c r="H283" s="89"/>
      <c r="I283" s="89"/>
      <c r="J283" s="89"/>
    </row>
    <row r="284" ht="15.75" customHeight="1">
      <c r="A284" s="89"/>
      <c r="B284" s="89"/>
      <c r="C284" s="89"/>
      <c r="D284" s="89"/>
      <c r="E284" s="89"/>
      <c r="F284" s="89"/>
      <c r="G284" s="89"/>
      <c r="H284" s="89"/>
      <c r="I284" s="89"/>
      <c r="J284" s="89"/>
    </row>
    <row r="285" ht="15.75" customHeight="1">
      <c r="A285" s="89"/>
      <c r="B285" s="89"/>
      <c r="C285" s="89"/>
      <c r="D285" s="89"/>
      <c r="E285" s="89"/>
      <c r="F285" s="89"/>
      <c r="G285" s="89"/>
      <c r="H285" s="89"/>
      <c r="I285" s="89"/>
      <c r="J285" s="89"/>
    </row>
    <row r="286" ht="15.75" customHeight="1">
      <c r="A286" s="89"/>
      <c r="B286" s="89"/>
      <c r="C286" s="89"/>
      <c r="D286" s="89"/>
      <c r="E286" s="89"/>
      <c r="F286" s="89"/>
      <c r="G286" s="89"/>
      <c r="H286" s="89"/>
      <c r="I286" s="89"/>
      <c r="J286" s="89"/>
    </row>
    <row r="287" ht="15.75" customHeight="1">
      <c r="A287" s="89"/>
      <c r="B287" s="89"/>
      <c r="C287" s="89"/>
      <c r="D287" s="89"/>
      <c r="E287" s="89"/>
      <c r="F287" s="89"/>
      <c r="G287" s="89"/>
      <c r="H287" s="89"/>
      <c r="I287" s="89"/>
      <c r="J287" s="89"/>
    </row>
    <row r="288" ht="15.75" customHeight="1">
      <c r="A288" s="89"/>
      <c r="B288" s="89"/>
      <c r="C288" s="89"/>
      <c r="D288" s="89"/>
      <c r="E288" s="89"/>
      <c r="F288" s="89"/>
      <c r="G288" s="89"/>
      <c r="H288" s="89"/>
      <c r="I288" s="89"/>
      <c r="J288" s="89"/>
    </row>
    <row r="289" ht="15.75" customHeight="1">
      <c r="A289" s="89"/>
      <c r="B289" s="89"/>
      <c r="C289" s="89"/>
      <c r="D289" s="89"/>
      <c r="E289" s="89"/>
      <c r="F289" s="89"/>
      <c r="G289" s="89"/>
      <c r="H289" s="89"/>
      <c r="I289" s="89"/>
      <c r="J289" s="89"/>
    </row>
    <row r="290" ht="15.75" customHeight="1">
      <c r="A290" s="89"/>
      <c r="B290" s="89"/>
      <c r="C290" s="89"/>
      <c r="D290" s="89"/>
      <c r="E290" s="89"/>
      <c r="F290" s="89"/>
      <c r="G290" s="89"/>
      <c r="H290" s="89"/>
      <c r="I290" s="89"/>
      <c r="J290" s="89"/>
    </row>
    <row r="291" ht="15.75" customHeight="1">
      <c r="A291" s="89"/>
      <c r="B291" s="89"/>
      <c r="C291" s="89"/>
      <c r="D291" s="89"/>
      <c r="E291" s="89"/>
      <c r="F291" s="89"/>
      <c r="G291" s="89"/>
      <c r="H291" s="89"/>
      <c r="I291" s="89"/>
      <c r="J291" s="89"/>
    </row>
    <row r="292" ht="15.75" customHeight="1">
      <c r="A292" s="89"/>
      <c r="B292" s="89"/>
      <c r="C292" s="89"/>
      <c r="D292" s="89"/>
      <c r="E292" s="89"/>
      <c r="F292" s="89"/>
      <c r="G292" s="89"/>
      <c r="H292" s="89"/>
      <c r="I292" s="89"/>
      <c r="J292" s="89"/>
    </row>
    <row r="293" ht="15.75" customHeight="1">
      <c r="A293" s="89"/>
      <c r="B293" s="89"/>
      <c r="C293" s="89"/>
      <c r="D293" s="89"/>
      <c r="E293" s="89"/>
      <c r="F293" s="89"/>
      <c r="G293" s="89"/>
      <c r="H293" s="89"/>
      <c r="I293" s="89"/>
      <c r="J293" s="89"/>
    </row>
    <row r="294" ht="15.75" customHeight="1">
      <c r="A294" s="89"/>
      <c r="B294" s="89"/>
      <c r="C294" s="89"/>
      <c r="D294" s="89"/>
      <c r="E294" s="89"/>
      <c r="F294" s="89"/>
      <c r="G294" s="89"/>
      <c r="H294" s="89"/>
      <c r="I294" s="89"/>
      <c r="J294" s="89"/>
    </row>
    <row r="295" ht="15.75" customHeight="1">
      <c r="A295" s="89"/>
      <c r="B295" s="89"/>
      <c r="C295" s="89"/>
      <c r="D295" s="89"/>
      <c r="E295" s="89"/>
      <c r="F295" s="89"/>
      <c r="G295" s="89"/>
      <c r="H295" s="89"/>
      <c r="I295" s="89"/>
      <c r="J295" s="89"/>
    </row>
    <row r="296" ht="15.75" customHeight="1">
      <c r="A296" s="89"/>
      <c r="B296" s="89"/>
      <c r="C296" s="89"/>
      <c r="D296" s="89"/>
      <c r="E296" s="89"/>
      <c r="F296" s="89"/>
      <c r="G296" s="89"/>
      <c r="H296" s="89"/>
      <c r="I296" s="89"/>
      <c r="J296" s="89"/>
    </row>
    <row r="297" ht="15.75" customHeight="1">
      <c r="A297" s="89"/>
      <c r="B297" s="89"/>
      <c r="C297" s="89"/>
      <c r="D297" s="89"/>
      <c r="E297" s="89"/>
      <c r="F297" s="89"/>
      <c r="G297" s="89"/>
      <c r="H297" s="89"/>
      <c r="I297" s="89"/>
      <c r="J297" s="89"/>
    </row>
    <row r="298" ht="15.75" customHeight="1">
      <c r="A298" s="89"/>
      <c r="B298" s="89"/>
      <c r="C298" s="89"/>
      <c r="D298" s="89"/>
      <c r="E298" s="89"/>
      <c r="F298" s="89"/>
      <c r="G298" s="89"/>
      <c r="H298" s="89"/>
      <c r="I298" s="89"/>
      <c r="J298" s="89"/>
    </row>
    <row r="299" ht="15.75" customHeight="1">
      <c r="A299" s="89"/>
      <c r="B299" s="89"/>
      <c r="C299" s="89"/>
      <c r="D299" s="89"/>
      <c r="E299" s="89"/>
      <c r="F299" s="89"/>
      <c r="G299" s="89"/>
      <c r="H299" s="89"/>
      <c r="I299" s="89"/>
      <c r="J299" s="89"/>
    </row>
    <row r="300" ht="15.75" customHeight="1">
      <c r="A300" s="89"/>
      <c r="B300" s="89"/>
      <c r="C300" s="89"/>
      <c r="D300" s="89"/>
      <c r="E300" s="89"/>
      <c r="F300" s="89"/>
      <c r="G300" s="89"/>
      <c r="H300" s="89"/>
      <c r="I300" s="89"/>
      <c r="J300" s="89"/>
    </row>
    <row r="301" ht="15.75" customHeight="1">
      <c r="A301" s="89"/>
      <c r="B301" s="89"/>
      <c r="C301" s="89"/>
      <c r="D301" s="89"/>
      <c r="E301" s="89"/>
      <c r="F301" s="89"/>
      <c r="G301" s="89"/>
      <c r="H301" s="89"/>
      <c r="I301" s="89"/>
      <c r="J301" s="89"/>
    </row>
    <row r="302" ht="15.75" customHeight="1">
      <c r="A302" s="89"/>
      <c r="B302" s="89"/>
      <c r="C302" s="89"/>
      <c r="D302" s="89"/>
      <c r="E302" s="89"/>
      <c r="F302" s="89"/>
      <c r="G302" s="89"/>
      <c r="H302" s="89"/>
      <c r="I302" s="89"/>
      <c r="J302" s="89"/>
    </row>
    <row r="303" ht="15.75" customHeight="1">
      <c r="A303" s="89"/>
      <c r="B303" s="89"/>
      <c r="C303" s="89"/>
      <c r="D303" s="89"/>
      <c r="E303" s="89"/>
      <c r="F303" s="89"/>
      <c r="G303" s="89"/>
      <c r="H303" s="89"/>
      <c r="I303" s="89"/>
      <c r="J303" s="89"/>
    </row>
    <row r="304" ht="15.75" customHeight="1">
      <c r="A304" s="89"/>
      <c r="B304" s="89"/>
      <c r="C304" s="89"/>
      <c r="D304" s="89"/>
      <c r="E304" s="89"/>
      <c r="F304" s="89"/>
      <c r="G304" s="89"/>
      <c r="H304" s="89"/>
      <c r="I304" s="89"/>
      <c r="J304" s="89"/>
    </row>
    <row r="305" ht="15.75" customHeight="1">
      <c r="A305" s="89"/>
      <c r="B305" s="89"/>
      <c r="C305" s="89"/>
      <c r="D305" s="89"/>
      <c r="E305" s="89"/>
      <c r="F305" s="89"/>
      <c r="G305" s="89"/>
      <c r="H305" s="89"/>
      <c r="I305" s="89"/>
      <c r="J305" s="89"/>
    </row>
    <row r="306" ht="15.75" customHeight="1">
      <c r="A306" s="89"/>
      <c r="B306" s="89"/>
      <c r="C306" s="89"/>
      <c r="D306" s="89"/>
      <c r="E306" s="89"/>
      <c r="F306" s="89"/>
      <c r="G306" s="89"/>
      <c r="H306" s="89"/>
      <c r="I306" s="89"/>
      <c r="J306" s="89"/>
    </row>
    <row r="307" ht="15.75" customHeight="1">
      <c r="A307" s="89"/>
      <c r="B307" s="89"/>
      <c r="C307" s="89"/>
      <c r="D307" s="89"/>
      <c r="E307" s="89"/>
      <c r="F307" s="89"/>
      <c r="G307" s="89"/>
      <c r="H307" s="89"/>
      <c r="I307" s="89"/>
      <c r="J307" s="89"/>
    </row>
    <row r="308" ht="15.75" customHeight="1">
      <c r="A308" s="89"/>
      <c r="B308" s="89"/>
      <c r="C308" s="89"/>
      <c r="D308" s="89"/>
      <c r="E308" s="89"/>
      <c r="F308" s="89"/>
      <c r="G308" s="89"/>
      <c r="H308" s="89"/>
      <c r="I308" s="89"/>
      <c r="J308" s="89"/>
    </row>
    <row r="309" ht="15.75" customHeight="1">
      <c r="A309" s="89"/>
      <c r="B309" s="89"/>
      <c r="C309" s="89"/>
      <c r="D309" s="89"/>
      <c r="E309" s="89"/>
      <c r="F309" s="89"/>
      <c r="G309" s="89"/>
      <c r="H309" s="89"/>
      <c r="I309" s="89"/>
      <c r="J309" s="89"/>
    </row>
    <row r="310" ht="15.75" customHeight="1">
      <c r="A310" s="89"/>
      <c r="B310" s="89"/>
      <c r="C310" s="89"/>
      <c r="D310" s="89"/>
      <c r="E310" s="89"/>
      <c r="F310" s="89"/>
      <c r="G310" s="89"/>
      <c r="H310" s="89"/>
      <c r="I310" s="89"/>
      <c r="J310" s="89"/>
    </row>
    <row r="311" ht="15.75" customHeight="1">
      <c r="A311" s="89"/>
      <c r="B311" s="89"/>
      <c r="C311" s="89"/>
      <c r="D311" s="89"/>
      <c r="E311" s="89"/>
      <c r="F311" s="89"/>
      <c r="G311" s="89"/>
      <c r="H311" s="89"/>
      <c r="I311" s="89"/>
      <c r="J311" s="89"/>
    </row>
    <row r="312" ht="15.75" customHeight="1">
      <c r="A312" s="89"/>
      <c r="B312" s="89"/>
      <c r="C312" s="89"/>
      <c r="D312" s="89"/>
      <c r="E312" s="89"/>
      <c r="F312" s="89"/>
      <c r="G312" s="89"/>
      <c r="H312" s="89"/>
      <c r="I312" s="89"/>
      <c r="J312" s="89"/>
    </row>
    <row r="313" ht="15.75" customHeight="1">
      <c r="A313" s="89"/>
      <c r="B313" s="89"/>
      <c r="C313" s="89"/>
      <c r="D313" s="89"/>
      <c r="E313" s="89"/>
      <c r="F313" s="89"/>
      <c r="G313" s="89"/>
      <c r="H313" s="89"/>
      <c r="I313" s="89"/>
      <c r="J313" s="89"/>
    </row>
    <row r="314" ht="15.75" customHeight="1">
      <c r="A314" s="89"/>
      <c r="B314" s="89"/>
      <c r="C314" s="89"/>
      <c r="D314" s="89"/>
      <c r="E314" s="89"/>
      <c r="F314" s="89"/>
      <c r="G314" s="89"/>
      <c r="H314" s="89"/>
      <c r="I314" s="89"/>
      <c r="J314" s="89"/>
    </row>
    <row r="315" ht="15.75" customHeight="1">
      <c r="A315" s="89"/>
      <c r="B315" s="89"/>
      <c r="C315" s="89"/>
      <c r="D315" s="89"/>
      <c r="E315" s="89"/>
      <c r="F315" s="89"/>
      <c r="G315" s="89"/>
      <c r="H315" s="89"/>
      <c r="I315" s="89"/>
      <c r="J315" s="89"/>
    </row>
    <row r="316" ht="15.75" customHeight="1">
      <c r="A316" s="89"/>
      <c r="B316" s="89"/>
      <c r="C316" s="89"/>
      <c r="D316" s="89"/>
      <c r="E316" s="89"/>
      <c r="F316" s="89"/>
      <c r="G316" s="89"/>
      <c r="H316" s="89"/>
      <c r="I316" s="89"/>
      <c r="J316" s="89"/>
    </row>
    <row r="317" ht="15.75" customHeight="1">
      <c r="A317" s="89"/>
      <c r="B317" s="89"/>
      <c r="C317" s="89"/>
      <c r="D317" s="89"/>
      <c r="E317" s="89"/>
      <c r="F317" s="89"/>
      <c r="G317" s="89"/>
      <c r="H317" s="89"/>
      <c r="I317" s="89"/>
      <c r="J317" s="89"/>
    </row>
    <row r="318" ht="15.75" customHeight="1">
      <c r="A318" s="89"/>
      <c r="B318" s="89"/>
      <c r="C318" s="89"/>
      <c r="D318" s="89"/>
      <c r="E318" s="89"/>
      <c r="F318" s="89"/>
      <c r="G318" s="89"/>
      <c r="H318" s="89"/>
      <c r="I318" s="89"/>
      <c r="J318" s="89"/>
    </row>
    <row r="319" ht="15.75" customHeight="1">
      <c r="A319" s="89"/>
      <c r="B319" s="89"/>
      <c r="C319" s="89"/>
      <c r="D319" s="89"/>
      <c r="E319" s="89"/>
      <c r="F319" s="89"/>
      <c r="G319" s="89"/>
      <c r="H319" s="89"/>
      <c r="I319" s="89"/>
      <c r="J319" s="89"/>
    </row>
    <row r="320" ht="15.75" customHeight="1">
      <c r="A320" s="89"/>
      <c r="B320" s="89"/>
      <c r="C320" s="89"/>
      <c r="D320" s="89"/>
      <c r="E320" s="89"/>
      <c r="F320" s="89"/>
      <c r="G320" s="89"/>
      <c r="H320" s="89"/>
      <c r="I320" s="89"/>
      <c r="J320" s="89"/>
    </row>
    <row r="321" ht="15.75" customHeight="1">
      <c r="A321" s="89"/>
      <c r="B321" s="89"/>
      <c r="C321" s="89"/>
      <c r="D321" s="89"/>
      <c r="E321" s="89"/>
      <c r="F321" s="89"/>
      <c r="G321" s="89"/>
      <c r="H321" s="89"/>
      <c r="I321" s="89"/>
      <c r="J321" s="89"/>
    </row>
    <row r="322" ht="15.75" customHeight="1">
      <c r="A322" s="89"/>
      <c r="B322" s="89"/>
      <c r="C322" s="89"/>
      <c r="D322" s="89"/>
      <c r="E322" s="89"/>
      <c r="F322" s="89"/>
      <c r="G322" s="89"/>
      <c r="H322" s="89"/>
      <c r="I322" s="89"/>
      <c r="J322" s="89"/>
    </row>
    <row r="323" ht="15.75" customHeight="1">
      <c r="A323" s="89"/>
      <c r="B323" s="89"/>
      <c r="C323" s="89"/>
      <c r="D323" s="89"/>
      <c r="E323" s="89"/>
      <c r="F323" s="89"/>
      <c r="G323" s="89"/>
      <c r="H323" s="89"/>
      <c r="I323" s="89"/>
      <c r="J323" s="89"/>
    </row>
    <row r="324" ht="15.75" customHeight="1">
      <c r="A324" s="89"/>
      <c r="B324" s="89"/>
      <c r="C324" s="89"/>
      <c r="D324" s="89"/>
      <c r="E324" s="89"/>
      <c r="F324" s="89"/>
      <c r="G324" s="89"/>
      <c r="H324" s="89"/>
      <c r="I324" s="89"/>
      <c r="J324" s="89"/>
    </row>
    <row r="325" ht="15.75" customHeight="1">
      <c r="A325" s="89"/>
      <c r="B325" s="89"/>
      <c r="C325" s="89"/>
      <c r="D325" s="89"/>
      <c r="E325" s="89"/>
      <c r="F325" s="89"/>
      <c r="G325" s="89"/>
      <c r="H325" s="89"/>
      <c r="I325" s="89"/>
      <c r="J325" s="89"/>
    </row>
    <row r="326" ht="15.75" customHeight="1">
      <c r="A326" s="89"/>
      <c r="B326" s="89"/>
      <c r="C326" s="89"/>
      <c r="D326" s="89"/>
      <c r="E326" s="89"/>
      <c r="F326" s="89"/>
      <c r="G326" s="89"/>
      <c r="H326" s="89"/>
      <c r="I326" s="89"/>
      <c r="J326" s="89"/>
    </row>
    <row r="327" ht="15.75" customHeight="1">
      <c r="A327" s="89"/>
      <c r="B327" s="89"/>
      <c r="C327" s="89"/>
      <c r="D327" s="89"/>
      <c r="E327" s="89"/>
      <c r="F327" s="89"/>
      <c r="G327" s="89"/>
      <c r="H327" s="89"/>
      <c r="I327" s="89"/>
      <c r="J327" s="89"/>
    </row>
    <row r="328" ht="15.75" customHeight="1">
      <c r="A328" s="89"/>
      <c r="B328" s="89"/>
      <c r="C328" s="89"/>
      <c r="D328" s="89"/>
      <c r="E328" s="89"/>
      <c r="F328" s="89"/>
      <c r="G328" s="89"/>
      <c r="H328" s="89"/>
      <c r="I328" s="89"/>
      <c r="J328" s="89"/>
    </row>
    <row r="329" ht="15.75" customHeight="1">
      <c r="A329" s="89"/>
      <c r="B329" s="89"/>
      <c r="C329" s="89"/>
      <c r="D329" s="89"/>
      <c r="E329" s="89"/>
      <c r="F329" s="89"/>
      <c r="G329" s="89"/>
      <c r="H329" s="89"/>
      <c r="I329" s="89"/>
      <c r="J329" s="89"/>
    </row>
    <row r="330" ht="15.75" customHeight="1">
      <c r="A330" s="89"/>
      <c r="B330" s="89"/>
      <c r="C330" s="89"/>
      <c r="D330" s="89"/>
      <c r="E330" s="89"/>
      <c r="F330" s="89"/>
      <c r="G330" s="89"/>
      <c r="H330" s="89"/>
      <c r="I330" s="89"/>
      <c r="J330" s="89"/>
    </row>
    <row r="331" ht="15.75" customHeight="1">
      <c r="A331" s="89"/>
      <c r="B331" s="89"/>
      <c r="C331" s="89"/>
      <c r="D331" s="89"/>
      <c r="E331" s="89"/>
      <c r="F331" s="89"/>
      <c r="G331" s="89"/>
      <c r="H331" s="89"/>
      <c r="I331" s="89"/>
      <c r="J331" s="89"/>
    </row>
    <row r="332" ht="15.75" customHeight="1">
      <c r="A332" s="89"/>
      <c r="B332" s="89"/>
      <c r="C332" s="89"/>
      <c r="D332" s="89"/>
      <c r="E332" s="89"/>
      <c r="F332" s="89"/>
      <c r="G332" s="89"/>
      <c r="H332" s="89"/>
      <c r="I332" s="89"/>
      <c r="J332" s="89"/>
    </row>
    <row r="333" ht="15.75" customHeight="1">
      <c r="A333" s="89"/>
      <c r="B333" s="89"/>
      <c r="C333" s="89"/>
      <c r="D333" s="89"/>
      <c r="E333" s="89"/>
      <c r="F333" s="89"/>
      <c r="G333" s="89"/>
      <c r="H333" s="89"/>
      <c r="I333" s="89"/>
      <c r="J333" s="89"/>
    </row>
    <row r="334" ht="15.75" customHeight="1">
      <c r="A334" s="89"/>
      <c r="B334" s="89"/>
      <c r="C334" s="89"/>
      <c r="D334" s="89"/>
      <c r="E334" s="89"/>
      <c r="F334" s="89"/>
      <c r="G334" s="89"/>
      <c r="H334" s="89"/>
      <c r="I334" s="89"/>
      <c r="J334" s="89"/>
    </row>
    <row r="335" ht="15.75" customHeight="1">
      <c r="A335" s="89"/>
      <c r="B335" s="89"/>
      <c r="C335" s="89"/>
      <c r="D335" s="89"/>
      <c r="E335" s="89"/>
      <c r="F335" s="89"/>
      <c r="G335" s="89"/>
      <c r="H335" s="89"/>
      <c r="I335" s="89"/>
      <c r="J335" s="89"/>
    </row>
    <row r="336" ht="15.75" customHeight="1">
      <c r="A336" s="89"/>
      <c r="B336" s="89"/>
      <c r="C336" s="89"/>
      <c r="D336" s="89"/>
      <c r="E336" s="89"/>
      <c r="F336" s="89"/>
      <c r="G336" s="89"/>
      <c r="H336" s="89"/>
      <c r="I336" s="89"/>
      <c r="J336" s="89"/>
    </row>
    <row r="337" ht="15.75" customHeight="1">
      <c r="A337" s="89"/>
      <c r="B337" s="89"/>
      <c r="C337" s="89"/>
      <c r="D337" s="89"/>
      <c r="E337" s="89"/>
      <c r="F337" s="89"/>
      <c r="G337" s="89"/>
      <c r="H337" s="89"/>
      <c r="I337" s="89"/>
      <c r="J337" s="89"/>
    </row>
    <row r="338" ht="15.75" customHeight="1">
      <c r="A338" s="89"/>
      <c r="B338" s="89"/>
      <c r="C338" s="89"/>
      <c r="D338" s="89"/>
      <c r="E338" s="89"/>
      <c r="F338" s="89"/>
      <c r="G338" s="89"/>
      <c r="H338" s="89"/>
      <c r="I338" s="89"/>
      <c r="J338" s="89"/>
    </row>
    <row r="339" ht="15.75" customHeight="1">
      <c r="A339" s="89"/>
      <c r="B339" s="89"/>
      <c r="C339" s="89"/>
      <c r="D339" s="89"/>
      <c r="E339" s="89"/>
      <c r="F339" s="89"/>
      <c r="G339" s="89"/>
      <c r="H339" s="89"/>
      <c r="I339" s="89"/>
      <c r="J339" s="89"/>
    </row>
    <row r="340" ht="15.75" customHeight="1">
      <c r="A340" s="89"/>
      <c r="B340" s="89"/>
      <c r="C340" s="89"/>
      <c r="D340" s="89"/>
      <c r="E340" s="89"/>
      <c r="F340" s="89"/>
      <c r="G340" s="89"/>
      <c r="H340" s="89"/>
      <c r="I340" s="89"/>
      <c r="J340" s="89"/>
    </row>
    <row r="341" ht="15.75" customHeight="1">
      <c r="A341" s="89"/>
      <c r="B341" s="89"/>
      <c r="C341" s="89"/>
      <c r="D341" s="89"/>
      <c r="E341" s="89"/>
      <c r="F341" s="89"/>
      <c r="G341" s="89"/>
      <c r="H341" s="89"/>
      <c r="I341" s="89"/>
      <c r="J341" s="89"/>
    </row>
    <row r="342" ht="15.75" customHeight="1">
      <c r="A342" s="89"/>
      <c r="B342" s="89"/>
      <c r="C342" s="89"/>
      <c r="D342" s="89"/>
      <c r="E342" s="89"/>
      <c r="F342" s="89"/>
      <c r="G342" s="89"/>
      <c r="H342" s="89"/>
      <c r="I342" s="89"/>
      <c r="J342" s="89"/>
    </row>
    <row r="343" ht="15.75" customHeight="1">
      <c r="A343" s="89"/>
      <c r="B343" s="89"/>
      <c r="C343" s="89"/>
      <c r="D343" s="89"/>
      <c r="E343" s="89"/>
      <c r="F343" s="89"/>
      <c r="G343" s="89"/>
      <c r="H343" s="89"/>
      <c r="I343" s="89"/>
      <c r="J343" s="89"/>
    </row>
    <row r="344" ht="15.75" customHeight="1">
      <c r="A344" s="89"/>
      <c r="B344" s="89"/>
      <c r="C344" s="89"/>
      <c r="D344" s="89"/>
      <c r="E344" s="89"/>
      <c r="F344" s="89"/>
      <c r="G344" s="89"/>
      <c r="H344" s="89"/>
      <c r="I344" s="89"/>
      <c r="J344" s="89"/>
    </row>
    <row r="345" ht="15.75" customHeight="1">
      <c r="A345" s="89"/>
      <c r="B345" s="89"/>
      <c r="C345" s="89"/>
      <c r="D345" s="89"/>
      <c r="E345" s="89"/>
      <c r="F345" s="89"/>
      <c r="G345" s="89"/>
      <c r="H345" s="89"/>
      <c r="I345" s="89"/>
      <c r="J345" s="89"/>
    </row>
    <row r="346" ht="15.75" customHeight="1">
      <c r="A346" s="89"/>
      <c r="B346" s="89"/>
      <c r="C346" s="89"/>
      <c r="D346" s="89"/>
      <c r="E346" s="89"/>
      <c r="F346" s="89"/>
      <c r="G346" s="89"/>
      <c r="H346" s="89"/>
      <c r="I346" s="89"/>
      <c r="J346" s="89"/>
    </row>
    <row r="347" ht="15.75" customHeight="1">
      <c r="A347" s="89"/>
      <c r="B347" s="89"/>
      <c r="C347" s="89"/>
      <c r="D347" s="89"/>
      <c r="E347" s="89"/>
      <c r="F347" s="89"/>
      <c r="G347" s="89"/>
      <c r="H347" s="89"/>
      <c r="I347" s="89"/>
      <c r="J347" s="89"/>
    </row>
    <row r="348" ht="15.75" customHeight="1">
      <c r="A348" s="89"/>
      <c r="B348" s="89"/>
      <c r="C348" s="89"/>
      <c r="D348" s="89"/>
      <c r="E348" s="89"/>
      <c r="F348" s="89"/>
      <c r="G348" s="89"/>
      <c r="H348" s="89"/>
      <c r="I348" s="89"/>
      <c r="J348" s="89"/>
    </row>
    <row r="349" ht="15.75" customHeight="1">
      <c r="A349" s="89"/>
      <c r="B349" s="89"/>
      <c r="C349" s="89"/>
      <c r="D349" s="89"/>
      <c r="E349" s="89"/>
      <c r="F349" s="89"/>
      <c r="G349" s="89"/>
      <c r="H349" s="89"/>
      <c r="I349" s="89"/>
      <c r="J349" s="89"/>
    </row>
    <row r="350" ht="15.75" customHeight="1">
      <c r="A350" s="89"/>
      <c r="B350" s="89"/>
      <c r="C350" s="89"/>
      <c r="D350" s="89"/>
      <c r="E350" s="89"/>
      <c r="F350" s="89"/>
      <c r="G350" s="89"/>
      <c r="H350" s="89"/>
      <c r="I350" s="89"/>
      <c r="J350" s="89"/>
    </row>
    <row r="351" ht="15.75" customHeight="1">
      <c r="A351" s="89"/>
      <c r="B351" s="89"/>
      <c r="C351" s="89"/>
      <c r="D351" s="89"/>
      <c r="E351" s="89"/>
      <c r="F351" s="89"/>
      <c r="G351" s="89"/>
      <c r="H351" s="89"/>
      <c r="I351" s="89"/>
      <c r="J351" s="89"/>
    </row>
    <row r="352" ht="15.75" customHeight="1">
      <c r="A352" s="89"/>
      <c r="B352" s="89"/>
      <c r="C352" s="89"/>
      <c r="D352" s="89"/>
      <c r="E352" s="89"/>
      <c r="F352" s="89"/>
      <c r="G352" s="89"/>
      <c r="H352" s="89"/>
      <c r="I352" s="89"/>
      <c r="J352" s="89"/>
    </row>
    <row r="353" ht="15.75" customHeight="1">
      <c r="A353" s="89"/>
      <c r="B353" s="89"/>
      <c r="C353" s="89"/>
      <c r="D353" s="89"/>
      <c r="E353" s="89"/>
      <c r="F353" s="89"/>
      <c r="G353" s="89"/>
      <c r="H353" s="89"/>
      <c r="I353" s="89"/>
      <c r="J353" s="89"/>
    </row>
    <row r="354" ht="15.75" customHeight="1">
      <c r="A354" s="89"/>
      <c r="B354" s="89"/>
      <c r="C354" s="89"/>
      <c r="D354" s="89"/>
      <c r="E354" s="89"/>
      <c r="F354" s="89"/>
      <c r="G354" s="89"/>
      <c r="H354" s="89"/>
      <c r="I354" s="89"/>
      <c r="J354" s="89"/>
    </row>
    <row r="355" ht="15.75" customHeight="1">
      <c r="A355" s="89"/>
      <c r="B355" s="89"/>
      <c r="C355" s="89"/>
      <c r="D355" s="89"/>
      <c r="E355" s="89"/>
      <c r="F355" s="89"/>
      <c r="G355" s="89"/>
      <c r="H355" s="89"/>
      <c r="I355" s="89"/>
      <c r="J355" s="89"/>
    </row>
    <row r="356" ht="15.75" customHeight="1">
      <c r="A356" s="89"/>
      <c r="B356" s="89"/>
      <c r="C356" s="89"/>
      <c r="D356" s="89"/>
      <c r="E356" s="89"/>
      <c r="F356" s="89"/>
      <c r="G356" s="89"/>
      <c r="H356" s="89"/>
      <c r="I356" s="89"/>
      <c r="J356" s="89"/>
    </row>
    <row r="357" ht="15.75" customHeight="1">
      <c r="A357" s="89"/>
      <c r="B357" s="89"/>
      <c r="C357" s="89"/>
      <c r="D357" s="89"/>
      <c r="E357" s="89"/>
      <c r="F357" s="89"/>
      <c r="G357" s="89"/>
      <c r="H357" s="89"/>
      <c r="I357" s="89"/>
      <c r="J357" s="89"/>
    </row>
    <row r="358" ht="15.75" customHeight="1">
      <c r="A358" s="89"/>
      <c r="B358" s="89"/>
      <c r="C358" s="89"/>
      <c r="D358" s="89"/>
      <c r="E358" s="89"/>
      <c r="F358" s="89"/>
      <c r="G358" s="89"/>
      <c r="H358" s="89"/>
      <c r="I358" s="89"/>
      <c r="J358" s="89"/>
    </row>
    <row r="359" ht="15.75" customHeight="1">
      <c r="A359" s="89"/>
      <c r="B359" s="89"/>
      <c r="C359" s="89"/>
      <c r="D359" s="89"/>
      <c r="E359" s="89"/>
      <c r="F359" s="89"/>
      <c r="G359" s="89"/>
      <c r="H359" s="89"/>
      <c r="I359" s="89"/>
      <c r="J359" s="89"/>
    </row>
    <row r="360" ht="15.75" customHeight="1">
      <c r="A360" s="89"/>
      <c r="B360" s="89"/>
      <c r="C360" s="89"/>
      <c r="D360" s="89"/>
      <c r="E360" s="89"/>
      <c r="F360" s="89"/>
      <c r="G360" s="89"/>
      <c r="H360" s="89"/>
      <c r="I360" s="89"/>
      <c r="J360" s="89"/>
    </row>
    <row r="361" ht="15.75" customHeight="1">
      <c r="A361" s="89"/>
      <c r="B361" s="89"/>
      <c r="C361" s="89"/>
      <c r="D361" s="89"/>
      <c r="E361" s="89"/>
      <c r="F361" s="89"/>
      <c r="G361" s="89"/>
      <c r="H361" s="89"/>
      <c r="I361" s="89"/>
      <c r="J361" s="89"/>
    </row>
    <row r="362" ht="15.75" customHeight="1">
      <c r="A362" s="89"/>
      <c r="B362" s="89"/>
      <c r="C362" s="89"/>
      <c r="D362" s="89"/>
      <c r="E362" s="89"/>
      <c r="F362" s="89"/>
      <c r="G362" s="89"/>
      <c r="H362" s="89"/>
      <c r="I362" s="89"/>
      <c r="J362" s="89"/>
    </row>
    <row r="363" ht="15.75" customHeight="1">
      <c r="A363" s="89"/>
      <c r="B363" s="89"/>
      <c r="C363" s="89"/>
      <c r="D363" s="89"/>
      <c r="E363" s="89"/>
      <c r="F363" s="89"/>
      <c r="G363" s="89"/>
      <c r="H363" s="89"/>
      <c r="I363" s="89"/>
      <c r="J363" s="89"/>
    </row>
    <row r="364" ht="15.75" customHeight="1">
      <c r="A364" s="89"/>
      <c r="B364" s="89"/>
      <c r="C364" s="89"/>
      <c r="D364" s="89"/>
      <c r="E364" s="89"/>
      <c r="F364" s="89"/>
      <c r="G364" s="89"/>
      <c r="H364" s="89"/>
      <c r="I364" s="89"/>
      <c r="J364" s="89"/>
    </row>
    <row r="365" ht="15.75" customHeight="1">
      <c r="A365" s="89"/>
      <c r="B365" s="89"/>
      <c r="C365" s="89"/>
      <c r="D365" s="89"/>
      <c r="E365" s="89"/>
      <c r="F365" s="89"/>
      <c r="G365" s="89"/>
      <c r="H365" s="89"/>
      <c r="I365" s="89"/>
      <c r="J365" s="89"/>
    </row>
    <row r="366" ht="15.75" customHeight="1">
      <c r="A366" s="89"/>
      <c r="B366" s="89"/>
      <c r="C366" s="89"/>
      <c r="D366" s="89"/>
      <c r="E366" s="89"/>
      <c r="F366" s="89"/>
      <c r="G366" s="89"/>
      <c r="H366" s="89"/>
      <c r="I366" s="89"/>
      <c r="J366" s="89"/>
    </row>
    <row r="367" ht="15.75" customHeight="1">
      <c r="A367" s="89"/>
      <c r="B367" s="89"/>
      <c r="C367" s="89"/>
      <c r="D367" s="89"/>
      <c r="E367" s="89"/>
      <c r="F367" s="89"/>
      <c r="G367" s="89"/>
      <c r="H367" s="89"/>
      <c r="I367" s="89"/>
      <c r="J367" s="89"/>
    </row>
    <row r="368" ht="15.75" customHeight="1">
      <c r="A368" s="89"/>
      <c r="B368" s="89"/>
      <c r="C368" s="89"/>
      <c r="D368" s="89"/>
      <c r="E368" s="89"/>
      <c r="F368" s="89"/>
      <c r="G368" s="89"/>
      <c r="H368" s="89"/>
      <c r="I368" s="89"/>
      <c r="J368" s="89"/>
    </row>
    <row r="369" ht="15.75" customHeight="1">
      <c r="A369" s="89"/>
      <c r="B369" s="89"/>
      <c r="C369" s="89"/>
      <c r="D369" s="89"/>
      <c r="E369" s="89"/>
      <c r="F369" s="89"/>
      <c r="G369" s="89"/>
      <c r="H369" s="89"/>
      <c r="I369" s="89"/>
      <c r="J369" s="89"/>
    </row>
    <row r="370" ht="15.75" customHeight="1">
      <c r="A370" s="89"/>
      <c r="B370" s="89"/>
      <c r="C370" s="89"/>
      <c r="D370" s="89"/>
      <c r="E370" s="89"/>
      <c r="F370" s="89"/>
      <c r="G370" s="89"/>
      <c r="H370" s="89"/>
      <c r="I370" s="89"/>
      <c r="J370" s="89"/>
    </row>
    <row r="371" ht="15.75" customHeight="1">
      <c r="A371" s="89"/>
      <c r="B371" s="89"/>
      <c r="C371" s="89"/>
      <c r="D371" s="89"/>
      <c r="E371" s="89"/>
      <c r="F371" s="89"/>
      <c r="G371" s="89"/>
      <c r="H371" s="89"/>
      <c r="I371" s="89"/>
      <c r="J371" s="89"/>
    </row>
    <row r="372" ht="15.75" customHeight="1">
      <c r="A372" s="89"/>
      <c r="B372" s="89"/>
      <c r="C372" s="89"/>
      <c r="D372" s="89"/>
      <c r="E372" s="89"/>
      <c r="F372" s="89"/>
      <c r="G372" s="89"/>
      <c r="H372" s="89"/>
      <c r="I372" s="89"/>
      <c r="J372" s="89"/>
    </row>
    <row r="373" ht="15.75" customHeight="1">
      <c r="A373" s="89"/>
      <c r="B373" s="89"/>
      <c r="C373" s="89"/>
      <c r="D373" s="89"/>
      <c r="E373" s="89"/>
      <c r="F373" s="89"/>
      <c r="G373" s="89"/>
      <c r="H373" s="89"/>
      <c r="I373" s="89"/>
      <c r="J373" s="89"/>
    </row>
    <row r="374" ht="15.75" customHeight="1">
      <c r="A374" s="89"/>
      <c r="B374" s="89"/>
      <c r="C374" s="89"/>
      <c r="D374" s="89"/>
      <c r="E374" s="89"/>
      <c r="F374" s="89"/>
      <c r="G374" s="89"/>
      <c r="H374" s="89"/>
      <c r="I374" s="89"/>
      <c r="J374" s="89"/>
    </row>
    <row r="375" ht="15.75" customHeight="1">
      <c r="A375" s="89"/>
      <c r="B375" s="89"/>
      <c r="C375" s="89"/>
      <c r="D375" s="89"/>
      <c r="E375" s="89"/>
      <c r="F375" s="89"/>
      <c r="G375" s="89"/>
      <c r="H375" s="89"/>
      <c r="I375" s="89"/>
      <c r="J375" s="89"/>
    </row>
    <row r="376" ht="15.75" customHeight="1">
      <c r="A376" s="89"/>
      <c r="B376" s="89"/>
      <c r="C376" s="89"/>
      <c r="D376" s="89"/>
      <c r="E376" s="89"/>
      <c r="F376" s="89"/>
      <c r="G376" s="89"/>
      <c r="H376" s="89"/>
      <c r="I376" s="89"/>
      <c r="J376" s="89"/>
    </row>
    <row r="377" ht="15.75" customHeight="1">
      <c r="A377" s="89"/>
      <c r="B377" s="89"/>
      <c r="C377" s="89"/>
      <c r="D377" s="89"/>
      <c r="E377" s="89"/>
      <c r="F377" s="89"/>
      <c r="G377" s="89"/>
      <c r="H377" s="89"/>
      <c r="I377" s="89"/>
      <c r="J377" s="89"/>
    </row>
    <row r="378" ht="15.75" customHeight="1">
      <c r="A378" s="89"/>
      <c r="B378" s="89"/>
      <c r="C378" s="89"/>
      <c r="D378" s="89"/>
      <c r="E378" s="89"/>
      <c r="F378" s="89"/>
      <c r="G378" s="89"/>
      <c r="H378" s="89"/>
      <c r="I378" s="89"/>
      <c r="J378" s="89"/>
    </row>
    <row r="379" ht="15.75" customHeight="1">
      <c r="A379" s="89"/>
      <c r="B379" s="89"/>
      <c r="C379" s="89"/>
      <c r="D379" s="89"/>
      <c r="E379" s="89"/>
      <c r="F379" s="89"/>
      <c r="G379" s="89"/>
      <c r="H379" s="89"/>
      <c r="I379" s="89"/>
      <c r="J379" s="89"/>
    </row>
    <row r="380" ht="15.75" customHeight="1">
      <c r="A380" s="89"/>
      <c r="B380" s="89"/>
      <c r="C380" s="89"/>
      <c r="D380" s="89"/>
      <c r="E380" s="89"/>
      <c r="F380" s="89"/>
      <c r="G380" s="89"/>
      <c r="H380" s="89"/>
      <c r="I380" s="89"/>
      <c r="J380" s="89"/>
    </row>
    <row r="381" ht="15.75" customHeight="1">
      <c r="A381" s="89"/>
      <c r="B381" s="89"/>
      <c r="C381" s="89"/>
      <c r="D381" s="89"/>
      <c r="E381" s="89"/>
      <c r="F381" s="89"/>
      <c r="G381" s="89"/>
      <c r="H381" s="89"/>
      <c r="I381" s="89"/>
      <c r="J381" s="89"/>
    </row>
    <row r="382" ht="15.75" customHeight="1">
      <c r="A382" s="89"/>
      <c r="B382" s="89"/>
      <c r="C382" s="89"/>
      <c r="D382" s="89"/>
      <c r="E382" s="89"/>
      <c r="F382" s="89"/>
      <c r="G382" s="89"/>
      <c r="H382" s="89"/>
      <c r="I382" s="89"/>
      <c r="J382" s="89"/>
    </row>
    <row r="383" ht="15.75" customHeight="1">
      <c r="A383" s="89"/>
      <c r="B383" s="89"/>
      <c r="C383" s="89"/>
      <c r="D383" s="89"/>
      <c r="E383" s="89"/>
      <c r="F383" s="89"/>
      <c r="G383" s="89"/>
      <c r="H383" s="89"/>
      <c r="I383" s="89"/>
      <c r="J383" s="89"/>
    </row>
    <row r="384" ht="15.75" customHeight="1">
      <c r="A384" s="89"/>
      <c r="B384" s="89"/>
      <c r="C384" s="89"/>
      <c r="D384" s="89"/>
      <c r="E384" s="89"/>
      <c r="F384" s="89"/>
      <c r="G384" s="89"/>
      <c r="H384" s="89"/>
      <c r="I384" s="89"/>
      <c r="J384" s="89"/>
    </row>
    <row r="385" ht="15.75" customHeight="1">
      <c r="A385" s="89"/>
      <c r="B385" s="89"/>
      <c r="C385" s="89"/>
      <c r="D385" s="89"/>
      <c r="E385" s="89"/>
      <c r="F385" s="89"/>
      <c r="G385" s="89"/>
      <c r="H385" s="89"/>
      <c r="I385" s="89"/>
      <c r="J385" s="89"/>
    </row>
    <row r="386" ht="15.75" customHeight="1">
      <c r="A386" s="89"/>
      <c r="B386" s="89"/>
      <c r="C386" s="89"/>
      <c r="D386" s="89"/>
      <c r="E386" s="89"/>
      <c r="F386" s="89"/>
      <c r="G386" s="89"/>
      <c r="H386" s="89"/>
      <c r="I386" s="89"/>
      <c r="J386" s="89"/>
    </row>
    <row r="387" ht="15.75" customHeight="1">
      <c r="A387" s="89"/>
      <c r="B387" s="89"/>
      <c r="C387" s="89"/>
      <c r="D387" s="89"/>
      <c r="E387" s="89"/>
      <c r="F387" s="89"/>
      <c r="G387" s="89"/>
      <c r="H387" s="89"/>
      <c r="I387" s="89"/>
      <c r="J387" s="89"/>
    </row>
    <row r="388" ht="15.75" customHeight="1">
      <c r="A388" s="89"/>
      <c r="B388" s="89"/>
      <c r="C388" s="89"/>
      <c r="D388" s="89"/>
      <c r="E388" s="89"/>
      <c r="F388" s="89"/>
      <c r="G388" s="89"/>
      <c r="H388" s="89"/>
      <c r="I388" s="89"/>
      <c r="J388" s="89"/>
    </row>
    <row r="389" ht="15.75" customHeight="1">
      <c r="A389" s="89"/>
      <c r="B389" s="89"/>
      <c r="C389" s="89"/>
      <c r="D389" s="89"/>
      <c r="E389" s="89"/>
      <c r="F389" s="89"/>
      <c r="G389" s="89"/>
      <c r="H389" s="89"/>
      <c r="I389" s="89"/>
      <c r="J389" s="89"/>
    </row>
    <row r="390" ht="15.75" customHeight="1">
      <c r="A390" s="89"/>
      <c r="B390" s="89"/>
      <c r="C390" s="89"/>
      <c r="D390" s="89"/>
      <c r="E390" s="89"/>
      <c r="F390" s="89"/>
      <c r="G390" s="89"/>
      <c r="H390" s="89"/>
      <c r="I390" s="89"/>
      <c r="J390" s="89"/>
    </row>
    <row r="391" ht="15.75" customHeight="1">
      <c r="A391" s="89"/>
      <c r="B391" s="89"/>
      <c r="C391" s="89"/>
      <c r="D391" s="89"/>
      <c r="E391" s="89"/>
      <c r="F391" s="89"/>
      <c r="G391" s="89"/>
      <c r="H391" s="89"/>
      <c r="I391" s="89"/>
      <c r="J391" s="89"/>
    </row>
    <row r="392" ht="15.75" customHeight="1">
      <c r="A392" s="89"/>
      <c r="B392" s="89"/>
      <c r="C392" s="89"/>
      <c r="D392" s="89"/>
      <c r="E392" s="89"/>
      <c r="F392" s="89"/>
      <c r="G392" s="89"/>
      <c r="H392" s="89"/>
      <c r="I392" s="89"/>
      <c r="J392" s="89"/>
    </row>
    <row r="393" ht="15.75" customHeight="1">
      <c r="A393" s="89"/>
      <c r="B393" s="89"/>
      <c r="C393" s="89"/>
      <c r="D393" s="89"/>
      <c r="E393" s="89"/>
      <c r="F393" s="89"/>
      <c r="G393" s="89"/>
      <c r="H393" s="89"/>
      <c r="I393" s="89"/>
      <c r="J393" s="89"/>
    </row>
    <row r="394" ht="15.75" customHeight="1">
      <c r="A394" s="89"/>
      <c r="B394" s="89"/>
      <c r="C394" s="89"/>
      <c r="D394" s="89"/>
      <c r="E394" s="89"/>
      <c r="F394" s="89"/>
      <c r="G394" s="89"/>
      <c r="H394" s="89"/>
      <c r="I394" s="89"/>
      <c r="J394" s="89"/>
    </row>
    <row r="395" ht="15.75" customHeight="1">
      <c r="A395" s="89"/>
      <c r="B395" s="89"/>
      <c r="C395" s="89"/>
      <c r="D395" s="89"/>
      <c r="E395" s="89"/>
      <c r="F395" s="89"/>
      <c r="G395" s="89"/>
      <c r="H395" s="89"/>
      <c r="I395" s="89"/>
      <c r="J395" s="89"/>
    </row>
    <row r="396" ht="15.75" customHeight="1">
      <c r="A396" s="89"/>
      <c r="B396" s="89"/>
      <c r="C396" s="89"/>
      <c r="D396" s="89"/>
      <c r="E396" s="89"/>
      <c r="F396" s="89"/>
      <c r="G396" s="89"/>
      <c r="H396" s="89"/>
      <c r="I396" s="89"/>
      <c r="J396" s="89"/>
    </row>
    <row r="397" ht="15.75" customHeight="1">
      <c r="A397" s="89"/>
      <c r="B397" s="89"/>
      <c r="C397" s="89"/>
      <c r="D397" s="89"/>
      <c r="E397" s="89"/>
      <c r="F397" s="89"/>
      <c r="G397" s="89"/>
      <c r="H397" s="89"/>
      <c r="I397" s="89"/>
      <c r="J397" s="89"/>
    </row>
    <row r="398" ht="15.75" customHeight="1">
      <c r="A398" s="89"/>
      <c r="B398" s="89"/>
      <c r="C398" s="89"/>
      <c r="D398" s="89"/>
      <c r="E398" s="89"/>
      <c r="F398" s="89"/>
      <c r="G398" s="89"/>
      <c r="H398" s="89"/>
      <c r="I398" s="89"/>
      <c r="J398" s="89"/>
    </row>
    <row r="399" ht="15.75" customHeight="1">
      <c r="A399" s="89"/>
      <c r="B399" s="89"/>
      <c r="C399" s="89"/>
      <c r="D399" s="89"/>
      <c r="E399" s="89"/>
      <c r="F399" s="89"/>
      <c r="G399" s="89"/>
      <c r="H399" s="89"/>
      <c r="I399" s="89"/>
      <c r="J399" s="89"/>
    </row>
    <row r="400" ht="15.75" customHeight="1">
      <c r="A400" s="89"/>
      <c r="B400" s="89"/>
      <c r="C400" s="89"/>
      <c r="D400" s="89"/>
      <c r="E400" s="89"/>
      <c r="F400" s="89"/>
      <c r="G400" s="89"/>
      <c r="H400" s="89"/>
      <c r="I400" s="89"/>
      <c r="J400" s="89"/>
    </row>
    <row r="401" ht="15.75" customHeight="1">
      <c r="A401" s="89"/>
      <c r="B401" s="89"/>
      <c r="C401" s="89"/>
      <c r="D401" s="89"/>
      <c r="E401" s="89"/>
      <c r="F401" s="89"/>
      <c r="G401" s="89"/>
      <c r="H401" s="89"/>
      <c r="I401" s="89"/>
      <c r="J401" s="89"/>
    </row>
    <row r="402" ht="15.75" customHeight="1">
      <c r="A402" s="89"/>
      <c r="B402" s="89"/>
      <c r="C402" s="89"/>
      <c r="D402" s="89"/>
      <c r="E402" s="89"/>
      <c r="F402" s="89"/>
      <c r="G402" s="89"/>
      <c r="H402" s="89"/>
      <c r="I402" s="89"/>
      <c r="J402" s="89"/>
    </row>
    <row r="403" ht="15.75" customHeight="1">
      <c r="A403" s="89"/>
      <c r="B403" s="89"/>
      <c r="C403" s="89"/>
      <c r="D403" s="89"/>
      <c r="E403" s="89"/>
      <c r="F403" s="89"/>
      <c r="G403" s="89"/>
      <c r="H403" s="89"/>
      <c r="I403" s="89"/>
      <c r="J403" s="89"/>
    </row>
    <row r="404" ht="15.75" customHeight="1">
      <c r="A404" s="89"/>
      <c r="B404" s="89"/>
      <c r="C404" s="89"/>
      <c r="D404" s="89"/>
      <c r="E404" s="89"/>
      <c r="F404" s="89"/>
      <c r="G404" s="89"/>
      <c r="H404" s="89"/>
      <c r="I404" s="89"/>
      <c r="J404" s="89"/>
    </row>
    <row r="405" ht="15.75" customHeight="1">
      <c r="A405" s="89"/>
      <c r="B405" s="89"/>
      <c r="C405" s="89"/>
      <c r="D405" s="89"/>
      <c r="E405" s="89"/>
      <c r="F405" s="89"/>
      <c r="G405" s="89"/>
      <c r="H405" s="89"/>
      <c r="I405" s="89"/>
      <c r="J405" s="89"/>
    </row>
    <row r="406" ht="15.75" customHeight="1">
      <c r="A406" s="89"/>
      <c r="B406" s="89"/>
      <c r="C406" s="89"/>
      <c r="D406" s="89"/>
      <c r="E406" s="89"/>
      <c r="F406" s="89"/>
      <c r="G406" s="89"/>
      <c r="H406" s="89"/>
      <c r="I406" s="89"/>
      <c r="J406" s="89"/>
    </row>
    <row r="407" ht="15.75" customHeight="1">
      <c r="A407" s="89"/>
      <c r="B407" s="89"/>
      <c r="C407" s="89"/>
      <c r="D407" s="89"/>
      <c r="E407" s="89"/>
      <c r="F407" s="89"/>
      <c r="G407" s="89"/>
      <c r="H407" s="89"/>
      <c r="I407" s="89"/>
      <c r="J407" s="89"/>
    </row>
    <row r="408" ht="15.75" customHeight="1">
      <c r="A408" s="89"/>
      <c r="B408" s="89"/>
      <c r="C408" s="89"/>
      <c r="D408" s="89"/>
      <c r="E408" s="89"/>
      <c r="F408" s="89"/>
      <c r="G408" s="89"/>
      <c r="H408" s="89"/>
      <c r="I408" s="89"/>
      <c r="J408" s="89"/>
    </row>
    <row r="409" ht="15.75" customHeight="1">
      <c r="A409" s="89"/>
      <c r="B409" s="89"/>
      <c r="C409" s="89"/>
      <c r="D409" s="89"/>
      <c r="E409" s="89"/>
      <c r="F409" s="89"/>
      <c r="G409" s="89"/>
      <c r="H409" s="89"/>
      <c r="I409" s="89"/>
      <c r="J409" s="89"/>
    </row>
    <row r="410" ht="15.75" customHeight="1">
      <c r="A410" s="89"/>
      <c r="B410" s="89"/>
      <c r="C410" s="89"/>
      <c r="D410" s="89"/>
      <c r="E410" s="89"/>
      <c r="F410" s="89"/>
      <c r="G410" s="89"/>
      <c r="H410" s="89"/>
      <c r="I410" s="89"/>
      <c r="J410" s="89"/>
    </row>
    <row r="411" ht="15.75" customHeight="1">
      <c r="A411" s="89"/>
      <c r="B411" s="89"/>
      <c r="C411" s="89"/>
      <c r="D411" s="89"/>
      <c r="E411" s="89"/>
      <c r="F411" s="89"/>
      <c r="G411" s="89"/>
      <c r="H411" s="89"/>
      <c r="I411" s="89"/>
      <c r="J411" s="89"/>
    </row>
    <row r="412" ht="15.75" customHeight="1">
      <c r="A412" s="89"/>
      <c r="B412" s="89"/>
      <c r="C412" s="89"/>
      <c r="D412" s="89"/>
      <c r="E412" s="89"/>
      <c r="F412" s="89"/>
      <c r="G412" s="89"/>
      <c r="H412" s="89"/>
      <c r="I412" s="89"/>
      <c r="J412" s="89"/>
    </row>
    <row r="413" ht="15.75" customHeight="1">
      <c r="A413" s="89"/>
      <c r="B413" s="89"/>
      <c r="C413" s="89"/>
      <c r="D413" s="89"/>
      <c r="E413" s="89"/>
      <c r="F413" s="89"/>
      <c r="G413" s="89"/>
      <c r="H413" s="89"/>
      <c r="I413" s="89"/>
      <c r="J413" s="89"/>
    </row>
    <row r="414" ht="15.75" customHeight="1">
      <c r="A414" s="89"/>
      <c r="B414" s="89"/>
      <c r="C414" s="89"/>
      <c r="D414" s="89"/>
      <c r="E414" s="89"/>
      <c r="F414" s="89"/>
      <c r="G414" s="89"/>
      <c r="H414" s="89"/>
      <c r="I414" s="89"/>
      <c r="J414" s="89"/>
    </row>
    <row r="415" ht="15.75" customHeight="1">
      <c r="A415" s="89"/>
      <c r="B415" s="89"/>
      <c r="C415" s="89"/>
      <c r="D415" s="89"/>
      <c r="E415" s="89"/>
      <c r="F415" s="89"/>
      <c r="G415" s="89"/>
      <c r="H415" s="89"/>
      <c r="I415" s="89"/>
      <c r="J415" s="89"/>
    </row>
    <row r="416" ht="15.75" customHeight="1">
      <c r="A416" s="89"/>
      <c r="B416" s="89"/>
      <c r="C416" s="89"/>
      <c r="D416" s="89"/>
      <c r="E416" s="89"/>
      <c r="F416" s="89"/>
      <c r="G416" s="89"/>
      <c r="H416" s="89"/>
      <c r="I416" s="89"/>
      <c r="J416" s="89"/>
    </row>
    <row r="417" ht="15.75" customHeight="1">
      <c r="A417" s="89"/>
      <c r="B417" s="89"/>
      <c r="C417" s="89"/>
      <c r="D417" s="89"/>
      <c r="E417" s="89"/>
      <c r="F417" s="89"/>
      <c r="G417" s="89"/>
      <c r="H417" s="89"/>
      <c r="I417" s="89"/>
      <c r="J417" s="89"/>
    </row>
    <row r="418" ht="15.75" customHeight="1">
      <c r="A418" s="89"/>
      <c r="B418" s="89"/>
      <c r="C418" s="89"/>
      <c r="D418" s="89"/>
      <c r="E418" s="89"/>
      <c r="F418" s="89"/>
      <c r="G418" s="89"/>
      <c r="H418" s="89"/>
      <c r="I418" s="89"/>
      <c r="J418" s="89"/>
    </row>
    <row r="419" ht="15.75" customHeight="1">
      <c r="A419" s="89"/>
      <c r="B419" s="89"/>
      <c r="C419" s="89"/>
      <c r="D419" s="89"/>
      <c r="E419" s="89"/>
      <c r="F419" s="89"/>
      <c r="G419" s="89"/>
      <c r="H419" s="89"/>
      <c r="I419" s="89"/>
      <c r="J419" s="89"/>
    </row>
    <row r="420" ht="15.75" customHeight="1">
      <c r="A420" s="89"/>
      <c r="B420" s="89"/>
      <c r="C420" s="89"/>
      <c r="D420" s="89"/>
      <c r="E420" s="89"/>
      <c r="F420" s="89"/>
      <c r="G420" s="89"/>
      <c r="H420" s="89"/>
      <c r="I420" s="89"/>
      <c r="J420" s="89"/>
    </row>
    <row r="421" ht="15.75" customHeight="1">
      <c r="A421" s="89"/>
      <c r="B421" s="89"/>
      <c r="C421" s="89"/>
      <c r="D421" s="89"/>
      <c r="E421" s="89"/>
      <c r="F421" s="89"/>
      <c r="G421" s="89"/>
      <c r="H421" s="89"/>
      <c r="I421" s="89"/>
      <c r="J421" s="89"/>
    </row>
    <row r="422" ht="15.75" customHeight="1">
      <c r="A422" s="89"/>
      <c r="B422" s="89"/>
      <c r="C422" s="89"/>
      <c r="D422" s="89"/>
      <c r="E422" s="89"/>
      <c r="F422" s="89"/>
      <c r="G422" s="89"/>
      <c r="H422" s="89"/>
      <c r="I422" s="89"/>
      <c r="J422" s="89"/>
    </row>
    <row r="423" ht="15.75" customHeight="1">
      <c r="A423" s="89"/>
      <c r="B423" s="89"/>
      <c r="C423" s="89"/>
      <c r="D423" s="89"/>
      <c r="E423" s="89"/>
      <c r="F423" s="89"/>
      <c r="G423" s="89"/>
      <c r="H423" s="89"/>
      <c r="I423" s="89"/>
      <c r="J423" s="89"/>
    </row>
    <row r="424" ht="15.75" customHeight="1">
      <c r="A424" s="89"/>
      <c r="B424" s="89"/>
      <c r="C424" s="89"/>
      <c r="D424" s="89"/>
      <c r="E424" s="89"/>
      <c r="F424" s="89"/>
      <c r="G424" s="89"/>
      <c r="H424" s="89"/>
      <c r="I424" s="89"/>
      <c r="J424" s="89"/>
    </row>
    <row r="425" ht="15.75" customHeight="1">
      <c r="A425" s="89"/>
      <c r="B425" s="89"/>
      <c r="C425" s="89"/>
      <c r="D425" s="89"/>
      <c r="E425" s="89"/>
      <c r="F425" s="89"/>
      <c r="G425" s="89"/>
      <c r="H425" s="89"/>
      <c r="I425" s="89"/>
      <c r="J425" s="89"/>
    </row>
    <row r="426" ht="15.75" customHeight="1">
      <c r="A426" s="89"/>
      <c r="B426" s="89"/>
      <c r="C426" s="89"/>
      <c r="D426" s="89"/>
      <c r="E426" s="89"/>
      <c r="F426" s="89"/>
      <c r="G426" s="89"/>
      <c r="H426" s="89"/>
      <c r="I426" s="89"/>
      <c r="J426" s="89"/>
    </row>
    <row r="427" ht="15.75" customHeight="1">
      <c r="A427" s="89"/>
      <c r="B427" s="89"/>
      <c r="C427" s="89"/>
      <c r="D427" s="89"/>
      <c r="E427" s="89"/>
      <c r="F427" s="89"/>
      <c r="G427" s="89"/>
      <c r="H427" s="89"/>
      <c r="I427" s="89"/>
      <c r="J427" s="89"/>
    </row>
    <row r="428" ht="15.75" customHeight="1">
      <c r="A428" s="89"/>
      <c r="B428" s="89"/>
      <c r="C428" s="89"/>
      <c r="D428" s="89"/>
      <c r="E428" s="89"/>
      <c r="F428" s="89"/>
      <c r="G428" s="89"/>
      <c r="H428" s="89"/>
      <c r="I428" s="89"/>
      <c r="J428" s="89"/>
    </row>
    <row r="429" ht="15.75" customHeight="1">
      <c r="A429" s="89"/>
      <c r="B429" s="89"/>
      <c r="C429" s="89"/>
      <c r="D429" s="89"/>
      <c r="E429" s="89"/>
      <c r="F429" s="89"/>
      <c r="G429" s="89"/>
      <c r="H429" s="89"/>
      <c r="I429" s="89"/>
      <c r="J429" s="89"/>
    </row>
    <row r="430" ht="15.75" customHeight="1">
      <c r="A430" s="89"/>
      <c r="B430" s="89"/>
      <c r="C430" s="89"/>
      <c r="D430" s="89"/>
      <c r="E430" s="89"/>
      <c r="F430" s="89"/>
      <c r="G430" s="89"/>
      <c r="H430" s="89"/>
      <c r="I430" s="89"/>
      <c r="J430" s="89"/>
    </row>
    <row r="431" ht="15.75" customHeight="1">
      <c r="A431" s="89"/>
      <c r="B431" s="89"/>
      <c r="C431" s="89"/>
      <c r="D431" s="89"/>
      <c r="E431" s="89"/>
      <c r="F431" s="89"/>
      <c r="G431" s="89"/>
      <c r="H431" s="89"/>
      <c r="I431" s="89"/>
      <c r="J431" s="89"/>
    </row>
    <row r="432" ht="15.75" customHeight="1">
      <c r="A432" s="89"/>
      <c r="B432" s="89"/>
      <c r="C432" s="89"/>
      <c r="D432" s="89"/>
      <c r="E432" s="89"/>
      <c r="F432" s="89"/>
      <c r="G432" s="89"/>
      <c r="H432" s="89"/>
      <c r="I432" s="89"/>
      <c r="J432" s="89"/>
    </row>
    <row r="433" ht="15.75" customHeight="1">
      <c r="A433" s="89"/>
      <c r="B433" s="89"/>
      <c r="C433" s="89"/>
      <c r="D433" s="89"/>
      <c r="E433" s="89"/>
      <c r="F433" s="89"/>
      <c r="G433" s="89"/>
      <c r="H433" s="89"/>
      <c r="I433" s="89"/>
      <c r="J433" s="89"/>
    </row>
    <row r="434" ht="15.75" customHeight="1">
      <c r="A434" s="89"/>
      <c r="B434" s="89"/>
      <c r="C434" s="89"/>
      <c r="D434" s="89"/>
      <c r="E434" s="89"/>
      <c r="F434" s="89"/>
      <c r="G434" s="89"/>
      <c r="H434" s="89"/>
      <c r="I434" s="89"/>
      <c r="J434" s="89"/>
    </row>
    <row r="435" ht="15.75" customHeight="1">
      <c r="A435" s="89"/>
      <c r="B435" s="89"/>
      <c r="C435" s="89"/>
      <c r="D435" s="89"/>
      <c r="E435" s="89"/>
      <c r="F435" s="89"/>
      <c r="G435" s="89"/>
      <c r="H435" s="89"/>
      <c r="I435" s="89"/>
      <c r="J435" s="89"/>
    </row>
    <row r="436" ht="15.75" customHeight="1">
      <c r="A436" s="89"/>
      <c r="B436" s="89"/>
      <c r="C436" s="89"/>
      <c r="D436" s="89"/>
      <c r="E436" s="89"/>
      <c r="F436" s="89"/>
      <c r="G436" s="89"/>
      <c r="H436" s="89"/>
      <c r="I436" s="89"/>
      <c r="J436" s="89"/>
    </row>
    <row r="437" ht="15.75" customHeight="1">
      <c r="A437" s="89"/>
      <c r="B437" s="89"/>
      <c r="C437" s="89"/>
      <c r="D437" s="89"/>
      <c r="E437" s="89"/>
      <c r="F437" s="89"/>
      <c r="G437" s="89"/>
      <c r="H437" s="89"/>
      <c r="I437" s="89"/>
      <c r="J437" s="89"/>
    </row>
    <row r="438" ht="15.75" customHeight="1">
      <c r="A438" s="89"/>
      <c r="B438" s="89"/>
      <c r="C438" s="89"/>
      <c r="D438" s="89"/>
      <c r="E438" s="89"/>
      <c r="F438" s="89"/>
      <c r="G438" s="89"/>
      <c r="H438" s="89"/>
      <c r="I438" s="89"/>
      <c r="J438" s="89"/>
    </row>
    <row r="439" ht="15.75" customHeight="1">
      <c r="A439" s="89"/>
      <c r="B439" s="89"/>
      <c r="C439" s="89"/>
      <c r="D439" s="89"/>
      <c r="E439" s="89"/>
      <c r="F439" s="89"/>
      <c r="G439" s="89"/>
      <c r="H439" s="89"/>
      <c r="I439" s="89"/>
      <c r="J439" s="89"/>
    </row>
    <row r="440" ht="15.75" customHeight="1">
      <c r="A440" s="89"/>
      <c r="B440" s="89"/>
      <c r="C440" s="89"/>
      <c r="D440" s="89"/>
      <c r="E440" s="89"/>
      <c r="F440" s="89"/>
      <c r="G440" s="89"/>
      <c r="H440" s="89"/>
      <c r="I440" s="89"/>
      <c r="J440" s="89"/>
    </row>
    <row r="441" ht="15.75" customHeight="1">
      <c r="A441" s="89"/>
      <c r="B441" s="89"/>
      <c r="C441" s="89"/>
      <c r="D441" s="89"/>
      <c r="E441" s="89"/>
      <c r="F441" s="89"/>
      <c r="G441" s="89"/>
      <c r="H441" s="89"/>
      <c r="I441" s="89"/>
      <c r="J441" s="89"/>
    </row>
    <row r="442" ht="15.75" customHeight="1">
      <c r="A442" s="89"/>
      <c r="B442" s="89"/>
      <c r="C442" s="89"/>
      <c r="D442" s="89"/>
      <c r="E442" s="89"/>
      <c r="F442" s="89"/>
      <c r="G442" s="89"/>
      <c r="H442" s="89"/>
      <c r="I442" s="89"/>
      <c r="J442" s="89"/>
    </row>
    <row r="443" ht="15.75" customHeight="1">
      <c r="A443" s="89"/>
      <c r="B443" s="89"/>
      <c r="C443" s="89"/>
      <c r="D443" s="89"/>
      <c r="E443" s="89"/>
      <c r="F443" s="89"/>
      <c r="G443" s="89"/>
      <c r="H443" s="89"/>
      <c r="I443" s="89"/>
      <c r="J443" s="89"/>
    </row>
    <row r="444" ht="15.75" customHeight="1">
      <c r="A444" s="89"/>
      <c r="B444" s="89"/>
      <c r="C444" s="89"/>
      <c r="D444" s="89"/>
      <c r="E444" s="89"/>
      <c r="F444" s="89"/>
      <c r="G444" s="89"/>
      <c r="H444" s="89"/>
      <c r="I444" s="89"/>
      <c r="J444" s="89"/>
    </row>
    <row r="445" ht="15.75" customHeight="1">
      <c r="A445" s="89"/>
      <c r="B445" s="89"/>
      <c r="C445" s="89"/>
      <c r="D445" s="89"/>
      <c r="E445" s="89"/>
      <c r="F445" s="89"/>
      <c r="G445" s="89"/>
      <c r="H445" s="89"/>
      <c r="I445" s="89"/>
      <c r="J445" s="89"/>
    </row>
    <row r="446" ht="15.75" customHeight="1">
      <c r="A446" s="89"/>
      <c r="B446" s="89"/>
      <c r="C446" s="89"/>
      <c r="D446" s="89"/>
      <c r="E446" s="89"/>
      <c r="F446" s="89"/>
      <c r="G446" s="89"/>
      <c r="H446" s="89"/>
      <c r="I446" s="89"/>
      <c r="J446" s="89"/>
    </row>
    <row r="447" ht="15.75" customHeight="1">
      <c r="A447" s="89"/>
      <c r="B447" s="89"/>
      <c r="C447" s="89"/>
      <c r="D447" s="89"/>
      <c r="E447" s="89"/>
      <c r="F447" s="89"/>
      <c r="G447" s="89"/>
      <c r="H447" s="89"/>
      <c r="I447" s="89"/>
      <c r="J447" s="89"/>
    </row>
    <row r="448" ht="15.75" customHeight="1">
      <c r="A448" s="89"/>
      <c r="B448" s="89"/>
      <c r="C448" s="89"/>
      <c r="D448" s="89"/>
      <c r="E448" s="89"/>
      <c r="F448" s="89"/>
      <c r="G448" s="89"/>
      <c r="H448" s="89"/>
      <c r="I448" s="89"/>
      <c r="J448" s="89"/>
    </row>
    <row r="449" ht="15.75" customHeight="1">
      <c r="A449" s="89"/>
      <c r="B449" s="89"/>
      <c r="C449" s="89"/>
      <c r="D449" s="89"/>
      <c r="E449" s="89"/>
      <c r="F449" s="89"/>
      <c r="G449" s="89"/>
      <c r="H449" s="89"/>
      <c r="I449" s="89"/>
      <c r="J449" s="89"/>
    </row>
    <row r="450" ht="15.75" customHeight="1">
      <c r="A450" s="89"/>
      <c r="B450" s="89"/>
      <c r="C450" s="89"/>
      <c r="D450" s="89"/>
      <c r="E450" s="89"/>
      <c r="F450" s="89"/>
      <c r="G450" s="89"/>
      <c r="H450" s="89"/>
      <c r="I450" s="89"/>
      <c r="J450" s="89"/>
    </row>
    <row r="451" ht="15.75" customHeight="1">
      <c r="A451" s="89"/>
      <c r="B451" s="89"/>
      <c r="C451" s="89"/>
      <c r="D451" s="89"/>
      <c r="E451" s="89"/>
      <c r="F451" s="89"/>
      <c r="G451" s="89"/>
      <c r="H451" s="89"/>
      <c r="I451" s="89"/>
      <c r="J451" s="89"/>
    </row>
    <row r="452" ht="15.75" customHeight="1">
      <c r="A452" s="89"/>
      <c r="B452" s="89"/>
      <c r="C452" s="89"/>
      <c r="D452" s="89"/>
      <c r="E452" s="89"/>
      <c r="F452" s="89"/>
      <c r="G452" s="89"/>
      <c r="H452" s="89"/>
      <c r="I452" s="89"/>
      <c r="J452" s="89"/>
    </row>
    <row r="453" ht="15.75" customHeight="1">
      <c r="A453" s="89"/>
      <c r="B453" s="89"/>
      <c r="C453" s="89"/>
      <c r="D453" s="89"/>
      <c r="E453" s="89"/>
      <c r="F453" s="89"/>
      <c r="G453" s="89"/>
      <c r="H453" s="89"/>
      <c r="I453" s="89"/>
      <c r="J453" s="89"/>
    </row>
    <row r="454" ht="15.75" customHeight="1">
      <c r="A454" s="89"/>
      <c r="B454" s="89"/>
      <c r="C454" s="89"/>
      <c r="D454" s="89"/>
      <c r="E454" s="89"/>
      <c r="F454" s="89"/>
      <c r="G454" s="89"/>
      <c r="H454" s="89"/>
      <c r="I454" s="89"/>
      <c r="J454" s="89"/>
    </row>
    <row r="455" ht="15.75" customHeight="1">
      <c r="A455" s="89"/>
      <c r="B455" s="89"/>
      <c r="C455" s="89"/>
      <c r="D455" s="89"/>
      <c r="E455" s="89"/>
      <c r="F455" s="89"/>
      <c r="G455" s="89"/>
      <c r="H455" s="89"/>
      <c r="I455" s="89"/>
      <c r="J455" s="89"/>
    </row>
    <row r="456" ht="15.75" customHeight="1">
      <c r="A456" s="89"/>
      <c r="B456" s="89"/>
      <c r="C456" s="89"/>
      <c r="D456" s="89"/>
      <c r="E456" s="89"/>
      <c r="F456" s="89"/>
      <c r="G456" s="89"/>
      <c r="H456" s="89"/>
      <c r="I456" s="89"/>
      <c r="J456" s="89"/>
    </row>
    <row r="457" ht="15.75" customHeight="1">
      <c r="A457" s="89"/>
      <c r="B457" s="89"/>
      <c r="C457" s="89"/>
      <c r="D457" s="89"/>
      <c r="E457" s="89"/>
      <c r="F457" s="89"/>
      <c r="G457" s="89"/>
      <c r="H457" s="89"/>
      <c r="I457" s="89"/>
      <c r="J457" s="89"/>
    </row>
    <row r="458" ht="15.75" customHeight="1">
      <c r="A458" s="89"/>
      <c r="B458" s="89"/>
      <c r="C458" s="89"/>
      <c r="D458" s="89"/>
      <c r="E458" s="89"/>
      <c r="F458" s="89"/>
      <c r="G458" s="89"/>
      <c r="H458" s="89"/>
      <c r="I458" s="89"/>
      <c r="J458" s="89"/>
    </row>
    <row r="459" ht="15.75" customHeight="1">
      <c r="A459" s="89"/>
      <c r="B459" s="89"/>
      <c r="C459" s="89"/>
      <c r="D459" s="89"/>
      <c r="E459" s="89"/>
      <c r="F459" s="89"/>
      <c r="G459" s="89"/>
      <c r="H459" s="89"/>
      <c r="I459" s="89"/>
      <c r="J459" s="89"/>
    </row>
    <row r="460" ht="15.75" customHeight="1">
      <c r="A460" s="89"/>
      <c r="B460" s="89"/>
      <c r="C460" s="89"/>
      <c r="D460" s="89"/>
      <c r="E460" s="89"/>
      <c r="F460" s="89"/>
      <c r="G460" s="89"/>
      <c r="H460" s="89"/>
      <c r="I460" s="89"/>
      <c r="J460" s="89"/>
    </row>
    <row r="461" ht="15.75" customHeight="1">
      <c r="A461" s="89"/>
      <c r="B461" s="89"/>
      <c r="C461" s="89"/>
      <c r="D461" s="89"/>
      <c r="E461" s="89"/>
      <c r="F461" s="89"/>
      <c r="G461" s="89"/>
      <c r="H461" s="89"/>
      <c r="I461" s="89"/>
      <c r="J461" s="89"/>
    </row>
    <row r="462" ht="15.75" customHeight="1">
      <c r="A462" s="89"/>
      <c r="B462" s="89"/>
      <c r="C462" s="89"/>
      <c r="D462" s="89"/>
      <c r="E462" s="89"/>
      <c r="F462" s="89"/>
      <c r="G462" s="89"/>
      <c r="H462" s="89"/>
      <c r="I462" s="89"/>
      <c r="J462" s="89"/>
    </row>
    <row r="463" ht="15.75" customHeight="1">
      <c r="A463" s="89"/>
      <c r="B463" s="89"/>
      <c r="C463" s="89"/>
      <c r="D463" s="89"/>
      <c r="E463" s="89"/>
      <c r="F463" s="89"/>
      <c r="G463" s="89"/>
      <c r="H463" s="89"/>
      <c r="I463" s="89"/>
      <c r="J463" s="89"/>
    </row>
    <row r="464" ht="15.75" customHeight="1">
      <c r="A464" s="89"/>
      <c r="B464" s="89"/>
      <c r="C464" s="89"/>
      <c r="D464" s="89"/>
      <c r="E464" s="89"/>
      <c r="F464" s="89"/>
      <c r="G464" s="89"/>
      <c r="H464" s="89"/>
      <c r="I464" s="89"/>
      <c r="J464" s="89"/>
    </row>
    <row r="465" ht="15.75" customHeight="1">
      <c r="A465" s="89"/>
      <c r="B465" s="89"/>
      <c r="C465" s="89"/>
      <c r="D465" s="89"/>
      <c r="E465" s="89"/>
      <c r="F465" s="89"/>
      <c r="G465" s="89"/>
      <c r="H465" s="89"/>
      <c r="I465" s="89"/>
      <c r="J465" s="89"/>
    </row>
    <row r="466" ht="15.75" customHeight="1">
      <c r="A466" s="89"/>
      <c r="B466" s="89"/>
      <c r="C466" s="89"/>
      <c r="D466" s="89"/>
      <c r="E466" s="89"/>
      <c r="F466" s="89"/>
      <c r="G466" s="89"/>
      <c r="H466" s="89"/>
      <c r="I466" s="89"/>
      <c r="J466" s="89"/>
    </row>
    <row r="467" ht="15.75" customHeight="1">
      <c r="A467" s="89"/>
      <c r="B467" s="89"/>
      <c r="C467" s="89"/>
      <c r="D467" s="89"/>
      <c r="E467" s="89"/>
      <c r="F467" s="89"/>
      <c r="G467" s="89"/>
      <c r="H467" s="89"/>
      <c r="I467" s="89"/>
      <c r="J467" s="89"/>
    </row>
    <row r="468" ht="15.75" customHeight="1">
      <c r="A468" s="89"/>
      <c r="B468" s="89"/>
      <c r="C468" s="89"/>
      <c r="D468" s="89"/>
      <c r="E468" s="89"/>
      <c r="F468" s="89"/>
      <c r="G468" s="89"/>
      <c r="H468" s="89"/>
      <c r="I468" s="89"/>
      <c r="J468" s="89"/>
    </row>
    <row r="469" ht="15.75" customHeight="1">
      <c r="A469" s="89"/>
      <c r="B469" s="89"/>
      <c r="C469" s="89"/>
      <c r="D469" s="89"/>
      <c r="E469" s="89"/>
      <c r="F469" s="89"/>
      <c r="G469" s="89"/>
      <c r="H469" s="89"/>
      <c r="I469" s="89"/>
      <c r="J469" s="89"/>
    </row>
    <row r="470" ht="15.75" customHeight="1">
      <c r="A470" s="89"/>
      <c r="B470" s="89"/>
      <c r="C470" s="89"/>
      <c r="D470" s="89"/>
      <c r="E470" s="89"/>
      <c r="F470" s="89"/>
      <c r="G470" s="89"/>
      <c r="H470" s="89"/>
      <c r="I470" s="89"/>
      <c r="J470" s="89"/>
    </row>
    <row r="471" ht="15.75" customHeight="1">
      <c r="A471" s="89"/>
      <c r="B471" s="89"/>
      <c r="C471" s="89"/>
      <c r="D471" s="89"/>
      <c r="E471" s="89"/>
      <c r="F471" s="89"/>
      <c r="G471" s="89"/>
      <c r="H471" s="89"/>
      <c r="I471" s="89"/>
      <c r="J471" s="89"/>
    </row>
    <row r="472" ht="15.75" customHeight="1">
      <c r="A472" s="89"/>
      <c r="B472" s="89"/>
      <c r="C472" s="89"/>
      <c r="D472" s="89"/>
      <c r="E472" s="89"/>
      <c r="F472" s="89"/>
      <c r="G472" s="89"/>
      <c r="H472" s="89"/>
      <c r="I472" s="89"/>
      <c r="J472" s="89"/>
    </row>
    <row r="473" ht="15.75" customHeight="1">
      <c r="A473" s="89"/>
      <c r="B473" s="89"/>
      <c r="C473" s="89"/>
      <c r="D473" s="89"/>
      <c r="E473" s="89"/>
      <c r="F473" s="89"/>
      <c r="G473" s="89"/>
      <c r="H473" s="89"/>
      <c r="I473" s="89"/>
      <c r="J473" s="89"/>
    </row>
    <row r="474" ht="15.75" customHeight="1">
      <c r="A474" s="89"/>
      <c r="B474" s="89"/>
      <c r="C474" s="89"/>
      <c r="D474" s="89"/>
      <c r="E474" s="89"/>
      <c r="F474" s="89"/>
      <c r="G474" s="89"/>
      <c r="H474" s="89"/>
      <c r="I474" s="89"/>
      <c r="J474" s="89"/>
    </row>
    <row r="475" ht="15.75" customHeight="1">
      <c r="A475" s="89"/>
      <c r="B475" s="89"/>
      <c r="C475" s="89"/>
      <c r="D475" s="89"/>
      <c r="E475" s="89"/>
      <c r="F475" s="89"/>
      <c r="G475" s="89"/>
      <c r="H475" s="89"/>
      <c r="I475" s="89"/>
      <c r="J475" s="89"/>
    </row>
    <row r="476" ht="15.75" customHeight="1">
      <c r="A476" s="89"/>
      <c r="B476" s="89"/>
      <c r="C476" s="89"/>
      <c r="D476" s="89"/>
      <c r="E476" s="89"/>
      <c r="F476" s="89"/>
      <c r="G476" s="89"/>
      <c r="H476" s="89"/>
      <c r="I476" s="89"/>
      <c r="J476" s="89"/>
    </row>
    <row r="477" ht="15.75" customHeight="1">
      <c r="A477" s="89"/>
      <c r="B477" s="89"/>
      <c r="C477" s="89"/>
      <c r="D477" s="89"/>
      <c r="E477" s="89"/>
      <c r="F477" s="89"/>
      <c r="G477" s="89"/>
      <c r="H477" s="89"/>
      <c r="I477" s="89"/>
      <c r="J477" s="89"/>
    </row>
    <row r="478" ht="15.75" customHeight="1">
      <c r="A478" s="89"/>
      <c r="B478" s="89"/>
      <c r="C478" s="89"/>
      <c r="D478" s="89"/>
      <c r="E478" s="89"/>
      <c r="F478" s="89"/>
      <c r="G478" s="89"/>
      <c r="H478" s="89"/>
      <c r="I478" s="89"/>
      <c r="J478" s="89"/>
    </row>
    <row r="479" ht="15.75" customHeight="1">
      <c r="A479" s="89"/>
      <c r="B479" s="89"/>
      <c r="C479" s="89"/>
      <c r="D479" s="89"/>
      <c r="E479" s="89"/>
      <c r="F479" s="89"/>
      <c r="G479" s="89"/>
      <c r="H479" s="89"/>
      <c r="I479" s="89"/>
      <c r="J479" s="89"/>
    </row>
    <row r="480" ht="15.75" customHeight="1">
      <c r="A480" s="89"/>
      <c r="B480" s="89"/>
      <c r="C480" s="89"/>
      <c r="D480" s="89"/>
      <c r="E480" s="89"/>
      <c r="F480" s="89"/>
      <c r="G480" s="89"/>
      <c r="H480" s="89"/>
      <c r="I480" s="89"/>
      <c r="J480" s="89"/>
    </row>
    <row r="481" ht="15.75" customHeight="1">
      <c r="A481" s="89"/>
      <c r="B481" s="89"/>
      <c r="C481" s="89"/>
      <c r="D481" s="89"/>
      <c r="E481" s="89"/>
      <c r="F481" s="89"/>
      <c r="G481" s="89"/>
      <c r="H481" s="89"/>
      <c r="I481" s="89"/>
      <c r="J481" s="89"/>
    </row>
    <row r="482" ht="15.75" customHeight="1">
      <c r="A482" s="89"/>
      <c r="B482" s="89"/>
      <c r="C482" s="89"/>
      <c r="D482" s="89"/>
      <c r="E482" s="89"/>
      <c r="F482" s="89"/>
      <c r="G482" s="89"/>
      <c r="H482" s="89"/>
      <c r="I482" s="89"/>
      <c r="J482" s="89"/>
    </row>
    <row r="483" ht="15.75" customHeight="1">
      <c r="A483" s="89"/>
      <c r="B483" s="89"/>
      <c r="C483" s="89"/>
      <c r="D483" s="89"/>
      <c r="E483" s="89"/>
      <c r="F483" s="89"/>
      <c r="G483" s="89"/>
      <c r="H483" s="89"/>
      <c r="I483" s="89"/>
      <c r="J483" s="89"/>
    </row>
    <row r="484" ht="15.75" customHeight="1">
      <c r="A484" s="89"/>
      <c r="B484" s="89"/>
      <c r="C484" s="89"/>
      <c r="D484" s="89"/>
      <c r="E484" s="89"/>
      <c r="F484" s="89"/>
      <c r="G484" s="89"/>
      <c r="H484" s="89"/>
      <c r="I484" s="89"/>
      <c r="J484" s="89"/>
    </row>
    <row r="485" ht="15.75" customHeight="1">
      <c r="A485" s="89"/>
      <c r="B485" s="89"/>
      <c r="C485" s="89"/>
      <c r="D485" s="89"/>
      <c r="E485" s="89"/>
      <c r="F485" s="89"/>
      <c r="G485" s="89"/>
      <c r="H485" s="89"/>
      <c r="I485" s="89"/>
      <c r="J485" s="89"/>
    </row>
    <row r="486" ht="15.75" customHeight="1">
      <c r="A486" s="89"/>
      <c r="B486" s="89"/>
      <c r="C486" s="89"/>
      <c r="D486" s="89"/>
      <c r="E486" s="89"/>
      <c r="F486" s="89"/>
      <c r="G486" s="89"/>
      <c r="H486" s="89"/>
      <c r="I486" s="89"/>
      <c r="J486" s="89"/>
    </row>
    <row r="487" ht="15.75" customHeight="1">
      <c r="A487" s="89"/>
      <c r="B487" s="89"/>
      <c r="C487" s="89"/>
      <c r="D487" s="89"/>
      <c r="E487" s="89"/>
      <c r="F487" s="89"/>
      <c r="G487" s="89"/>
      <c r="H487" s="89"/>
      <c r="I487" s="89"/>
      <c r="J487" s="89"/>
    </row>
    <row r="488" ht="15.75" customHeight="1">
      <c r="A488" s="89"/>
      <c r="B488" s="89"/>
      <c r="C488" s="89"/>
      <c r="D488" s="89"/>
      <c r="E488" s="89"/>
      <c r="F488" s="89"/>
      <c r="G488" s="89"/>
      <c r="H488" s="89"/>
      <c r="I488" s="89"/>
      <c r="J488" s="89"/>
    </row>
    <row r="489" ht="15.75" customHeight="1">
      <c r="A489" s="89"/>
      <c r="B489" s="89"/>
      <c r="C489" s="89"/>
      <c r="D489" s="89"/>
      <c r="E489" s="89"/>
      <c r="F489" s="89"/>
      <c r="G489" s="89"/>
      <c r="H489" s="89"/>
      <c r="I489" s="89"/>
      <c r="J489" s="89"/>
    </row>
    <row r="490" ht="15.75" customHeight="1">
      <c r="A490" s="89"/>
      <c r="B490" s="89"/>
      <c r="C490" s="89"/>
      <c r="D490" s="89"/>
      <c r="E490" s="89"/>
      <c r="F490" s="89"/>
      <c r="G490" s="89"/>
      <c r="H490" s="89"/>
      <c r="I490" s="89"/>
      <c r="J490" s="89"/>
    </row>
    <row r="491" ht="15.75" customHeight="1">
      <c r="A491" s="89"/>
      <c r="B491" s="89"/>
      <c r="C491" s="89"/>
      <c r="D491" s="89"/>
      <c r="E491" s="89"/>
      <c r="F491" s="89"/>
      <c r="G491" s="89"/>
      <c r="H491" s="89"/>
      <c r="I491" s="89"/>
      <c r="J491" s="89"/>
    </row>
    <row r="492" ht="15.75" customHeight="1">
      <c r="A492" s="89"/>
      <c r="B492" s="89"/>
      <c r="C492" s="89"/>
      <c r="D492" s="89"/>
      <c r="E492" s="89"/>
      <c r="F492" s="89"/>
      <c r="G492" s="89"/>
      <c r="H492" s="89"/>
      <c r="I492" s="89"/>
      <c r="J492" s="89"/>
    </row>
    <row r="493" ht="15.75" customHeight="1">
      <c r="A493" s="89"/>
      <c r="B493" s="89"/>
      <c r="C493" s="89"/>
      <c r="D493" s="89"/>
      <c r="E493" s="89"/>
      <c r="F493" s="89"/>
      <c r="G493" s="89"/>
      <c r="H493" s="89"/>
      <c r="I493" s="89"/>
      <c r="J493" s="89"/>
    </row>
    <row r="494" ht="15.75" customHeight="1">
      <c r="A494" s="89"/>
      <c r="B494" s="89"/>
      <c r="C494" s="89"/>
      <c r="D494" s="89"/>
      <c r="E494" s="89"/>
      <c r="F494" s="89"/>
      <c r="G494" s="89"/>
      <c r="H494" s="89"/>
      <c r="I494" s="89"/>
      <c r="J494" s="89"/>
    </row>
    <row r="495" ht="15.75" customHeight="1">
      <c r="A495" s="89"/>
      <c r="B495" s="89"/>
      <c r="C495" s="89"/>
      <c r="D495" s="89"/>
      <c r="E495" s="89"/>
      <c r="F495" s="89"/>
      <c r="G495" s="89"/>
      <c r="H495" s="89"/>
      <c r="I495" s="89"/>
      <c r="J495" s="89"/>
    </row>
    <row r="496" ht="15.75" customHeight="1">
      <c r="A496" s="89"/>
      <c r="B496" s="89"/>
      <c r="C496" s="89"/>
      <c r="D496" s="89"/>
      <c r="E496" s="89"/>
      <c r="F496" s="89"/>
      <c r="G496" s="89"/>
      <c r="H496" s="89"/>
      <c r="I496" s="89"/>
      <c r="J496" s="89"/>
    </row>
    <row r="497" ht="15.75" customHeight="1">
      <c r="A497" s="89"/>
      <c r="B497" s="89"/>
      <c r="C497" s="89"/>
      <c r="D497" s="89"/>
      <c r="E497" s="89"/>
      <c r="F497" s="89"/>
      <c r="G497" s="89"/>
      <c r="H497" s="89"/>
      <c r="I497" s="89"/>
      <c r="J497" s="89"/>
    </row>
    <row r="498" ht="15.75" customHeight="1">
      <c r="A498" s="89"/>
      <c r="B498" s="89"/>
      <c r="C498" s="89"/>
      <c r="D498" s="89"/>
      <c r="E498" s="89"/>
      <c r="F498" s="89"/>
      <c r="G498" s="89"/>
      <c r="H498" s="89"/>
      <c r="I498" s="89"/>
      <c r="J498" s="89"/>
    </row>
    <row r="499" ht="15.75" customHeight="1">
      <c r="A499" s="89"/>
      <c r="B499" s="89"/>
      <c r="C499" s="89"/>
      <c r="D499" s="89"/>
      <c r="E499" s="89"/>
      <c r="F499" s="89"/>
      <c r="G499" s="89"/>
      <c r="H499" s="89"/>
      <c r="I499" s="89"/>
      <c r="J499" s="89"/>
    </row>
    <row r="500" ht="15.75" customHeight="1">
      <c r="A500" s="89"/>
      <c r="B500" s="89"/>
      <c r="C500" s="89"/>
      <c r="D500" s="89"/>
      <c r="E500" s="89"/>
      <c r="F500" s="89"/>
      <c r="G500" s="89"/>
      <c r="H500" s="89"/>
      <c r="I500" s="89"/>
      <c r="J500" s="89"/>
    </row>
    <row r="501" ht="15.75" customHeight="1">
      <c r="A501" s="89"/>
      <c r="B501" s="89"/>
      <c r="C501" s="89"/>
      <c r="D501" s="89"/>
      <c r="E501" s="89"/>
      <c r="F501" s="89"/>
      <c r="G501" s="89"/>
      <c r="H501" s="89"/>
      <c r="I501" s="89"/>
      <c r="J501" s="89"/>
    </row>
    <row r="502" ht="15.75" customHeight="1">
      <c r="A502" s="89"/>
      <c r="B502" s="89"/>
      <c r="C502" s="89"/>
      <c r="D502" s="89"/>
      <c r="E502" s="89"/>
      <c r="F502" s="89"/>
      <c r="G502" s="89"/>
      <c r="H502" s="89"/>
      <c r="I502" s="89"/>
      <c r="J502" s="89"/>
    </row>
    <row r="503" ht="15.75" customHeight="1">
      <c r="A503" s="89"/>
      <c r="B503" s="89"/>
      <c r="C503" s="89"/>
      <c r="D503" s="89"/>
      <c r="E503" s="89"/>
      <c r="F503" s="89"/>
      <c r="G503" s="89"/>
      <c r="H503" s="89"/>
      <c r="I503" s="89"/>
      <c r="J503" s="89"/>
    </row>
    <row r="504" ht="15.75" customHeight="1">
      <c r="A504" s="89"/>
      <c r="B504" s="89"/>
      <c r="C504" s="89"/>
      <c r="D504" s="89"/>
      <c r="E504" s="89"/>
      <c r="F504" s="89"/>
      <c r="G504" s="89"/>
      <c r="H504" s="89"/>
      <c r="I504" s="89"/>
      <c r="J504" s="89"/>
    </row>
    <row r="505" ht="15.75" customHeight="1">
      <c r="A505" s="89"/>
      <c r="B505" s="89"/>
      <c r="C505" s="89"/>
      <c r="D505" s="89"/>
      <c r="E505" s="89"/>
      <c r="F505" s="89"/>
      <c r="G505" s="89"/>
      <c r="H505" s="89"/>
      <c r="I505" s="89"/>
      <c r="J505" s="89"/>
    </row>
    <row r="506" ht="15.75" customHeight="1">
      <c r="A506" s="89"/>
      <c r="B506" s="89"/>
      <c r="C506" s="89"/>
      <c r="D506" s="89"/>
      <c r="E506" s="89"/>
      <c r="F506" s="89"/>
      <c r="G506" s="89"/>
      <c r="H506" s="89"/>
      <c r="I506" s="89"/>
      <c r="J506" s="89"/>
    </row>
    <row r="507" ht="15.75" customHeight="1">
      <c r="A507" s="89"/>
      <c r="B507" s="89"/>
      <c r="C507" s="89"/>
      <c r="D507" s="89"/>
      <c r="E507" s="89"/>
      <c r="F507" s="89"/>
      <c r="G507" s="89"/>
      <c r="H507" s="89"/>
      <c r="I507" s="89"/>
      <c r="J507" s="89"/>
    </row>
    <row r="508" ht="15.75" customHeight="1">
      <c r="A508" s="89"/>
      <c r="B508" s="89"/>
      <c r="C508" s="89"/>
      <c r="D508" s="89"/>
      <c r="E508" s="89"/>
      <c r="F508" s="89"/>
      <c r="G508" s="89"/>
      <c r="H508" s="89"/>
      <c r="I508" s="89"/>
      <c r="J508" s="89"/>
    </row>
    <row r="509" ht="15.75" customHeight="1">
      <c r="A509" s="89"/>
      <c r="B509" s="89"/>
      <c r="C509" s="89"/>
      <c r="D509" s="89"/>
      <c r="E509" s="89"/>
      <c r="F509" s="89"/>
      <c r="G509" s="89"/>
      <c r="H509" s="89"/>
      <c r="I509" s="89"/>
      <c r="J509" s="89"/>
    </row>
    <row r="510" ht="15.75" customHeight="1">
      <c r="A510" s="89"/>
      <c r="B510" s="89"/>
      <c r="C510" s="89"/>
      <c r="D510" s="89"/>
      <c r="E510" s="89"/>
      <c r="F510" s="89"/>
      <c r="G510" s="89"/>
      <c r="H510" s="89"/>
      <c r="I510" s="89"/>
      <c r="J510" s="89"/>
    </row>
    <row r="511" ht="15.75" customHeight="1">
      <c r="A511" s="89"/>
      <c r="B511" s="89"/>
      <c r="C511" s="89"/>
      <c r="D511" s="89"/>
      <c r="E511" s="89"/>
      <c r="F511" s="89"/>
      <c r="G511" s="89"/>
      <c r="H511" s="89"/>
      <c r="I511" s="89"/>
      <c r="J511" s="89"/>
    </row>
    <row r="512" ht="15.75" customHeight="1">
      <c r="A512" s="89"/>
      <c r="B512" s="89"/>
      <c r="C512" s="89"/>
      <c r="D512" s="89"/>
      <c r="E512" s="89"/>
      <c r="F512" s="89"/>
      <c r="G512" s="89"/>
      <c r="H512" s="89"/>
      <c r="I512" s="89"/>
      <c r="J512" s="89"/>
    </row>
    <row r="513" ht="15.75" customHeight="1">
      <c r="A513" s="89"/>
      <c r="B513" s="89"/>
      <c r="C513" s="89"/>
      <c r="D513" s="89"/>
      <c r="E513" s="89"/>
      <c r="F513" s="89"/>
      <c r="G513" s="89"/>
      <c r="H513" s="89"/>
      <c r="I513" s="89"/>
      <c r="J513" s="89"/>
    </row>
    <row r="514" ht="15.75" customHeight="1">
      <c r="A514" s="89"/>
      <c r="B514" s="89"/>
      <c r="C514" s="89"/>
      <c r="D514" s="89"/>
      <c r="E514" s="89"/>
      <c r="F514" s="89"/>
      <c r="G514" s="89"/>
      <c r="H514" s="89"/>
      <c r="I514" s="89"/>
      <c r="J514" s="89"/>
    </row>
    <row r="515" ht="15.75" customHeight="1">
      <c r="A515" s="89"/>
      <c r="B515" s="89"/>
      <c r="C515" s="89"/>
      <c r="D515" s="89"/>
      <c r="E515" s="89"/>
      <c r="F515" s="89"/>
      <c r="G515" s="89"/>
      <c r="H515" s="89"/>
      <c r="I515" s="89"/>
      <c r="J515" s="89"/>
    </row>
    <row r="516" ht="15.75" customHeight="1">
      <c r="A516" s="89"/>
      <c r="B516" s="89"/>
      <c r="C516" s="89"/>
      <c r="D516" s="89"/>
      <c r="E516" s="89"/>
      <c r="F516" s="89"/>
      <c r="G516" s="89"/>
      <c r="H516" s="89"/>
      <c r="I516" s="89"/>
      <c r="J516" s="89"/>
    </row>
    <row r="517" ht="15.75" customHeight="1">
      <c r="A517" s="89"/>
      <c r="B517" s="89"/>
      <c r="C517" s="89"/>
      <c r="D517" s="89"/>
      <c r="E517" s="89"/>
      <c r="F517" s="89"/>
      <c r="G517" s="89"/>
      <c r="H517" s="89"/>
      <c r="I517" s="89"/>
      <c r="J517" s="89"/>
    </row>
    <row r="518" ht="15.75" customHeight="1">
      <c r="A518" s="89"/>
      <c r="B518" s="89"/>
      <c r="C518" s="89"/>
      <c r="D518" s="89"/>
      <c r="E518" s="89"/>
      <c r="F518" s="89"/>
      <c r="G518" s="89"/>
      <c r="H518" s="89"/>
      <c r="I518" s="89"/>
      <c r="J518" s="89"/>
    </row>
    <row r="519" ht="15.75" customHeight="1">
      <c r="A519" s="89"/>
      <c r="B519" s="89"/>
      <c r="C519" s="89"/>
      <c r="D519" s="89"/>
      <c r="E519" s="89"/>
      <c r="F519" s="89"/>
      <c r="G519" s="89"/>
      <c r="H519" s="89"/>
      <c r="I519" s="89"/>
      <c r="J519" s="89"/>
    </row>
    <row r="520" ht="15.75" customHeight="1">
      <c r="A520" s="89"/>
      <c r="B520" s="89"/>
      <c r="C520" s="89"/>
      <c r="D520" s="89"/>
      <c r="E520" s="89"/>
      <c r="F520" s="89"/>
      <c r="G520" s="89"/>
      <c r="H520" s="89"/>
      <c r="I520" s="89"/>
      <c r="J520" s="89"/>
    </row>
    <row r="521" ht="15.75" customHeight="1">
      <c r="A521" s="89"/>
      <c r="B521" s="89"/>
      <c r="C521" s="89"/>
      <c r="D521" s="89"/>
      <c r="E521" s="89"/>
      <c r="F521" s="89"/>
      <c r="G521" s="89"/>
      <c r="H521" s="89"/>
      <c r="I521" s="89"/>
      <c r="J521" s="89"/>
    </row>
    <row r="522" ht="15.75" customHeight="1">
      <c r="A522" s="89"/>
      <c r="B522" s="89"/>
      <c r="C522" s="89"/>
      <c r="D522" s="89"/>
      <c r="E522" s="89"/>
      <c r="F522" s="89"/>
      <c r="G522" s="89"/>
      <c r="H522" s="89"/>
      <c r="I522" s="89"/>
      <c r="J522" s="89"/>
    </row>
    <row r="523" ht="15.75" customHeight="1">
      <c r="A523" s="89"/>
      <c r="B523" s="89"/>
      <c r="C523" s="89"/>
      <c r="D523" s="89"/>
      <c r="E523" s="89"/>
      <c r="F523" s="89"/>
      <c r="G523" s="89"/>
      <c r="H523" s="89"/>
      <c r="I523" s="89"/>
      <c r="J523" s="89"/>
    </row>
    <row r="524" ht="15.75" customHeight="1">
      <c r="A524" s="89"/>
      <c r="B524" s="89"/>
      <c r="C524" s="89"/>
      <c r="D524" s="89"/>
      <c r="E524" s="89"/>
      <c r="F524" s="89"/>
      <c r="G524" s="89"/>
      <c r="H524" s="89"/>
      <c r="I524" s="89"/>
      <c r="J524" s="89"/>
    </row>
    <row r="525" ht="15.75" customHeight="1">
      <c r="A525" s="89"/>
      <c r="B525" s="89"/>
      <c r="C525" s="89"/>
      <c r="D525" s="89"/>
      <c r="E525" s="89"/>
      <c r="F525" s="89"/>
      <c r="G525" s="89"/>
      <c r="H525" s="89"/>
      <c r="I525" s="89"/>
      <c r="J525" s="89"/>
    </row>
    <row r="526" ht="15.75" customHeight="1">
      <c r="A526" s="89"/>
      <c r="B526" s="89"/>
      <c r="C526" s="89"/>
      <c r="D526" s="89"/>
      <c r="E526" s="89"/>
      <c r="F526" s="89"/>
      <c r="G526" s="89"/>
      <c r="H526" s="89"/>
      <c r="I526" s="89"/>
      <c r="J526" s="89"/>
    </row>
    <row r="527" ht="15.75" customHeight="1">
      <c r="A527" s="89"/>
      <c r="B527" s="89"/>
      <c r="C527" s="89"/>
      <c r="D527" s="89"/>
      <c r="E527" s="89"/>
      <c r="F527" s="89"/>
      <c r="G527" s="89"/>
      <c r="H527" s="89"/>
      <c r="I527" s="89"/>
      <c r="J527" s="89"/>
    </row>
    <row r="528" ht="15.75" customHeight="1">
      <c r="A528" s="89"/>
      <c r="B528" s="89"/>
      <c r="C528" s="89"/>
      <c r="D528" s="89"/>
      <c r="E528" s="89"/>
      <c r="F528" s="89"/>
      <c r="G528" s="89"/>
      <c r="H528" s="89"/>
      <c r="I528" s="89"/>
      <c r="J528" s="89"/>
    </row>
    <row r="529" ht="15.75" customHeight="1">
      <c r="A529" s="89"/>
      <c r="B529" s="89"/>
      <c r="C529" s="89"/>
      <c r="D529" s="89"/>
      <c r="E529" s="89"/>
      <c r="F529" s="89"/>
      <c r="G529" s="89"/>
      <c r="H529" s="89"/>
      <c r="I529" s="89"/>
      <c r="J529" s="89"/>
    </row>
    <row r="530" ht="15.75" customHeight="1">
      <c r="A530" s="89"/>
      <c r="B530" s="89"/>
      <c r="C530" s="89"/>
      <c r="D530" s="89"/>
      <c r="E530" s="89"/>
      <c r="F530" s="89"/>
      <c r="G530" s="89"/>
      <c r="H530" s="89"/>
      <c r="I530" s="89"/>
      <c r="J530" s="89"/>
    </row>
    <row r="531" ht="15.75" customHeight="1">
      <c r="A531" s="89"/>
      <c r="B531" s="89"/>
      <c r="C531" s="89"/>
      <c r="D531" s="89"/>
      <c r="E531" s="89"/>
      <c r="F531" s="89"/>
      <c r="G531" s="89"/>
      <c r="H531" s="89"/>
      <c r="I531" s="89"/>
      <c r="J531" s="89"/>
    </row>
    <row r="532" ht="15.75" customHeight="1">
      <c r="A532" s="89"/>
      <c r="B532" s="89"/>
      <c r="C532" s="89"/>
      <c r="D532" s="89"/>
      <c r="E532" s="89"/>
      <c r="F532" s="89"/>
      <c r="G532" s="89"/>
      <c r="H532" s="89"/>
      <c r="I532" s="89"/>
      <c r="J532" s="89"/>
    </row>
    <row r="533" ht="15.75" customHeight="1">
      <c r="A533" s="89"/>
      <c r="B533" s="89"/>
      <c r="C533" s="89"/>
      <c r="D533" s="89"/>
      <c r="E533" s="89"/>
      <c r="F533" s="89"/>
      <c r="G533" s="89"/>
      <c r="H533" s="89"/>
      <c r="I533" s="89"/>
      <c r="J533" s="89"/>
    </row>
    <row r="534" ht="15.75" customHeight="1">
      <c r="A534" s="89"/>
      <c r="B534" s="89"/>
      <c r="C534" s="89"/>
      <c r="D534" s="89"/>
      <c r="E534" s="89"/>
      <c r="F534" s="89"/>
      <c r="G534" s="89"/>
      <c r="H534" s="89"/>
      <c r="I534" s="89"/>
      <c r="J534" s="89"/>
    </row>
    <row r="535" ht="15.75" customHeight="1">
      <c r="A535" s="89"/>
      <c r="B535" s="89"/>
      <c r="C535" s="89"/>
      <c r="D535" s="89"/>
      <c r="E535" s="89"/>
      <c r="F535" s="89"/>
      <c r="G535" s="89"/>
      <c r="H535" s="89"/>
      <c r="I535" s="89"/>
      <c r="J535" s="89"/>
    </row>
    <row r="536" ht="15.75" customHeight="1">
      <c r="A536" s="89"/>
      <c r="B536" s="89"/>
      <c r="C536" s="89"/>
      <c r="D536" s="89"/>
      <c r="E536" s="89"/>
      <c r="F536" s="89"/>
      <c r="G536" s="89"/>
      <c r="H536" s="89"/>
      <c r="I536" s="89"/>
      <c r="J536" s="89"/>
    </row>
    <row r="537" ht="15.75" customHeight="1">
      <c r="A537" s="89"/>
      <c r="B537" s="89"/>
      <c r="C537" s="89"/>
      <c r="D537" s="89"/>
      <c r="E537" s="89"/>
      <c r="F537" s="89"/>
      <c r="G537" s="89"/>
      <c r="H537" s="89"/>
      <c r="I537" s="89"/>
      <c r="J537" s="89"/>
    </row>
    <row r="538" ht="15.75" customHeight="1">
      <c r="A538" s="89"/>
      <c r="B538" s="89"/>
      <c r="C538" s="89"/>
      <c r="D538" s="89"/>
      <c r="E538" s="89"/>
      <c r="F538" s="89"/>
      <c r="G538" s="89"/>
      <c r="H538" s="89"/>
      <c r="I538" s="89"/>
      <c r="J538" s="89"/>
    </row>
    <row r="539" ht="15.75" customHeight="1">
      <c r="A539" s="89"/>
      <c r="B539" s="89"/>
      <c r="C539" s="89"/>
      <c r="D539" s="89"/>
      <c r="E539" s="89"/>
      <c r="F539" s="89"/>
      <c r="G539" s="89"/>
      <c r="H539" s="89"/>
      <c r="I539" s="89"/>
      <c r="J539" s="89"/>
    </row>
    <row r="540" ht="15.75" customHeight="1">
      <c r="A540" s="89"/>
      <c r="B540" s="89"/>
      <c r="C540" s="89"/>
      <c r="D540" s="89"/>
      <c r="E540" s="89"/>
      <c r="F540" s="89"/>
      <c r="G540" s="89"/>
      <c r="H540" s="89"/>
      <c r="I540" s="89"/>
      <c r="J540" s="89"/>
    </row>
    <row r="541" ht="15.75" customHeight="1">
      <c r="A541" s="89"/>
      <c r="B541" s="89"/>
      <c r="C541" s="89"/>
      <c r="D541" s="89"/>
      <c r="E541" s="89"/>
      <c r="F541" s="89"/>
      <c r="G541" s="89"/>
      <c r="H541" s="89"/>
      <c r="I541" s="89"/>
      <c r="J541" s="89"/>
    </row>
    <row r="542" ht="15.75" customHeight="1">
      <c r="A542" s="89"/>
      <c r="B542" s="89"/>
      <c r="C542" s="89"/>
      <c r="D542" s="89"/>
      <c r="E542" s="89"/>
      <c r="F542" s="89"/>
      <c r="G542" s="89"/>
      <c r="H542" s="89"/>
      <c r="I542" s="89"/>
      <c r="J542" s="89"/>
    </row>
    <row r="543" ht="15.75" customHeight="1">
      <c r="A543" s="89"/>
      <c r="B543" s="89"/>
      <c r="C543" s="89"/>
      <c r="D543" s="89"/>
      <c r="E543" s="89"/>
      <c r="F543" s="89"/>
      <c r="G543" s="89"/>
      <c r="H543" s="89"/>
      <c r="I543" s="89"/>
      <c r="J543" s="89"/>
    </row>
    <row r="544" ht="15.75" customHeight="1">
      <c r="A544" s="89"/>
      <c r="B544" s="89"/>
      <c r="C544" s="89"/>
      <c r="D544" s="89"/>
      <c r="E544" s="89"/>
      <c r="F544" s="89"/>
      <c r="G544" s="89"/>
      <c r="H544" s="89"/>
      <c r="I544" s="89"/>
      <c r="J544" s="89"/>
    </row>
    <row r="545" ht="15.75" customHeight="1">
      <c r="A545" s="89"/>
      <c r="B545" s="89"/>
      <c r="C545" s="89"/>
      <c r="D545" s="89"/>
      <c r="E545" s="89"/>
      <c r="F545" s="89"/>
      <c r="G545" s="89"/>
      <c r="H545" s="89"/>
      <c r="I545" s="89"/>
      <c r="J545" s="89"/>
    </row>
    <row r="546" ht="15.75" customHeight="1">
      <c r="A546" s="89"/>
      <c r="B546" s="89"/>
      <c r="C546" s="89"/>
      <c r="D546" s="89"/>
      <c r="E546" s="89"/>
      <c r="F546" s="89"/>
      <c r="G546" s="89"/>
      <c r="H546" s="89"/>
      <c r="I546" s="89"/>
      <c r="J546" s="89"/>
    </row>
    <row r="547" ht="15.75" customHeight="1">
      <c r="A547" s="89"/>
      <c r="B547" s="89"/>
      <c r="C547" s="89"/>
      <c r="D547" s="89"/>
      <c r="E547" s="89"/>
      <c r="F547" s="89"/>
      <c r="G547" s="89"/>
      <c r="H547" s="89"/>
      <c r="I547" s="89"/>
      <c r="J547" s="89"/>
    </row>
    <row r="548" ht="15.75" customHeight="1">
      <c r="A548" s="89"/>
      <c r="B548" s="89"/>
      <c r="C548" s="89"/>
      <c r="D548" s="89"/>
      <c r="E548" s="89"/>
      <c r="F548" s="89"/>
      <c r="G548" s="89"/>
      <c r="H548" s="89"/>
      <c r="I548" s="89"/>
      <c r="J548" s="89"/>
    </row>
    <row r="549" ht="15.75" customHeight="1">
      <c r="A549" s="89"/>
      <c r="B549" s="89"/>
      <c r="C549" s="89"/>
      <c r="D549" s="89"/>
      <c r="E549" s="89"/>
      <c r="F549" s="89"/>
      <c r="G549" s="89"/>
      <c r="H549" s="89"/>
      <c r="I549" s="89"/>
      <c r="J549" s="89"/>
    </row>
    <row r="550" ht="15.75" customHeight="1">
      <c r="A550" s="89"/>
      <c r="B550" s="89"/>
      <c r="C550" s="89"/>
      <c r="D550" s="89"/>
      <c r="E550" s="89"/>
      <c r="F550" s="89"/>
      <c r="G550" s="89"/>
      <c r="H550" s="89"/>
      <c r="I550" s="89"/>
      <c r="J550" s="89"/>
    </row>
    <row r="551" ht="15.75" customHeight="1">
      <c r="A551" s="89"/>
      <c r="B551" s="89"/>
      <c r="C551" s="89"/>
      <c r="D551" s="89"/>
      <c r="E551" s="89"/>
      <c r="F551" s="89"/>
      <c r="G551" s="89"/>
      <c r="H551" s="89"/>
      <c r="I551" s="89"/>
      <c r="J551" s="89"/>
    </row>
    <row r="552" ht="15.75" customHeight="1">
      <c r="A552" s="89"/>
      <c r="B552" s="89"/>
      <c r="C552" s="89"/>
      <c r="D552" s="89"/>
      <c r="E552" s="89"/>
      <c r="F552" s="89"/>
      <c r="G552" s="89"/>
      <c r="H552" s="89"/>
      <c r="I552" s="89"/>
      <c r="J552" s="89"/>
    </row>
    <row r="553" ht="15.75" customHeight="1">
      <c r="A553" s="89"/>
      <c r="B553" s="89"/>
      <c r="C553" s="89"/>
      <c r="D553" s="89"/>
      <c r="E553" s="89"/>
      <c r="F553" s="89"/>
      <c r="G553" s="89"/>
      <c r="H553" s="89"/>
      <c r="I553" s="89"/>
      <c r="J553" s="89"/>
    </row>
    <row r="554" ht="15.75" customHeight="1">
      <c r="A554" s="89"/>
      <c r="B554" s="89"/>
      <c r="C554" s="89"/>
      <c r="D554" s="89"/>
      <c r="E554" s="89"/>
      <c r="F554" s="89"/>
      <c r="G554" s="89"/>
      <c r="H554" s="89"/>
      <c r="I554" s="89"/>
      <c r="J554" s="89"/>
    </row>
    <row r="555" ht="15.75" customHeight="1">
      <c r="A555" s="89"/>
      <c r="B555" s="89"/>
      <c r="C555" s="89"/>
      <c r="D555" s="89"/>
      <c r="E555" s="89"/>
      <c r="F555" s="89"/>
      <c r="G555" s="89"/>
      <c r="H555" s="89"/>
      <c r="I555" s="89"/>
      <c r="J555" s="89"/>
    </row>
    <row r="556" ht="15.75" customHeight="1">
      <c r="A556" s="89"/>
      <c r="B556" s="89"/>
      <c r="C556" s="89"/>
      <c r="D556" s="89"/>
      <c r="E556" s="89"/>
      <c r="F556" s="89"/>
      <c r="G556" s="89"/>
      <c r="H556" s="89"/>
      <c r="I556" s="89"/>
      <c r="J556" s="89"/>
    </row>
    <row r="557" ht="15.75" customHeight="1">
      <c r="A557" s="89"/>
      <c r="B557" s="89"/>
      <c r="C557" s="89"/>
      <c r="D557" s="89"/>
      <c r="E557" s="89"/>
      <c r="F557" s="89"/>
      <c r="G557" s="89"/>
      <c r="H557" s="89"/>
      <c r="I557" s="89"/>
      <c r="J557" s="89"/>
    </row>
    <row r="558" ht="15.75" customHeight="1">
      <c r="A558" s="89"/>
      <c r="B558" s="89"/>
      <c r="C558" s="89"/>
      <c r="D558" s="89"/>
      <c r="E558" s="89"/>
      <c r="F558" s="89"/>
      <c r="G558" s="89"/>
      <c r="H558" s="89"/>
      <c r="I558" s="89"/>
      <c r="J558" s="89"/>
    </row>
    <row r="559" ht="15.75" customHeight="1">
      <c r="A559" s="89"/>
      <c r="B559" s="89"/>
      <c r="C559" s="89"/>
      <c r="D559" s="89"/>
      <c r="E559" s="89"/>
      <c r="F559" s="89"/>
      <c r="G559" s="89"/>
      <c r="H559" s="89"/>
      <c r="I559" s="89"/>
      <c r="J559" s="89"/>
    </row>
    <row r="560" ht="15.75" customHeight="1">
      <c r="A560" s="89"/>
      <c r="B560" s="89"/>
      <c r="C560" s="89"/>
      <c r="D560" s="89"/>
      <c r="E560" s="89"/>
      <c r="F560" s="89"/>
      <c r="G560" s="89"/>
      <c r="H560" s="89"/>
      <c r="I560" s="89"/>
      <c r="J560" s="89"/>
    </row>
    <row r="561" ht="15.75" customHeight="1">
      <c r="A561" s="89"/>
      <c r="B561" s="89"/>
      <c r="C561" s="89"/>
      <c r="D561" s="89"/>
      <c r="E561" s="89"/>
      <c r="F561" s="89"/>
      <c r="G561" s="89"/>
      <c r="H561" s="89"/>
      <c r="I561" s="89"/>
      <c r="J561" s="89"/>
    </row>
    <row r="562" ht="15.75" customHeight="1">
      <c r="A562" s="89"/>
      <c r="B562" s="89"/>
      <c r="C562" s="89"/>
      <c r="D562" s="89"/>
      <c r="E562" s="89"/>
      <c r="F562" s="89"/>
      <c r="G562" s="89"/>
      <c r="H562" s="89"/>
      <c r="I562" s="89"/>
      <c r="J562" s="89"/>
    </row>
    <row r="563" ht="15.75" customHeight="1">
      <c r="A563" s="89"/>
      <c r="B563" s="89"/>
      <c r="C563" s="89"/>
      <c r="D563" s="89"/>
      <c r="E563" s="89"/>
      <c r="F563" s="89"/>
      <c r="G563" s="89"/>
      <c r="H563" s="89"/>
      <c r="I563" s="89"/>
      <c r="J563" s="89"/>
    </row>
    <row r="564" ht="15.75" customHeight="1">
      <c r="A564" s="89"/>
      <c r="B564" s="89"/>
      <c r="C564" s="89"/>
      <c r="D564" s="89"/>
      <c r="E564" s="89"/>
      <c r="F564" s="89"/>
      <c r="G564" s="89"/>
      <c r="H564" s="89"/>
      <c r="I564" s="89"/>
      <c r="J564" s="89"/>
    </row>
    <row r="565" ht="15.75" customHeight="1">
      <c r="A565" s="89"/>
      <c r="B565" s="89"/>
      <c r="C565" s="89"/>
      <c r="D565" s="89"/>
      <c r="E565" s="89"/>
      <c r="F565" s="89"/>
      <c r="G565" s="89"/>
      <c r="H565" s="89"/>
      <c r="I565" s="89"/>
      <c r="J565" s="89"/>
    </row>
    <row r="566" ht="15.75" customHeight="1">
      <c r="A566" s="89"/>
      <c r="B566" s="89"/>
      <c r="C566" s="89"/>
      <c r="D566" s="89"/>
      <c r="E566" s="89"/>
      <c r="F566" s="89"/>
      <c r="G566" s="89"/>
      <c r="H566" s="89"/>
      <c r="I566" s="89"/>
      <c r="J566" s="89"/>
    </row>
    <row r="567" ht="15.75" customHeight="1">
      <c r="A567" s="89"/>
      <c r="B567" s="89"/>
      <c r="C567" s="89"/>
      <c r="D567" s="89"/>
      <c r="E567" s="89"/>
      <c r="F567" s="89"/>
      <c r="G567" s="89"/>
      <c r="H567" s="89"/>
      <c r="I567" s="89"/>
      <c r="J567" s="89"/>
    </row>
    <row r="568" ht="15.75" customHeight="1">
      <c r="A568" s="89"/>
      <c r="B568" s="89"/>
      <c r="C568" s="89"/>
      <c r="D568" s="89"/>
      <c r="E568" s="89"/>
      <c r="F568" s="89"/>
      <c r="G568" s="89"/>
      <c r="H568" s="89"/>
      <c r="I568" s="89"/>
      <c r="J568" s="89"/>
    </row>
    <row r="569" ht="15.75" customHeight="1">
      <c r="A569" s="89"/>
      <c r="B569" s="89"/>
      <c r="C569" s="89"/>
      <c r="D569" s="89"/>
      <c r="E569" s="89"/>
      <c r="F569" s="89"/>
      <c r="G569" s="89"/>
      <c r="H569" s="89"/>
      <c r="I569" s="89"/>
      <c r="J569" s="89"/>
    </row>
    <row r="570" ht="15.75" customHeight="1">
      <c r="A570" s="89"/>
      <c r="B570" s="89"/>
      <c r="C570" s="89"/>
      <c r="D570" s="89"/>
      <c r="E570" s="89"/>
      <c r="F570" s="89"/>
      <c r="G570" s="89"/>
      <c r="H570" s="89"/>
      <c r="I570" s="89"/>
      <c r="J570" s="89"/>
    </row>
    <row r="571" ht="15.75" customHeight="1">
      <c r="A571" s="89"/>
      <c r="B571" s="89"/>
      <c r="C571" s="89"/>
      <c r="D571" s="89"/>
      <c r="E571" s="89"/>
      <c r="F571" s="89"/>
      <c r="G571" s="89"/>
      <c r="H571" s="89"/>
      <c r="I571" s="89"/>
      <c r="J571" s="89"/>
    </row>
    <row r="572" ht="15.75" customHeight="1">
      <c r="A572" s="89"/>
      <c r="B572" s="89"/>
      <c r="C572" s="89"/>
      <c r="D572" s="89"/>
      <c r="E572" s="89"/>
      <c r="F572" s="89"/>
      <c r="G572" s="89"/>
      <c r="H572" s="89"/>
      <c r="I572" s="89"/>
      <c r="J572" s="89"/>
    </row>
    <row r="573" ht="15.75" customHeight="1">
      <c r="A573" s="89"/>
      <c r="B573" s="89"/>
      <c r="C573" s="89"/>
      <c r="D573" s="89"/>
      <c r="E573" s="89"/>
      <c r="F573" s="89"/>
      <c r="G573" s="89"/>
      <c r="H573" s="89"/>
      <c r="I573" s="89"/>
      <c r="J573" s="89"/>
    </row>
    <row r="574" ht="15.75" customHeight="1">
      <c r="A574" s="89"/>
      <c r="B574" s="89"/>
      <c r="C574" s="89"/>
      <c r="D574" s="89"/>
      <c r="E574" s="89"/>
      <c r="F574" s="89"/>
      <c r="G574" s="89"/>
      <c r="H574" s="89"/>
      <c r="I574" s="89"/>
      <c r="J574" s="89"/>
    </row>
    <row r="575" ht="15.75" customHeight="1">
      <c r="A575" s="89"/>
      <c r="B575" s="89"/>
      <c r="C575" s="89"/>
      <c r="D575" s="89"/>
      <c r="E575" s="89"/>
      <c r="F575" s="89"/>
      <c r="G575" s="89"/>
      <c r="H575" s="89"/>
      <c r="I575" s="89"/>
      <c r="J575" s="89"/>
    </row>
    <row r="576" ht="15.75" customHeight="1">
      <c r="A576" s="89"/>
      <c r="B576" s="89"/>
      <c r="C576" s="89"/>
      <c r="D576" s="89"/>
      <c r="E576" s="89"/>
      <c r="F576" s="89"/>
      <c r="G576" s="89"/>
      <c r="H576" s="89"/>
      <c r="I576" s="89"/>
      <c r="J576" s="89"/>
    </row>
    <row r="577" ht="15.75" customHeight="1">
      <c r="A577" s="89"/>
      <c r="B577" s="89"/>
      <c r="C577" s="89"/>
      <c r="D577" s="89"/>
      <c r="E577" s="89"/>
      <c r="F577" s="89"/>
      <c r="G577" s="89"/>
      <c r="H577" s="89"/>
      <c r="I577" s="89"/>
      <c r="J577" s="89"/>
    </row>
    <row r="578" ht="15.75" customHeight="1">
      <c r="A578" s="89"/>
      <c r="B578" s="89"/>
      <c r="C578" s="89"/>
      <c r="D578" s="89"/>
      <c r="E578" s="89"/>
      <c r="F578" s="89"/>
      <c r="G578" s="89"/>
      <c r="H578" s="89"/>
      <c r="I578" s="89"/>
      <c r="J578" s="89"/>
    </row>
    <row r="579" ht="15.75" customHeight="1">
      <c r="A579" s="89"/>
      <c r="B579" s="89"/>
      <c r="C579" s="89"/>
      <c r="D579" s="89"/>
      <c r="E579" s="89"/>
      <c r="F579" s="89"/>
      <c r="G579" s="89"/>
      <c r="H579" s="89"/>
      <c r="I579" s="89"/>
      <c r="J579" s="89"/>
    </row>
    <row r="580" ht="15.75" customHeight="1">
      <c r="A580" s="89"/>
      <c r="B580" s="89"/>
      <c r="C580" s="89"/>
      <c r="D580" s="89"/>
      <c r="E580" s="89"/>
      <c r="F580" s="89"/>
      <c r="G580" s="89"/>
      <c r="H580" s="89"/>
      <c r="I580" s="89"/>
      <c r="J580" s="89"/>
    </row>
    <row r="581" ht="15.75" customHeight="1">
      <c r="A581" s="89"/>
      <c r="B581" s="89"/>
      <c r="C581" s="89"/>
      <c r="D581" s="89"/>
      <c r="E581" s="89"/>
      <c r="F581" s="89"/>
      <c r="G581" s="89"/>
      <c r="H581" s="89"/>
      <c r="I581" s="89"/>
      <c r="J581" s="89"/>
    </row>
    <row r="582" ht="15.75" customHeight="1">
      <c r="A582" s="89"/>
      <c r="B582" s="89"/>
      <c r="C582" s="89"/>
      <c r="D582" s="89"/>
      <c r="E582" s="89"/>
      <c r="F582" s="89"/>
      <c r="G582" s="89"/>
      <c r="H582" s="89"/>
      <c r="I582" s="89"/>
      <c r="J582" s="89"/>
    </row>
    <row r="583" ht="15.75" customHeight="1">
      <c r="A583" s="89"/>
      <c r="B583" s="89"/>
      <c r="C583" s="89"/>
      <c r="D583" s="89"/>
      <c r="E583" s="89"/>
      <c r="F583" s="89"/>
      <c r="G583" s="89"/>
      <c r="H583" s="89"/>
      <c r="I583" s="89"/>
      <c r="J583" s="89"/>
    </row>
    <row r="584" ht="15.75" customHeight="1">
      <c r="A584" s="89"/>
      <c r="B584" s="89"/>
      <c r="C584" s="89"/>
      <c r="D584" s="89"/>
      <c r="E584" s="89"/>
      <c r="F584" s="89"/>
      <c r="G584" s="89"/>
      <c r="H584" s="89"/>
      <c r="I584" s="89"/>
      <c r="J584" s="89"/>
    </row>
    <row r="585" ht="15.75" customHeight="1">
      <c r="A585" s="89"/>
      <c r="B585" s="89"/>
      <c r="C585" s="89"/>
      <c r="D585" s="89"/>
      <c r="E585" s="89"/>
      <c r="F585" s="89"/>
      <c r="G585" s="89"/>
      <c r="H585" s="89"/>
      <c r="I585" s="89"/>
      <c r="J585" s="89"/>
    </row>
    <row r="586" ht="15.75" customHeight="1">
      <c r="A586" s="89"/>
      <c r="B586" s="89"/>
      <c r="C586" s="89"/>
      <c r="D586" s="89"/>
      <c r="E586" s="89"/>
      <c r="F586" s="89"/>
      <c r="G586" s="89"/>
      <c r="H586" s="89"/>
      <c r="I586" s="89"/>
      <c r="J586" s="89"/>
    </row>
    <row r="587" ht="15.75" customHeight="1">
      <c r="A587" s="89"/>
      <c r="B587" s="89"/>
      <c r="C587" s="89"/>
      <c r="D587" s="89"/>
      <c r="E587" s="89"/>
      <c r="F587" s="89"/>
      <c r="G587" s="89"/>
      <c r="H587" s="89"/>
      <c r="I587" s="89"/>
      <c r="J587" s="89"/>
    </row>
    <row r="588" ht="15.75" customHeight="1">
      <c r="A588" s="89"/>
      <c r="B588" s="89"/>
      <c r="C588" s="89"/>
      <c r="D588" s="89"/>
      <c r="E588" s="89"/>
      <c r="F588" s="89"/>
      <c r="G588" s="89"/>
      <c r="H588" s="89"/>
      <c r="I588" s="89"/>
      <c r="J588" s="89"/>
    </row>
    <row r="589" ht="15.75" customHeight="1">
      <c r="A589" s="89"/>
      <c r="B589" s="89"/>
      <c r="C589" s="89"/>
      <c r="D589" s="89"/>
      <c r="E589" s="89"/>
      <c r="F589" s="89"/>
      <c r="G589" s="89"/>
      <c r="H589" s="89"/>
      <c r="I589" s="89"/>
      <c r="J589" s="89"/>
    </row>
    <row r="590" ht="15.75" customHeight="1">
      <c r="A590" s="89"/>
      <c r="B590" s="89"/>
      <c r="C590" s="89"/>
      <c r="D590" s="89"/>
      <c r="E590" s="89"/>
      <c r="F590" s="89"/>
      <c r="G590" s="89"/>
      <c r="H590" s="89"/>
      <c r="I590" s="89"/>
      <c r="J590" s="89"/>
    </row>
    <row r="591" ht="15.75" customHeight="1">
      <c r="A591" s="89"/>
      <c r="B591" s="89"/>
      <c r="C591" s="89"/>
      <c r="D591" s="89"/>
      <c r="E591" s="89"/>
      <c r="F591" s="89"/>
      <c r="G591" s="89"/>
      <c r="H591" s="89"/>
      <c r="I591" s="89"/>
      <c r="J591" s="89"/>
    </row>
    <row r="592" ht="15.75" customHeight="1">
      <c r="A592" s="89"/>
      <c r="B592" s="89"/>
      <c r="C592" s="89"/>
      <c r="D592" s="89"/>
      <c r="E592" s="89"/>
      <c r="F592" s="89"/>
      <c r="G592" s="89"/>
      <c r="H592" s="89"/>
      <c r="I592" s="89"/>
      <c r="J592" s="89"/>
    </row>
    <row r="593" ht="15.75" customHeight="1">
      <c r="A593" s="89"/>
      <c r="B593" s="89"/>
      <c r="C593" s="89"/>
      <c r="D593" s="89"/>
      <c r="E593" s="89"/>
      <c r="F593" s="89"/>
      <c r="G593" s="89"/>
      <c r="H593" s="89"/>
      <c r="I593" s="89"/>
      <c r="J593" s="89"/>
    </row>
    <row r="594" ht="15.75" customHeight="1">
      <c r="A594" s="89"/>
      <c r="B594" s="89"/>
      <c r="C594" s="89"/>
      <c r="D594" s="89"/>
      <c r="E594" s="89"/>
      <c r="F594" s="89"/>
      <c r="G594" s="89"/>
      <c r="H594" s="89"/>
      <c r="I594" s="89"/>
      <c r="J594" s="89"/>
    </row>
    <row r="595" ht="15.75" customHeight="1">
      <c r="A595" s="89"/>
      <c r="B595" s="89"/>
      <c r="C595" s="89"/>
      <c r="D595" s="89"/>
      <c r="E595" s="89"/>
      <c r="F595" s="89"/>
      <c r="G595" s="89"/>
      <c r="H595" s="89"/>
      <c r="I595" s="89"/>
      <c r="J595" s="89"/>
    </row>
    <row r="596" ht="15.75" customHeight="1">
      <c r="A596" s="89"/>
      <c r="B596" s="89"/>
      <c r="C596" s="89"/>
      <c r="D596" s="89"/>
      <c r="E596" s="89"/>
      <c r="F596" s="89"/>
      <c r="G596" s="89"/>
      <c r="H596" s="89"/>
      <c r="I596" s="89"/>
      <c r="J596" s="89"/>
    </row>
    <row r="597" ht="15.75" customHeight="1">
      <c r="A597" s="89"/>
      <c r="B597" s="89"/>
      <c r="C597" s="89"/>
      <c r="D597" s="89"/>
      <c r="E597" s="89"/>
      <c r="F597" s="89"/>
      <c r="G597" s="89"/>
      <c r="H597" s="89"/>
      <c r="I597" s="89"/>
      <c r="J597" s="89"/>
    </row>
    <row r="598" ht="15.75" customHeight="1">
      <c r="A598" s="89"/>
      <c r="B598" s="89"/>
      <c r="C598" s="89"/>
      <c r="D598" s="89"/>
      <c r="E598" s="89"/>
      <c r="F598" s="89"/>
      <c r="G598" s="89"/>
      <c r="H598" s="89"/>
      <c r="I598" s="89"/>
      <c r="J598" s="89"/>
    </row>
    <row r="599" ht="15.75" customHeight="1">
      <c r="A599" s="89"/>
      <c r="B599" s="89"/>
      <c r="C599" s="89"/>
      <c r="D599" s="89"/>
      <c r="E599" s="89"/>
      <c r="F599" s="89"/>
      <c r="G599" s="89"/>
      <c r="H599" s="89"/>
      <c r="I599" s="89"/>
      <c r="J599" s="89"/>
    </row>
    <row r="600" ht="15.75" customHeight="1">
      <c r="A600" s="89"/>
      <c r="B600" s="89"/>
      <c r="C600" s="89"/>
      <c r="D600" s="89"/>
      <c r="E600" s="89"/>
      <c r="F600" s="89"/>
      <c r="G600" s="89"/>
      <c r="H600" s="89"/>
      <c r="I600" s="89"/>
      <c r="J600" s="89"/>
    </row>
    <row r="601" ht="15.75" customHeight="1">
      <c r="A601" s="89"/>
      <c r="B601" s="89"/>
      <c r="C601" s="89"/>
      <c r="D601" s="89"/>
      <c r="E601" s="89"/>
      <c r="F601" s="89"/>
      <c r="G601" s="89"/>
      <c r="H601" s="89"/>
      <c r="I601" s="89"/>
      <c r="J601" s="89"/>
    </row>
    <row r="602" ht="15.75" customHeight="1">
      <c r="A602" s="89"/>
      <c r="B602" s="89"/>
      <c r="C602" s="89"/>
      <c r="D602" s="89"/>
      <c r="E602" s="89"/>
      <c r="F602" s="89"/>
      <c r="G602" s="89"/>
      <c r="H602" s="89"/>
      <c r="I602" s="89"/>
      <c r="J602" s="89"/>
    </row>
    <row r="603" ht="15.75" customHeight="1">
      <c r="A603" s="89"/>
      <c r="B603" s="89"/>
      <c r="C603" s="89"/>
      <c r="D603" s="89"/>
      <c r="E603" s="89"/>
      <c r="F603" s="89"/>
      <c r="G603" s="89"/>
      <c r="H603" s="89"/>
      <c r="I603" s="89"/>
      <c r="J603" s="89"/>
    </row>
    <row r="604" ht="15.75" customHeight="1">
      <c r="A604" s="89"/>
      <c r="B604" s="89"/>
      <c r="C604" s="89"/>
      <c r="D604" s="89"/>
      <c r="E604" s="89"/>
      <c r="F604" s="89"/>
      <c r="G604" s="89"/>
      <c r="H604" s="89"/>
      <c r="I604" s="89"/>
      <c r="J604" s="89"/>
    </row>
    <row r="605" ht="15.75" customHeight="1">
      <c r="A605" s="89"/>
      <c r="B605" s="89"/>
      <c r="C605" s="89"/>
      <c r="D605" s="89"/>
      <c r="E605" s="89"/>
      <c r="F605" s="89"/>
      <c r="G605" s="89"/>
      <c r="H605" s="89"/>
      <c r="I605" s="89"/>
      <c r="J605" s="89"/>
    </row>
    <row r="606" ht="15.75" customHeight="1">
      <c r="A606" s="89"/>
      <c r="B606" s="89"/>
      <c r="C606" s="89"/>
      <c r="D606" s="89"/>
      <c r="E606" s="89"/>
      <c r="F606" s="89"/>
      <c r="G606" s="89"/>
      <c r="H606" s="89"/>
      <c r="I606" s="89"/>
      <c r="J606" s="89"/>
    </row>
    <row r="607" ht="15.75" customHeight="1">
      <c r="A607" s="89"/>
      <c r="B607" s="89"/>
      <c r="C607" s="89"/>
      <c r="D607" s="89"/>
      <c r="E607" s="89"/>
      <c r="F607" s="89"/>
      <c r="G607" s="89"/>
      <c r="H607" s="89"/>
      <c r="I607" s="89"/>
      <c r="J607" s="89"/>
    </row>
    <row r="608" ht="15.75" customHeight="1">
      <c r="A608" s="89"/>
      <c r="B608" s="89"/>
      <c r="C608" s="89"/>
      <c r="D608" s="89"/>
      <c r="E608" s="89"/>
      <c r="F608" s="89"/>
      <c r="G608" s="89"/>
      <c r="H608" s="89"/>
      <c r="I608" s="89"/>
      <c r="J608" s="89"/>
    </row>
    <row r="609" ht="15.75" customHeight="1">
      <c r="A609" s="89"/>
      <c r="B609" s="89"/>
      <c r="C609" s="89"/>
      <c r="D609" s="89"/>
      <c r="E609" s="89"/>
      <c r="F609" s="89"/>
      <c r="G609" s="89"/>
      <c r="H609" s="89"/>
      <c r="I609" s="89"/>
      <c r="J609" s="89"/>
    </row>
    <row r="610" ht="15.75" customHeight="1">
      <c r="A610" s="89"/>
      <c r="B610" s="89"/>
      <c r="C610" s="89"/>
      <c r="D610" s="89"/>
      <c r="E610" s="89"/>
      <c r="F610" s="89"/>
      <c r="G610" s="89"/>
      <c r="H610" s="89"/>
      <c r="I610" s="89"/>
      <c r="J610" s="89"/>
    </row>
    <row r="611" ht="15.75" customHeight="1">
      <c r="A611" s="89"/>
      <c r="B611" s="89"/>
      <c r="C611" s="89"/>
      <c r="D611" s="89"/>
      <c r="E611" s="89"/>
      <c r="F611" s="89"/>
      <c r="G611" s="89"/>
      <c r="H611" s="89"/>
      <c r="I611" s="89"/>
      <c r="J611" s="89"/>
    </row>
    <row r="612" ht="15.75" customHeight="1">
      <c r="A612" s="89"/>
      <c r="B612" s="89"/>
      <c r="C612" s="89"/>
      <c r="D612" s="89"/>
      <c r="E612" s="89"/>
      <c r="F612" s="89"/>
      <c r="G612" s="89"/>
      <c r="H612" s="89"/>
      <c r="I612" s="89"/>
      <c r="J612" s="89"/>
    </row>
    <row r="613" ht="15.75" customHeight="1">
      <c r="A613" s="89"/>
      <c r="B613" s="89"/>
      <c r="C613" s="89"/>
      <c r="D613" s="89"/>
      <c r="E613" s="89"/>
      <c r="F613" s="89"/>
      <c r="G613" s="89"/>
      <c r="H613" s="89"/>
      <c r="I613" s="89"/>
      <c r="J613" s="89"/>
    </row>
    <row r="614" ht="15.75" customHeight="1">
      <c r="A614" s="89"/>
      <c r="B614" s="89"/>
      <c r="C614" s="89"/>
      <c r="D614" s="89"/>
      <c r="E614" s="89"/>
      <c r="F614" s="89"/>
      <c r="G614" s="89"/>
      <c r="H614" s="89"/>
      <c r="I614" s="89"/>
      <c r="J614" s="89"/>
    </row>
    <row r="615" ht="15.75" customHeight="1">
      <c r="A615" s="89"/>
      <c r="B615" s="89"/>
      <c r="C615" s="89"/>
      <c r="D615" s="89"/>
      <c r="E615" s="89"/>
      <c r="F615" s="89"/>
      <c r="G615" s="89"/>
      <c r="H615" s="89"/>
      <c r="I615" s="89"/>
      <c r="J615" s="89"/>
    </row>
    <row r="616" ht="15.75" customHeight="1">
      <c r="A616" s="89"/>
      <c r="B616" s="89"/>
      <c r="C616" s="89"/>
      <c r="D616" s="89"/>
      <c r="E616" s="89"/>
      <c r="F616" s="89"/>
      <c r="G616" s="89"/>
      <c r="H616" s="89"/>
      <c r="I616" s="89"/>
      <c r="J616" s="89"/>
    </row>
    <row r="617" ht="15.75" customHeight="1">
      <c r="A617" s="89"/>
      <c r="B617" s="89"/>
      <c r="C617" s="89"/>
      <c r="D617" s="89"/>
      <c r="E617" s="89"/>
      <c r="F617" s="89"/>
      <c r="G617" s="89"/>
      <c r="H617" s="89"/>
      <c r="I617" s="89"/>
      <c r="J617" s="89"/>
    </row>
    <row r="618" ht="15.75" customHeight="1">
      <c r="A618" s="89"/>
      <c r="B618" s="89"/>
      <c r="C618" s="89"/>
      <c r="D618" s="89"/>
      <c r="E618" s="89"/>
      <c r="F618" s="89"/>
      <c r="G618" s="89"/>
      <c r="H618" s="89"/>
      <c r="I618" s="89"/>
      <c r="J618" s="89"/>
    </row>
    <row r="619" ht="15.75" customHeight="1">
      <c r="A619" s="89"/>
      <c r="B619" s="89"/>
      <c r="C619" s="89"/>
      <c r="D619" s="89"/>
      <c r="E619" s="89"/>
      <c r="F619" s="89"/>
      <c r="G619" s="89"/>
      <c r="H619" s="89"/>
      <c r="I619" s="89"/>
      <c r="J619" s="89"/>
    </row>
    <row r="620" ht="15.75" customHeight="1">
      <c r="A620" s="89"/>
      <c r="B620" s="89"/>
      <c r="C620" s="89"/>
      <c r="D620" s="89"/>
      <c r="E620" s="89"/>
      <c r="F620" s="89"/>
      <c r="G620" s="89"/>
      <c r="H620" s="89"/>
      <c r="I620" s="89"/>
      <c r="J620" s="89"/>
    </row>
    <row r="621" ht="15.75" customHeight="1">
      <c r="A621" s="89"/>
      <c r="B621" s="89"/>
      <c r="C621" s="89"/>
      <c r="D621" s="89"/>
      <c r="E621" s="89"/>
      <c r="F621" s="89"/>
      <c r="G621" s="89"/>
      <c r="H621" s="89"/>
      <c r="I621" s="89"/>
      <c r="J621" s="89"/>
    </row>
    <row r="622" ht="15.75" customHeight="1">
      <c r="A622" s="89"/>
      <c r="B622" s="89"/>
      <c r="C622" s="89"/>
      <c r="D622" s="89"/>
      <c r="E622" s="89"/>
      <c r="F622" s="89"/>
      <c r="G622" s="89"/>
      <c r="H622" s="89"/>
      <c r="I622" s="89"/>
      <c r="J622" s="89"/>
    </row>
    <row r="623" ht="15.75" customHeight="1">
      <c r="A623" s="89"/>
      <c r="B623" s="89"/>
      <c r="C623" s="89"/>
      <c r="D623" s="89"/>
      <c r="E623" s="89"/>
      <c r="F623" s="89"/>
      <c r="G623" s="89"/>
      <c r="H623" s="89"/>
      <c r="I623" s="89"/>
      <c r="J623" s="89"/>
    </row>
    <row r="624" ht="15.75" customHeight="1">
      <c r="A624" s="89"/>
      <c r="B624" s="89"/>
      <c r="C624" s="89"/>
      <c r="D624" s="89"/>
      <c r="E624" s="89"/>
      <c r="F624" s="89"/>
      <c r="G624" s="89"/>
      <c r="H624" s="89"/>
      <c r="I624" s="89"/>
      <c r="J624" s="89"/>
    </row>
    <row r="625" ht="15.75" customHeight="1">
      <c r="A625" s="89"/>
      <c r="B625" s="89"/>
      <c r="C625" s="89"/>
      <c r="D625" s="89"/>
      <c r="E625" s="89"/>
      <c r="F625" s="89"/>
      <c r="G625" s="89"/>
      <c r="H625" s="89"/>
      <c r="I625" s="89"/>
      <c r="J625" s="89"/>
    </row>
    <row r="626" ht="15.75" customHeight="1">
      <c r="A626" s="89"/>
      <c r="B626" s="89"/>
      <c r="C626" s="89"/>
      <c r="D626" s="89"/>
      <c r="E626" s="89"/>
      <c r="F626" s="89"/>
      <c r="G626" s="89"/>
      <c r="H626" s="89"/>
      <c r="I626" s="89"/>
      <c r="J626" s="89"/>
    </row>
    <row r="627" ht="15.75" customHeight="1">
      <c r="A627" s="89"/>
      <c r="B627" s="89"/>
      <c r="C627" s="89"/>
      <c r="D627" s="89"/>
      <c r="E627" s="89"/>
      <c r="F627" s="89"/>
      <c r="G627" s="89"/>
      <c r="H627" s="89"/>
      <c r="I627" s="89"/>
      <c r="J627" s="89"/>
    </row>
    <row r="628" ht="15.75" customHeight="1">
      <c r="A628" s="89"/>
      <c r="B628" s="89"/>
      <c r="C628" s="89"/>
      <c r="D628" s="89"/>
      <c r="E628" s="89"/>
      <c r="F628" s="89"/>
      <c r="G628" s="89"/>
      <c r="H628" s="89"/>
      <c r="I628" s="89"/>
      <c r="J628" s="89"/>
    </row>
    <row r="629" ht="15.75" customHeight="1">
      <c r="A629" s="89"/>
      <c r="B629" s="89"/>
      <c r="C629" s="89"/>
      <c r="D629" s="89"/>
      <c r="E629" s="89"/>
      <c r="F629" s="89"/>
      <c r="G629" s="89"/>
      <c r="H629" s="89"/>
      <c r="I629" s="89"/>
      <c r="J629" s="89"/>
    </row>
    <row r="630" ht="15.75" customHeight="1">
      <c r="A630" s="89"/>
      <c r="B630" s="89"/>
      <c r="C630" s="89"/>
      <c r="D630" s="89"/>
      <c r="E630" s="89"/>
      <c r="F630" s="89"/>
      <c r="G630" s="89"/>
      <c r="H630" s="89"/>
      <c r="I630" s="89"/>
      <c r="J630" s="89"/>
    </row>
    <row r="631" ht="15.75" customHeight="1">
      <c r="A631" s="89"/>
      <c r="B631" s="89"/>
      <c r="C631" s="89"/>
      <c r="D631" s="89"/>
      <c r="E631" s="89"/>
      <c r="F631" s="89"/>
      <c r="G631" s="89"/>
      <c r="H631" s="89"/>
      <c r="I631" s="89"/>
      <c r="J631" s="89"/>
    </row>
    <row r="632" ht="15.75" customHeight="1">
      <c r="A632" s="89"/>
      <c r="B632" s="89"/>
      <c r="C632" s="89"/>
      <c r="D632" s="89"/>
      <c r="E632" s="89"/>
      <c r="F632" s="89"/>
      <c r="G632" s="89"/>
      <c r="H632" s="89"/>
      <c r="I632" s="89"/>
      <c r="J632" s="89"/>
    </row>
    <row r="633" ht="15.75" customHeight="1">
      <c r="A633" s="89"/>
      <c r="B633" s="89"/>
      <c r="C633" s="89"/>
      <c r="D633" s="89"/>
      <c r="E633" s="89"/>
      <c r="F633" s="89"/>
      <c r="G633" s="89"/>
      <c r="H633" s="89"/>
      <c r="I633" s="89"/>
      <c r="J633" s="89"/>
    </row>
    <row r="634" ht="15.75" customHeight="1">
      <c r="A634" s="89"/>
      <c r="B634" s="89"/>
      <c r="C634" s="89"/>
      <c r="D634" s="89"/>
      <c r="E634" s="89"/>
      <c r="F634" s="89"/>
      <c r="G634" s="89"/>
      <c r="H634" s="89"/>
      <c r="I634" s="89"/>
      <c r="J634" s="89"/>
    </row>
    <row r="635" ht="15.75" customHeight="1">
      <c r="A635" s="89"/>
      <c r="B635" s="89"/>
      <c r="C635" s="89"/>
      <c r="D635" s="89"/>
      <c r="E635" s="89"/>
      <c r="F635" s="89"/>
      <c r="G635" s="89"/>
      <c r="H635" s="89"/>
      <c r="I635" s="89"/>
      <c r="J635" s="89"/>
    </row>
    <row r="636" ht="15.75" customHeight="1">
      <c r="A636" s="89"/>
      <c r="B636" s="89"/>
      <c r="C636" s="89"/>
      <c r="D636" s="89"/>
      <c r="E636" s="89"/>
      <c r="F636" s="89"/>
      <c r="G636" s="89"/>
      <c r="H636" s="89"/>
      <c r="I636" s="89"/>
      <c r="J636" s="89"/>
    </row>
    <row r="637" ht="15.75" customHeight="1">
      <c r="A637" s="89"/>
      <c r="B637" s="89"/>
      <c r="C637" s="89"/>
      <c r="D637" s="89"/>
      <c r="E637" s="89"/>
      <c r="F637" s="89"/>
      <c r="G637" s="89"/>
      <c r="H637" s="89"/>
      <c r="I637" s="89"/>
      <c r="J637" s="89"/>
    </row>
    <row r="638" ht="15.75" customHeight="1">
      <c r="A638" s="89"/>
      <c r="B638" s="89"/>
      <c r="C638" s="89"/>
      <c r="D638" s="89"/>
      <c r="E638" s="89"/>
      <c r="F638" s="89"/>
      <c r="G638" s="89"/>
      <c r="H638" s="89"/>
      <c r="I638" s="89"/>
      <c r="J638" s="89"/>
    </row>
    <row r="639" ht="15.75" customHeight="1">
      <c r="A639" s="89"/>
      <c r="B639" s="89"/>
      <c r="C639" s="89"/>
      <c r="D639" s="89"/>
      <c r="E639" s="89"/>
      <c r="F639" s="89"/>
      <c r="G639" s="89"/>
      <c r="H639" s="89"/>
      <c r="I639" s="89"/>
      <c r="J639" s="89"/>
    </row>
    <row r="640" ht="15.75" customHeight="1">
      <c r="A640" s="89"/>
      <c r="B640" s="89"/>
      <c r="C640" s="89"/>
      <c r="D640" s="89"/>
      <c r="E640" s="89"/>
      <c r="F640" s="89"/>
      <c r="G640" s="89"/>
      <c r="H640" s="89"/>
      <c r="I640" s="89"/>
      <c r="J640" s="89"/>
    </row>
    <row r="641" ht="15.75" customHeight="1">
      <c r="A641" s="89"/>
      <c r="B641" s="89"/>
      <c r="C641" s="89"/>
      <c r="D641" s="89"/>
      <c r="E641" s="89"/>
      <c r="F641" s="89"/>
      <c r="G641" s="89"/>
      <c r="H641" s="89"/>
      <c r="I641" s="89"/>
      <c r="J641" s="89"/>
    </row>
    <row r="642" ht="15.75" customHeight="1">
      <c r="A642" s="89"/>
      <c r="B642" s="89"/>
      <c r="C642" s="89"/>
      <c r="D642" s="89"/>
      <c r="E642" s="89"/>
      <c r="F642" s="89"/>
      <c r="G642" s="89"/>
      <c r="H642" s="89"/>
      <c r="I642" s="89"/>
      <c r="J642" s="89"/>
    </row>
    <row r="643" ht="15.75" customHeight="1">
      <c r="A643" s="89"/>
      <c r="B643" s="89"/>
      <c r="C643" s="89"/>
      <c r="D643" s="89"/>
      <c r="E643" s="89"/>
      <c r="F643" s="89"/>
      <c r="G643" s="89"/>
      <c r="H643" s="89"/>
      <c r="I643" s="89"/>
      <c r="J643" s="89"/>
    </row>
    <row r="644" ht="15.75" customHeight="1">
      <c r="A644" s="89"/>
      <c r="B644" s="89"/>
      <c r="C644" s="89"/>
      <c r="D644" s="89"/>
      <c r="E644" s="89"/>
      <c r="F644" s="89"/>
      <c r="G644" s="89"/>
      <c r="H644" s="89"/>
      <c r="I644" s="89"/>
      <c r="J644" s="89"/>
    </row>
    <row r="645" ht="15.75" customHeight="1">
      <c r="A645" s="89"/>
      <c r="B645" s="89"/>
      <c r="C645" s="89"/>
      <c r="D645" s="89"/>
      <c r="E645" s="89"/>
      <c r="F645" s="89"/>
      <c r="G645" s="89"/>
      <c r="H645" s="89"/>
      <c r="I645" s="89"/>
      <c r="J645" s="89"/>
    </row>
    <row r="646" ht="15.75" customHeight="1">
      <c r="A646" s="89"/>
      <c r="B646" s="89"/>
      <c r="C646" s="89"/>
      <c r="D646" s="89"/>
      <c r="E646" s="89"/>
      <c r="F646" s="89"/>
      <c r="G646" s="89"/>
      <c r="H646" s="89"/>
      <c r="I646" s="89"/>
      <c r="J646" s="89"/>
    </row>
    <row r="647" ht="15.75" customHeight="1">
      <c r="A647" s="89"/>
      <c r="B647" s="89"/>
      <c r="C647" s="89"/>
      <c r="D647" s="89"/>
      <c r="E647" s="89"/>
      <c r="F647" s="89"/>
      <c r="G647" s="89"/>
      <c r="H647" s="89"/>
      <c r="I647" s="89"/>
      <c r="J647" s="89"/>
    </row>
    <row r="648" ht="15.75" customHeight="1">
      <c r="A648" s="89"/>
      <c r="B648" s="89"/>
      <c r="C648" s="89"/>
      <c r="D648" s="89"/>
      <c r="E648" s="89"/>
      <c r="F648" s="89"/>
      <c r="G648" s="89"/>
      <c r="H648" s="89"/>
      <c r="I648" s="89"/>
      <c r="J648" s="89"/>
    </row>
    <row r="649" ht="15.75" customHeight="1">
      <c r="A649" s="89"/>
      <c r="B649" s="89"/>
      <c r="C649" s="89"/>
      <c r="D649" s="89"/>
      <c r="E649" s="89"/>
      <c r="F649" s="89"/>
      <c r="G649" s="89"/>
      <c r="H649" s="89"/>
      <c r="I649" s="89"/>
      <c r="J649" s="89"/>
    </row>
    <row r="650" ht="15.75" customHeight="1">
      <c r="A650" s="89"/>
      <c r="B650" s="89"/>
      <c r="C650" s="89"/>
      <c r="D650" s="89"/>
      <c r="E650" s="89"/>
      <c r="F650" s="89"/>
      <c r="G650" s="89"/>
      <c r="H650" s="89"/>
      <c r="I650" s="89"/>
      <c r="J650" s="89"/>
    </row>
    <row r="651" ht="15.75" customHeight="1">
      <c r="A651" s="89"/>
      <c r="B651" s="89"/>
      <c r="C651" s="89"/>
      <c r="D651" s="89"/>
      <c r="E651" s="89"/>
      <c r="F651" s="89"/>
      <c r="G651" s="89"/>
      <c r="H651" s="89"/>
      <c r="I651" s="89"/>
      <c r="J651" s="89"/>
    </row>
    <row r="652" ht="15.75" customHeight="1">
      <c r="A652" s="89"/>
      <c r="B652" s="89"/>
      <c r="C652" s="89"/>
      <c r="D652" s="89"/>
      <c r="E652" s="89"/>
      <c r="F652" s="89"/>
      <c r="G652" s="89"/>
      <c r="H652" s="89"/>
      <c r="I652" s="89"/>
      <c r="J652" s="89"/>
    </row>
    <row r="653" ht="15.75" customHeight="1">
      <c r="A653" s="89"/>
      <c r="B653" s="89"/>
      <c r="C653" s="89"/>
      <c r="D653" s="89"/>
      <c r="E653" s="89"/>
      <c r="F653" s="89"/>
      <c r="G653" s="89"/>
      <c r="H653" s="89"/>
      <c r="I653" s="89"/>
      <c r="J653" s="89"/>
    </row>
    <row r="654" ht="15.75" customHeight="1">
      <c r="A654" s="89"/>
      <c r="B654" s="89"/>
      <c r="C654" s="89"/>
      <c r="D654" s="89"/>
      <c r="E654" s="89"/>
      <c r="F654" s="89"/>
      <c r="G654" s="89"/>
      <c r="H654" s="89"/>
      <c r="I654" s="89"/>
      <c r="J654" s="89"/>
    </row>
    <row r="655" ht="15.75" customHeight="1">
      <c r="A655" s="89"/>
      <c r="B655" s="89"/>
      <c r="C655" s="89"/>
      <c r="D655" s="89"/>
      <c r="E655" s="89"/>
      <c r="F655" s="89"/>
      <c r="G655" s="89"/>
      <c r="H655" s="89"/>
      <c r="I655" s="89"/>
      <c r="J655" s="89"/>
    </row>
    <row r="656" ht="15.75" customHeight="1">
      <c r="A656" s="89"/>
      <c r="B656" s="89"/>
      <c r="C656" s="89"/>
      <c r="D656" s="89"/>
      <c r="E656" s="89"/>
      <c r="F656" s="89"/>
      <c r="G656" s="89"/>
      <c r="H656" s="89"/>
      <c r="I656" s="89"/>
      <c r="J656" s="89"/>
    </row>
    <row r="657" ht="15.75" customHeight="1">
      <c r="A657" s="89"/>
      <c r="B657" s="89"/>
      <c r="C657" s="89"/>
      <c r="D657" s="89"/>
      <c r="E657" s="89"/>
      <c r="F657" s="89"/>
      <c r="G657" s="89"/>
      <c r="H657" s="89"/>
      <c r="I657" s="89"/>
      <c r="J657" s="89"/>
    </row>
    <row r="658" ht="15.75" customHeight="1">
      <c r="A658" s="89"/>
      <c r="B658" s="89"/>
      <c r="C658" s="89"/>
      <c r="D658" s="89"/>
      <c r="E658" s="89"/>
      <c r="F658" s="89"/>
      <c r="G658" s="89"/>
      <c r="H658" s="89"/>
      <c r="I658" s="89"/>
      <c r="J658" s="89"/>
    </row>
    <row r="659" ht="15.75" customHeight="1">
      <c r="A659" s="89"/>
      <c r="B659" s="89"/>
      <c r="C659" s="89"/>
      <c r="D659" s="89"/>
      <c r="E659" s="89"/>
      <c r="F659" s="89"/>
      <c r="G659" s="89"/>
      <c r="H659" s="89"/>
      <c r="I659" s="89"/>
      <c r="J659" s="89"/>
    </row>
    <row r="660" ht="15.75" customHeight="1">
      <c r="A660" s="89"/>
      <c r="B660" s="89"/>
      <c r="C660" s="89"/>
      <c r="D660" s="89"/>
      <c r="E660" s="89"/>
      <c r="F660" s="89"/>
      <c r="G660" s="89"/>
      <c r="H660" s="89"/>
      <c r="I660" s="89"/>
      <c r="J660" s="89"/>
    </row>
    <row r="661" ht="15.75" customHeight="1">
      <c r="A661" s="89"/>
      <c r="B661" s="89"/>
      <c r="C661" s="89"/>
      <c r="D661" s="89"/>
      <c r="E661" s="89"/>
      <c r="F661" s="89"/>
      <c r="G661" s="89"/>
      <c r="H661" s="89"/>
      <c r="I661" s="89"/>
      <c r="J661" s="89"/>
    </row>
    <row r="662" ht="15.75" customHeight="1">
      <c r="A662" s="89"/>
      <c r="B662" s="89"/>
      <c r="C662" s="89"/>
      <c r="D662" s="89"/>
      <c r="E662" s="89"/>
      <c r="F662" s="89"/>
      <c r="G662" s="89"/>
      <c r="H662" s="89"/>
      <c r="I662" s="89"/>
      <c r="J662" s="89"/>
    </row>
    <row r="663" ht="15.75" customHeight="1">
      <c r="A663" s="89"/>
      <c r="B663" s="89"/>
      <c r="C663" s="89"/>
      <c r="D663" s="89"/>
      <c r="E663" s="89"/>
      <c r="F663" s="89"/>
      <c r="G663" s="89"/>
      <c r="H663" s="89"/>
      <c r="I663" s="89"/>
      <c r="J663" s="89"/>
    </row>
    <row r="664" ht="15.75" customHeight="1">
      <c r="A664" s="89"/>
      <c r="B664" s="89"/>
      <c r="C664" s="89"/>
      <c r="D664" s="89"/>
      <c r="E664" s="89"/>
      <c r="F664" s="89"/>
      <c r="G664" s="89"/>
      <c r="H664" s="89"/>
      <c r="I664" s="89"/>
      <c r="J664" s="89"/>
    </row>
    <row r="665" ht="15.75" customHeight="1">
      <c r="A665" s="89"/>
      <c r="B665" s="89"/>
      <c r="C665" s="89"/>
      <c r="D665" s="89"/>
      <c r="E665" s="89"/>
      <c r="F665" s="89"/>
      <c r="G665" s="89"/>
      <c r="H665" s="89"/>
      <c r="I665" s="89"/>
      <c r="J665" s="89"/>
    </row>
    <row r="666" ht="15.75" customHeight="1">
      <c r="A666" s="89"/>
      <c r="B666" s="89"/>
      <c r="C666" s="89"/>
      <c r="D666" s="89"/>
      <c r="E666" s="89"/>
      <c r="F666" s="89"/>
      <c r="G666" s="89"/>
      <c r="H666" s="89"/>
      <c r="I666" s="89"/>
      <c r="J666" s="89"/>
    </row>
    <row r="667" ht="15.75" customHeight="1">
      <c r="A667" s="89"/>
      <c r="B667" s="89"/>
      <c r="C667" s="89"/>
      <c r="D667" s="89"/>
      <c r="E667" s="89"/>
      <c r="F667" s="89"/>
      <c r="G667" s="89"/>
      <c r="H667" s="89"/>
      <c r="I667" s="89"/>
      <c r="J667" s="89"/>
    </row>
    <row r="668" ht="15.75" customHeight="1">
      <c r="A668" s="89"/>
      <c r="B668" s="89"/>
      <c r="C668" s="89"/>
      <c r="D668" s="89"/>
      <c r="E668" s="89"/>
      <c r="F668" s="89"/>
      <c r="G668" s="89"/>
      <c r="H668" s="89"/>
      <c r="I668" s="89"/>
      <c r="J668" s="89"/>
    </row>
    <row r="669" ht="15.75" customHeight="1">
      <c r="A669" s="89"/>
      <c r="B669" s="89"/>
      <c r="C669" s="89"/>
      <c r="D669" s="89"/>
      <c r="E669" s="89"/>
      <c r="F669" s="89"/>
      <c r="G669" s="89"/>
      <c r="H669" s="89"/>
      <c r="I669" s="89"/>
      <c r="J669" s="89"/>
    </row>
    <row r="670" ht="15.75" customHeight="1">
      <c r="A670" s="89"/>
      <c r="B670" s="89"/>
      <c r="C670" s="89"/>
      <c r="D670" s="89"/>
      <c r="E670" s="89"/>
      <c r="F670" s="89"/>
      <c r="G670" s="89"/>
      <c r="H670" s="89"/>
      <c r="I670" s="89"/>
      <c r="J670" s="89"/>
    </row>
    <row r="671" ht="15.75" customHeight="1">
      <c r="A671" s="89"/>
      <c r="B671" s="89"/>
      <c r="C671" s="89"/>
      <c r="D671" s="89"/>
      <c r="E671" s="89"/>
      <c r="F671" s="89"/>
      <c r="G671" s="89"/>
      <c r="H671" s="89"/>
      <c r="I671" s="89"/>
      <c r="J671" s="89"/>
    </row>
    <row r="672" ht="15.75" customHeight="1">
      <c r="A672" s="89"/>
      <c r="B672" s="89"/>
      <c r="C672" s="89"/>
      <c r="D672" s="89"/>
      <c r="E672" s="89"/>
      <c r="F672" s="89"/>
      <c r="G672" s="89"/>
      <c r="H672" s="89"/>
      <c r="I672" s="89"/>
      <c r="J672" s="89"/>
    </row>
    <row r="673" ht="15.75" customHeight="1">
      <c r="A673" s="89"/>
      <c r="B673" s="89"/>
      <c r="C673" s="89"/>
      <c r="D673" s="89"/>
      <c r="E673" s="89"/>
      <c r="F673" s="89"/>
      <c r="G673" s="89"/>
      <c r="H673" s="89"/>
      <c r="I673" s="89"/>
      <c r="J673" s="89"/>
    </row>
    <row r="674" ht="15.75" customHeight="1">
      <c r="A674" s="89"/>
      <c r="B674" s="89"/>
      <c r="C674" s="89"/>
      <c r="D674" s="89"/>
      <c r="E674" s="89"/>
      <c r="F674" s="89"/>
      <c r="G674" s="89"/>
      <c r="H674" s="89"/>
      <c r="I674" s="89"/>
      <c r="J674" s="89"/>
    </row>
    <row r="675" ht="15.75" customHeight="1">
      <c r="A675" s="89"/>
      <c r="B675" s="89"/>
      <c r="C675" s="89"/>
      <c r="D675" s="89"/>
      <c r="E675" s="89"/>
      <c r="F675" s="89"/>
      <c r="G675" s="89"/>
      <c r="H675" s="89"/>
      <c r="I675" s="89"/>
      <c r="J675" s="89"/>
    </row>
    <row r="676" ht="15.75" customHeight="1">
      <c r="A676" s="89"/>
      <c r="B676" s="89"/>
      <c r="C676" s="89"/>
      <c r="D676" s="89"/>
      <c r="E676" s="89"/>
      <c r="F676" s="89"/>
      <c r="G676" s="89"/>
      <c r="H676" s="89"/>
      <c r="I676" s="89"/>
      <c r="J676" s="89"/>
    </row>
    <row r="677" ht="15.75" customHeight="1">
      <c r="A677" s="89"/>
      <c r="B677" s="89"/>
      <c r="C677" s="89"/>
      <c r="D677" s="89"/>
      <c r="E677" s="89"/>
      <c r="F677" s="89"/>
      <c r="G677" s="89"/>
      <c r="H677" s="89"/>
      <c r="I677" s="89"/>
      <c r="J677" s="89"/>
    </row>
    <row r="678" ht="15.75" customHeight="1">
      <c r="A678" s="89"/>
      <c r="B678" s="89"/>
      <c r="C678" s="89"/>
      <c r="D678" s="89"/>
      <c r="E678" s="89"/>
      <c r="F678" s="89"/>
      <c r="G678" s="89"/>
      <c r="H678" s="89"/>
      <c r="I678" s="89"/>
      <c r="J678" s="89"/>
    </row>
    <row r="679" ht="15.75" customHeight="1">
      <c r="A679" s="89"/>
      <c r="B679" s="89"/>
      <c r="C679" s="89"/>
      <c r="D679" s="89"/>
      <c r="E679" s="89"/>
      <c r="F679" s="89"/>
      <c r="G679" s="89"/>
      <c r="H679" s="89"/>
      <c r="I679" s="89"/>
      <c r="J679" s="89"/>
    </row>
    <row r="680" ht="15.75" customHeight="1">
      <c r="A680" s="89"/>
      <c r="B680" s="89"/>
      <c r="C680" s="89"/>
      <c r="D680" s="89"/>
      <c r="E680" s="89"/>
      <c r="F680" s="89"/>
      <c r="G680" s="89"/>
      <c r="H680" s="89"/>
      <c r="I680" s="89"/>
      <c r="J680" s="89"/>
    </row>
    <row r="681" ht="15.75" customHeight="1">
      <c r="A681" s="89"/>
      <c r="B681" s="89"/>
      <c r="C681" s="89"/>
      <c r="D681" s="89"/>
      <c r="E681" s="89"/>
      <c r="F681" s="89"/>
      <c r="G681" s="89"/>
      <c r="H681" s="89"/>
      <c r="I681" s="89"/>
      <c r="J681" s="89"/>
    </row>
    <row r="682" ht="15.75" customHeight="1">
      <c r="A682" s="89"/>
      <c r="B682" s="89"/>
      <c r="C682" s="89"/>
      <c r="D682" s="89"/>
      <c r="E682" s="89"/>
      <c r="F682" s="89"/>
      <c r="G682" s="89"/>
      <c r="H682" s="89"/>
      <c r="I682" s="89"/>
      <c r="J682" s="89"/>
    </row>
    <row r="683" ht="15.75" customHeight="1">
      <c r="A683" s="89"/>
      <c r="B683" s="89"/>
      <c r="C683" s="89"/>
      <c r="D683" s="89"/>
      <c r="E683" s="89"/>
      <c r="F683" s="89"/>
      <c r="G683" s="89"/>
      <c r="H683" s="89"/>
      <c r="I683" s="89"/>
      <c r="J683" s="89"/>
    </row>
    <row r="684" ht="15.75" customHeight="1">
      <c r="A684" s="89"/>
      <c r="B684" s="89"/>
      <c r="C684" s="89"/>
      <c r="D684" s="89"/>
      <c r="E684" s="89"/>
      <c r="F684" s="89"/>
      <c r="G684" s="89"/>
      <c r="H684" s="89"/>
      <c r="I684" s="89"/>
      <c r="J684" s="89"/>
    </row>
    <row r="685" ht="15.75" customHeight="1">
      <c r="A685" s="89"/>
      <c r="B685" s="89"/>
      <c r="C685" s="89"/>
      <c r="D685" s="89"/>
      <c r="E685" s="89"/>
      <c r="F685" s="89"/>
      <c r="G685" s="89"/>
      <c r="H685" s="89"/>
      <c r="I685" s="89"/>
      <c r="J685" s="89"/>
    </row>
    <row r="686" ht="15.75" customHeight="1">
      <c r="A686" s="89"/>
      <c r="B686" s="89"/>
      <c r="C686" s="89"/>
      <c r="D686" s="89"/>
      <c r="E686" s="89"/>
      <c r="F686" s="89"/>
      <c r="G686" s="89"/>
      <c r="H686" s="89"/>
      <c r="I686" s="89"/>
      <c r="J686" s="89"/>
    </row>
    <row r="687" ht="15.75" customHeight="1">
      <c r="A687" s="89"/>
      <c r="B687" s="89"/>
      <c r="C687" s="89"/>
      <c r="D687" s="89"/>
      <c r="E687" s="89"/>
      <c r="F687" s="89"/>
      <c r="G687" s="89"/>
      <c r="H687" s="89"/>
      <c r="I687" s="89"/>
      <c r="J687" s="89"/>
    </row>
    <row r="688" ht="15.75" customHeight="1">
      <c r="A688" s="89"/>
      <c r="B688" s="89"/>
      <c r="C688" s="89"/>
      <c r="D688" s="89"/>
      <c r="E688" s="89"/>
      <c r="F688" s="89"/>
      <c r="G688" s="89"/>
      <c r="H688" s="89"/>
      <c r="I688" s="89"/>
      <c r="J688" s="89"/>
    </row>
    <row r="689" ht="15.75" customHeight="1">
      <c r="A689" s="89"/>
      <c r="B689" s="89"/>
      <c r="C689" s="89"/>
      <c r="D689" s="89"/>
      <c r="E689" s="89"/>
      <c r="F689" s="89"/>
      <c r="G689" s="89"/>
      <c r="H689" s="89"/>
      <c r="I689" s="89"/>
      <c r="J689" s="89"/>
    </row>
    <row r="690" ht="15.75" customHeight="1">
      <c r="A690" s="89"/>
      <c r="B690" s="89"/>
      <c r="C690" s="89"/>
      <c r="D690" s="89"/>
      <c r="E690" s="89"/>
      <c r="F690" s="89"/>
      <c r="G690" s="89"/>
      <c r="H690" s="89"/>
      <c r="I690" s="89"/>
      <c r="J690" s="89"/>
    </row>
    <row r="691" ht="15.75" customHeight="1">
      <c r="A691" s="89"/>
      <c r="B691" s="89"/>
      <c r="C691" s="89"/>
      <c r="D691" s="89"/>
      <c r="E691" s="89"/>
      <c r="F691" s="89"/>
      <c r="G691" s="89"/>
      <c r="H691" s="89"/>
      <c r="I691" s="89"/>
      <c r="J691" s="89"/>
    </row>
    <row r="692" ht="15.75" customHeight="1">
      <c r="A692" s="89"/>
      <c r="B692" s="89"/>
      <c r="C692" s="89"/>
      <c r="D692" s="89"/>
      <c r="E692" s="89"/>
      <c r="F692" s="89"/>
      <c r="G692" s="89"/>
      <c r="H692" s="89"/>
      <c r="I692" s="89"/>
      <c r="J692" s="89"/>
    </row>
    <row r="693" ht="15.75" customHeight="1">
      <c r="A693" s="89"/>
      <c r="B693" s="89"/>
      <c r="C693" s="89"/>
      <c r="D693" s="89"/>
      <c r="E693" s="89"/>
      <c r="F693" s="89"/>
      <c r="G693" s="89"/>
      <c r="H693" s="89"/>
      <c r="I693" s="89"/>
      <c r="J693" s="89"/>
    </row>
    <row r="694" ht="15.75" customHeight="1">
      <c r="A694" s="89"/>
      <c r="B694" s="89"/>
      <c r="C694" s="89"/>
      <c r="D694" s="89"/>
      <c r="E694" s="89"/>
      <c r="F694" s="89"/>
      <c r="G694" s="89"/>
      <c r="H694" s="89"/>
      <c r="I694" s="89"/>
      <c r="J694" s="89"/>
    </row>
    <row r="695" ht="15.75" customHeight="1">
      <c r="A695" s="89"/>
      <c r="B695" s="89"/>
      <c r="C695" s="89"/>
      <c r="D695" s="89"/>
      <c r="E695" s="89"/>
      <c r="F695" s="89"/>
      <c r="G695" s="89"/>
      <c r="H695" s="89"/>
      <c r="I695" s="89"/>
      <c r="J695" s="89"/>
    </row>
    <row r="696" ht="15.75" customHeight="1">
      <c r="A696" s="89"/>
      <c r="B696" s="89"/>
      <c r="C696" s="89"/>
      <c r="D696" s="89"/>
      <c r="E696" s="89"/>
      <c r="F696" s="89"/>
      <c r="G696" s="89"/>
      <c r="H696" s="89"/>
      <c r="I696" s="89"/>
      <c r="J696" s="89"/>
    </row>
    <row r="697" ht="15.75" customHeight="1">
      <c r="A697" s="89"/>
      <c r="B697" s="89"/>
      <c r="C697" s="89"/>
      <c r="D697" s="89"/>
      <c r="E697" s="89"/>
      <c r="F697" s="89"/>
      <c r="G697" s="89"/>
      <c r="H697" s="89"/>
      <c r="I697" s="89"/>
      <c r="J697" s="89"/>
    </row>
    <row r="698" ht="15.75" customHeight="1">
      <c r="A698" s="89"/>
      <c r="B698" s="89"/>
      <c r="C698" s="89"/>
      <c r="D698" s="89"/>
      <c r="E698" s="89"/>
      <c r="F698" s="89"/>
      <c r="G698" s="89"/>
      <c r="H698" s="89"/>
      <c r="I698" s="89"/>
      <c r="J698" s="89"/>
    </row>
    <row r="699" ht="15.75" customHeight="1">
      <c r="A699" s="89"/>
      <c r="B699" s="89"/>
      <c r="C699" s="89"/>
      <c r="D699" s="89"/>
      <c r="E699" s="89"/>
      <c r="F699" s="89"/>
      <c r="G699" s="89"/>
      <c r="H699" s="89"/>
      <c r="I699" s="89"/>
      <c r="J699" s="89"/>
    </row>
    <row r="700" ht="15.75" customHeight="1">
      <c r="A700" s="89"/>
      <c r="B700" s="89"/>
      <c r="C700" s="89"/>
      <c r="D700" s="89"/>
      <c r="E700" s="89"/>
      <c r="F700" s="89"/>
      <c r="G700" s="89"/>
      <c r="H700" s="89"/>
      <c r="I700" s="89"/>
      <c r="J700" s="89"/>
    </row>
    <row r="701" ht="15.75" customHeight="1">
      <c r="A701" s="89"/>
      <c r="B701" s="89"/>
      <c r="C701" s="89"/>
      <c r="D701" s="89"/>
      <c r="E701" s="89"/>
      <c r="F701" s="89"/>
      <c r="G701" s="89"/>
      <c r="H701" s="89"/>
      <c r="I701" s="89"/>
      <c r="J701" s="89"/>
    </row>
    <row r="702" ht="15.75" customHeight="1">
      <c r="A702" s="89"/>
      <c r="B702" s="89"/>
      <c r="C702" s="89"/>
      <c r="D702" s="89"/>
      <c r="E702" s="89"/>
      <c r="F702" s="89"/>
      <c r="G702" s="89"/>
      <c r="H702" s="89"/>
      <c r="I702" s="89"/>
      <c r="J702" s="89"/>
    </row>
    <row r="703" ht="15.75" customHeight="1">
      <c r="A703" s="89"/>
      <c r="B703" s="89"/>
      <c r="C703" s="89"/>
      <c r="D703" s="89"/>
      <c r="E703" s="89"/>
      <c r="F703" s="89"/>
      <c r="G703" s="89"/>
      <c r="H703" s="89"/>
      <c r="I703" s="89"/>
      <c r="J703" s="89"/>
    </row>
    <row r="704" ht="15.75" customHeight="1">
      <c r="A704" s="89"/>
      <c r="B704" s="89"/>
      <c r="C704" s="89"/>
      <c r="D704" s="89"/>
      <c r="E704" s="89"/>
      <c r="F704" s="89"/>
      <c r="G704" s="89"/>
      <c r="H704" s="89"/>
      <c r="I704" s="89"/>
      <c r="J704" s="89"/>
    </row>
    <row r="705" ht="15.75" customHeight="1">
      <c r="A705" s="89"/>
      <c r="B705" s="89"/>
      <c r="C705" s="89"/>
      <c r="D705" s="89"/>
      <c r="E705" s="89"/>
      <c r="F705" s="89"/>
      <c r="G705" s="89"/>
      <c r="H705" s="89"/>
      <c r="I705" s="89"/>
      <c r="J705" s="89"/>
    </row>
    <row r="706" ht="15.75" customHeight="1">
      <c r="A706" s="89"/>
      <c r="B706" s="89"/>
      <c r="C706" s="89"/>
      <c r="D706" s="89"/>
      <c r="E706" s="89"/>
      <c r="F706" s="89"/>
      <c r="G706" s="89"/>
      <c r="H706" s="89"/>
      <c r="I706" s="89"/>
      <c r="J706" s="89"/>
    </row>
    <row r="707" ht="15.75" customHeight="1">
      <c r="A707" s="89"/>
      <c r="B707" s="89"/>
      <c r="C707" s="89"/>
      <c r="D707" s="89"/>
      <c r="E707" s="89"/>
      <c r="F707" s="89"/>
      <c r="G707" s="89"/>
      <c r="H707" s="89"/>
      <c r="I707" s="89"/>
      <c r="J707" s="89"/>
    </row>
    <row r="708" ht="15.75" customHeight="1">
      <c r="A708" s="89"/>
      <c r="B708" s="89"/>
      <c r="C708" s="89"/>
      <c r="D708" s="89"/>
      <c r="E708" s="89"/>
      <c r="F708" s="89"/>
      <c r="G708" s="89"/>
      <c r="H708" s="89"/>
      <c r="I708" s="89"/>
      <c r="J708" s="89"/>
    </row>
    <row r="709" ht="15.75" customHeight="1">
      <c r="A709" s="89"/>
      <c r="B709" s="89"/>
      <c r="C709" s="89"/>
      <c r="D709" s="89"/>
      <c r="E709" s="89"/>
      <c r="F709" s="89"/>
      <c r="G709" s="89"/>
      <c r="H709" s="89"/>
      <c r="I709" s="89"/>
      <c r="J709" s="89"/>
    </row>
    <row r="710" ht="15.75" customHeight="1">
      <c r="A710" s="89"/>
      <c r="B710" s="89"/>
      <c r="C710" s="89"/>
      <c r="D710" s="89"/>
      <c r="E710" s="89"/>
      <c r="F710" s="89"/>
      <c r="G710" s="89"/>
      <c r="H710" s="89"/>
      <c r="I710" s="89"/>
      <c r="J710" s="89"/>
    </row>
    <row r="711" ht="15.75" customHeight="1">
      <c r="A711" s="89"/>
      <c r="B711" s="89"/>
      <c r="C711" s="89"/>
      <c r="D711" s="89"/>
      <c r="E711" s="89"/>
      <c r="F711" s="89"/>
      <c r="G711" s="89"/>
      <c r="H711" s="89"/>
      <c r="I711" s="89"/>
      <c r="J711" s="89"/>
    </row>
    <row r="712" ht="15.75" customHeight="1">
      <c r="A712" s="89"/>
      <c r="B712" s="89"/>
      <c r="C712" s="89"/>
      <c r="D712" s="89"/>
      <c r="E712" s="89"/>
      <c r="F712" s="89"/>
      <c r="G712" s="89"/>
      <c r="H712" s="89"/>
      <c r="I712" s="89"/>
      <c r="J712" s="89"/>
    </row>
    <row r="713" ht="15.75" customHeight="1">
      <c r="A713" s="89"/>
      <c r="B713" s="89"/>
      <c r="C713" s="89"/>
      <c r="D713" s="89"/>
      <c r="E713" s="89"/>
      <c r="F713" s="89"/>
      <c r="G713" s="89"/>
      <c r="H713" s="89"/>
      <c r="I713" s="89"/>
      <c r="J713" s="89"/>
    </row>
    <row r="714" ht="15.75" customHeight="1">
      <c r="A714" s="89"/>
      <c r="B714" s="89"/>
      <c r="C714" s="89"/>
      <c r="D714" s="89"/>
      <c r="E714" s="89"/>
      <c r="F714" s="89"/>
      <c r="G714" s="89"/>
      <c r="H714" s="89"/>
      <c r="I714" s="89"/>
      <c r="J714" s="89"/>
    </row>
    <row r="715" ht="15.75" customHeight="1">
      <c r="A715" s="89"/>
      <c r="B715" s="89"/>
      <c r="C715" s="89"/>
      <c r="D715" s="89"/>
      <c r="E715" s="89"/>
      <c r="F715" s="89"/>
      <c r="G715" s="89"/>
      <c r="H715" s="89"/>
      <c r="I715" s="89"/>
      <c r="J715" s="89"/>
    </row>
    <row r="716" ht="15.75" customHeight="1">
      <c r="A716" s="89"/>
      <c r="B716" s="89"/>
      <c r="C716" s="89"/>
      <c r="D716" s="89"/>
      <c r="E716" s="89"/>
      <c r="F716" s="89"/>
      <c r="G716" s="89"/>
      <c r="H716" s="89"/>
      <c r="I716" s="89"/>
      <c r="J716" s="89"/>
    </row>
    <row r="717" ht="15.75" customHeight="1">
      <c r="A717" s="89"/>
      <c r="B717" s="89"/>
      <c r="C717" s="89"/>
      <c r="D717" s="89"/>
      <c r="E717" s="89"/>
      <c r="F717" s="89"/>
      <c r="G717" s="89"/>
      <c r="H717" s="89"/>
      <c r="I717" s="89"/>
      <c r="J717" s="89"/>
    </row>
    <row r="718" ht="15.75" customHeight="1">
      <c r="A718" s="89"/>
      <c r="B718" s="89"/>
      <c r="C718" s="89"/>
      <c r="D718" s="89"/>
      <c r="E718" s="89"/>
      <c r="F718" s="89"/>
      <c r="G718" s="89"/>
      <c r="H718" s="89"/>
      <c r="I718" s="89"/>
      <c r="J718" s="89"/>
    </row>
    <row r="719" ht="15.75" customHeight="1">
      <c r="A719" s="89"/>
      <c r="B719" s="89"/>
      <c r="C719" s="89"/>
      <c r="D719" s="89"/>
      <c r="E719" s="89"/>
      <c r="F719" s="89"/>
      <c r="G719" s="89"/>
      <c r="H719" s="89"/>
      <c r="I719" s="89"/>
      <c r="J719" s="89"/>
    </row>
    <row r="720" ht="15.75" customHeight="1">
      <c r="A720" s="89"/>
      <c r="B720" s="89"/>
      <c r="C720" s="89"/>
      <c r="D720" s="89"/>
      <c r="E720" s="89"/>
      <c r="F720" s="89"/>
      <c r="G720" s="89"/>
      <c r="H720" s="89"/>
      <c r="I720" s="89"/>
      <c r="J720" s="89"/>
    </row>
    <row r="721" ht="15.75" customHeight="1">
      <c r="A721" s="89"/>
      <c r="B721" s="89"/>
      <c r="C721" s="89"/>
      <c r="D721" s="89"/>
      <c r="E721" s="89"/>
      <c r="F721" s="89"/>
      <c r="G721" s="89"/>
      <c r="H721" s="89"/>
      <c r="I721" s="89"/>
      <c r="J721" s="89"/>
    </row>
    <row r="722" ht="15.75" customHeight="1">
      <c r="A722" s="89"/>
      <c r="B722" s="89"/>
      <c r="C722" s="89"/>
      <c r="D722" s="89"/>
      <c r="E722" s="89"/>
      <c r="F722" s="89"/>
      <c r="G722" s="89"/>
      <c r="H722" s="89"/>
      <c r="I722" s="89"/>
      <c r="J722" s="89"/>
    </row>
    <row r="723" ht="15.75" customHeight="1">
      <c r="A723" s="89"/>
      <c r="B723" s="89"/>
      <c r="C723" s="89"/>
      <c r="D723" s="89"/>
      <c r="E723" s="89"/>
      <c r="F723" s="89"/>
      <c r="G723" s="89"/>
      <c r="H723" s="89"/>
      <c r="I723" s="89"/>
      <c r="J723" s="89"/>
    </row>
    <row r="724" ht="15.75" customHeight="1">
      <c r="A724" s="89"/>
      <c r="B724" s="89"/>
      <c r="C724" s="89"/>
      <c r="D724" s="89"/>
      <c r="E724" s="89"/>
      <c r="F724" s="89"/>
      <c r="G724" s="89"/>
      <c r="H724" s="89"/>
      <c r="I724" s="89"/>
      <c r="J724" s="89"/>
    </row>
    <row r="725" ht="15.75" customHeight="1">
      <c r="A725" s="89"/>
      <c r="B725" s="89"/>
      <c r="C725" s="89"/>
      <c r="D725" s="89"/>
      <c r="E725" s="89"/>
      <c r="F725" s="89"/>
      <c r="G725" s="89"/>
      <c r="H725" s="89"/>
      <c r="I725" s="89"/>
      <c r="J725" s="89"/>
    </row>
    <row r="726" ht="15.75" customHeight="1">
      <c r="A726" s="89"/>
      <c r="B726" s="89"/>
      <c r="C726" s="89"/>
      <c r="D726" s="89"/>
      <c r="E726" s="89"/>
      <c r="F726" s="89"/>
      <c r="G726" s="89"/>
      <c r="H726" s="89"/>
      <c r="I726" s="89"/>
      <c r="J726" s="89"/>
    </row>
    <row r="727" ht="15.75" customHeight="1">
      <c r="A727" s="89"/>
      <c r="B727" s="89"/>
      <c r="C727" s="89"/>
      <c r="D727" s="89"/>
      <c r="E727" s="89"/>
      <c r="F727" s="89"/>
      <c r="G727" s="89"/>
      <c r="H727" s="89"/>
      <c r="I727" s="89"/>
      <c r="J727" s="89"/>
    </row>
    <row r="728" ht="15.75" customHeight="1">
      <c r="A728" s="89"/>
      <c r="B728" s="89"/>
      <c r="C728" s="89"/>
      <c r="D728" s="89"/>
      <c r="E728" s="89"/>
      <c r="F728" s="89"/>
      <c r="G728" s="89"/>
      <c r="H728" s="89"/>
      <c r="I728" s="89"/>
      <c r="J728" s="89"/>
    </row>
    <row r="729" ht="15.75" customHeight="1">
      <c r="A729" s="89"/>
      <c r="B729" s="89"/>
      <c r="C729" s="89"/>
      <c r="D729" s="89"/>
      <c r="E729" s="89"/>
      <c r="F729" s="89"/>
      <c r="G729" s="89"/>
      <c r="H729" s="89"/>
      <c r="I729" s="89"/>
      <c r="J729" s="89"/>
    </row>
    <row r="730" ht="15.75" customHeight="1">
      <c r="A730" s="89"/>
      <c r="B730" s="89"/>
      <c r="C730" s="89"/>
      <c r="D730" s="89"/>
      <c r="E730" s="89"/>
      <c r="F730" s="89"/>
      <c r="G730" s="89"/>
      <c r="H730" s="89"/>
      <c r="I730" s="89"/>
      <c r="J730" s="89"/>
    </row>
    <row r="731" ht="15.75" customHeight="1">
      <c r="A731" s="89"/>
      <c r="B731" s="89"/>
      <c r="C731" s="89"/>
      <c r="D731" s="89"/>
      <c r="E731" s="89"/>
      <c r="F731" s="89"/>
      <c r="G731" s="89"/>
      <c r="H731" s="89"/>
      <c r="I731" s="89"/>
      <c r="J731" s="89"/>
    </row>
    <row r="732" ht="15.75" customHeight="1">
      <c r="A732" s="89"/>
      <c r="B732" s="89"/>
      <c r="C732" s="89"/>
      <c r="D732" s="89"/>
      <c r="E732" s="89"/>
      <c r="F732" s="89"/>
      <c r="G732" s="89"/>
      <c r="H732" s="89"/>
      <c r="I732" s="89"/>
      <c r="J732" s="89"/>
    </row>
    <row r="733" ht="15.75" customHeight="1">
      <c r="A733" s="89"/>
      <c r="B733" s="89"/>
      <c r="C733" s="89"/>
      <c r="D733" s="89"/>
      <c r="E733" s="89"/>
      <c r="F733" s="89"/>
      <c r="G733" s="89"/>
      <c r="H733" s="89"/>
      <c r="I733" s="89"/>
      <c r="J733" s="89"/>
    </row>
    <row r="734" ht="15.75" customHeight="1">
      <c r="A734" s="89"/>
      <c r="B734" s="89"/>
      <c r="C734" s="89"/>
      <c r="D734" s="89"/>
      <c r="E734" s="89"/>
      <c r="F734" s="89"/>
      <c r="G734" s="89"/>
      <c r="H734" s="89"/>
      <c r="I734" s="89"/>
      <c r="J734" s="89"/>
    </row>
    <row r="735" ht="15.75" customHeight="1">
      <c r="A735" s="89"/>
      <c r="B735" s="89"/>
      <c r="C735" s="89"/>
      <c r="D735" s="89"/>
      <c r="E735" s="89"/>
      <c r="F735" s="89"/>
      <c r="G735" s="89"/>
      <c r="H735" s="89"/>
      <c r="I735" s="89"/>
      <c r="J735" s="89"/>
    </row>
    <row r="736" ht="15.75" customHeight="1">
      <c r="A736" s="89"/>
      <c r="B736" s="89"/>
      <c r="C736" s="89"/>
      <c r="D736" s="89"/>
      <c r="E736" s="89"/>
      <c r="F736" s="89"/>
      <c r="G736" s="89"/>
      <c r="H736" s="89"/>
      <c r="I736" s="89"/>
      <c r="J736" s="89"/>
    </row>
    <row r="737" ht="15.75" customHeight="1">
      <c r="A737" s="89"/>
      <c r="B737" s="89"/>
      <c r="C737" s="89"/>
      <c r="D737" s="89"/>
      <c r="E737" s="89"/>
      <c r="F737" s="89"/>
      <c r="G737" s="89"/>
      <c r="H737" s="89"/>
      <c r="I737" s="89"/>
      <c r="J737" s="89"/>
    </row>
    <row r="738" ht="15.75" customHeight="1">
      <c r="A738" s="89"/>
      <c r="B738" s="89"/>
      <c r="C738" s="89"/>
      <c r="D738" s="89"/>
      <c r="E738" s="89"/>
      <c r="F738" s="89"/>
      <c r="G738" s="89"/>
      <c r="H738" s="89"/>
      <c r="I738" s="89"/>
      <c r="J738" s="89"/>
    </row>
    <row r="739" ht="15.75" customHeight="1">
      <c r="A739" s="89"/>
      <c r="B739" s="89"/>
      <c r="C739" s="89"/>
      <c r="D739" s="89"/>
      <c r="E739" s="89"/>
      <c r="F739" s="89"/>
      <c r="G739" s="89"/>
      <c r="H739" s="89"/>
      <c r="I739" s="89"/>
      <c r="J739" s="89"/>
    </row>
    <row r="740" ht="15.75" customHeight="1">
      <c r="A740" s="89"/>
      <c r="B740" s="89"/>
      <c r="C740" s="89"/>
      <c r="D740" s="89"/>
      <c r="E740" s="89"/>
      <c r="F740" s="89"/>
      <c r="G740" s="89"/>
      <c r="H740" s="89"/>
      <c r="I740" s="89"/>
      <c r="J740" s="89"/>
    </row>
    <row r="741" ht="15.75" customHeight="1">
      <c r="A741" s="89"/>
      <c r="B741" s="89"/>
      <c r="C741" s="89"/>
      <c r="D741" s="89"/>
      <c r="E741" s="89"/>
      <c r="F741" s="89"/>
      <c r="G741" s="89"/>
      <c r="H741" s="89"/>
      <c r="I741" s="89"/>
      <c r="J741" s="89"/>
    </row>
    <row r="742" ht="15.75" customHeight="1">
      <c r="A742" s="89"/>
      <c r="B742" s="89"/>
      <c r="C742" s="89"/>
      <c r="D742" s="89"/>
      <c r="E742" s="89"/>
      <c r="F742" s="89"/>
      <c r="G742" s="89"/>
      <c r="H742" s="89"/>
      <c r="I742" s="89"/>
      <c r="J742" s="89"/>
    </row>
    <row r="743" ht="15.75" customHeight="1">
      <c r="A743" s="89"/>
      <c r="B743" s="89"/>
      <c r="C743" s="89"/>
      <c r="D743" s="89"/>
      <c r="E743" s="89"/>
      <c r="F743" s="89"/>
      <c r="G743" s="89"/>
      <c r="H743" s="89"/>
      <c r="I743" s="89"/>
      <c r="J743" s="89"/>
    </row>
    <row r="744" ht="15.75" customHeight="1">
      <c r="A744" s="89"/>
      <c r="B744" s="89"/>
      <c r="C744" s="89"/>
      <c r="D744" s="89"/>
      <c r="E744" s="89"/>
      <c r="F744" s="89"/>
      <c r="G744" s="89"/>
      <c r="H744" s="89"/>
      <c r="I744" s="89"/>
      <c r="J744" s="89"/>
    </row>
    <row r="745" ht="15.75" customHeight="1">
      <c r="A745" s="89"/>
      <c r="B745" s="89"/>
      <c r="C745" s="89"/>
      <c r="D745" s="89"/>
      <c r="E745" s="89"/>
      <c r="F745" s="89"/>
      <c r="G745" s="89"/>
      <c r="H745" s="89"/>
      <c r="I745" s="89"/>
      <c r="J745" s="89"/>
    </row>
    <row r="746" ht="15.75" customHeight="1">
      <c r="A746" s="89"/>
      <c r="B746" s="89"/>
      <c r="C746" s="89"/>
      <c r="D746" s="89"/>
      <c r="E746" s="89"/>
      <c r="F746" s="89"/>
      <c r="G746" s="89"/>
      <c r="H746" s="89"/>
      <c r="I746" s="89"/>
      <c r="J746" s="89"/>
    </row>
    <row r="747" ht="15.75" customHeight="1">
      <c r="A747" s="89"/>
      <c r="B747" s="89"/>
      <c r="C747" s="89"/>
      <c r="D747" s="89"/>
      <c r="E747" s="89"/>
      <c r="F747" s="89"/>
      <c r="G747" s="89"/>
      <c r="H747" s="89"/>
      <c r="I747" s="89"/>
      <c r="J747" s="89"/>
    </row>
    <row r="748" ht="15.75" customHeight="1">
      <c r="A748" s="89"/>
      <c r="B748" s="89"/>
      <c r="C748" s="89"/>
      <c r="D748" s="89"/>
      <c r="E748" s="89"/>
      <c r="F748" s="89"/>
      <c r="G748" s="89"/>
      <c r="H748" s="89"/>
      <c r="I748" s="89"/>
      <c r="J748" s="89"/>
    </row>
    <row r="749" ht="15.75" customHeight="1">
      <c r="A749" s="89"/>
      <c r="B749" s="89"/>
      <c r="C749" s="89"/>
      <c r="D749" s="89"/>
      <c r="E749" s="89"/>
      <c r="F749" s="89"/>
      <c r="G749" s="89"/>
      <c r="H749" s="89"/>
      <c r="I749" s="89"/>
      <c r="J749" s="89"/>
    </row>
    <row r="750" ht="15.75" customHeight="1">
      <c r="A750" s="89"/>
      <c r="B750" s="89"/>
      <c r="C750" s="89"/>
      <c r="D750" s="89"/>
      <c r="E750" s="89"/>
      <c r="F750" s="89"/>
      <c r="G750" s="89"/>
      <c r="H750" s="89"/>
      <c r="I750" s="89"/>
      <c r="J750" s="89"/>
    </row>
    <row r="751" ht="15.75" customHeight="1">
      <c r="A751" s="89"/>
      <c r="B751" s="89"/>
      <c r="C751" s="89"/>
      <c r="D751" s="89"/>
      <c r="E751" s="89"/>
      <c r="F751" s="89"/>
      <c r="G751" s="89"/>
      <c r="H751" s="89"/>
      <c r="I751" s="89"/>
      <c r="J751" s="89"/>
    </row>
    <row r="752" ht="15.75" customHeight="1">
      <c r="A752" s="89"/>
      <c r="B752" s="89"/>
      <c r="C752" s="89"/>
      <c r="D752" s="89"/>
      <c r="E752" s="89"/>
      <c r="F752" s="89"/>
      <c r="G752" s="89"/>
      <c r="H752" s="89"/>
      <c r="I752" s="89"/>
      <c r="J752" s="89"/>
    </row>
    <row r="753" ht="15.75" customHeight="1">
      <c r="A753" s="89"/>
      <c r="B753" s="89"/>
      <c r="C753" s="89"/>
      <c r="D753" s="89"/>
      <c r="E753" s="89"/>
      <c r="F753" s="89"/>
      <c r="G753" s="89"/>
      <c r="H753" s="89"/>
      <c r="I753" s="89"/>
      <c r="J753" s="89"/>
    </row>
    <row r="754" ht="15.75" customHeight="1">
      <c r="A754" s="89"/>
      <c r="B754" s="89"/>
      <c r="C754" s="89"/>
      <c r="D754" s="89"/>
      <c r="E754" s="89"/>
      <c r="F754" s="89"/>
      <c r="G754" s="89"/>
      <c r="H754" s="89"/>
      <c r="I754" s="89"/>
      <c r="J754" s="89"/>
    </row>
    <row r="755" ht="15.75" customHeight="1">
      <c r="A755" s="89"/>
      <c r="B755" s="89"/>
      <c r="C755" s="89"/>
      <c r="D755" s="89"/>
      <c r="E755" s="89"/>
      <c r="F755" s="89"/>
      <c r="G755" s="89"/>
      <c r="H755" s="89"/>
      <c r="I755" s="89"/>
      <c r="J755" s="89"/>
    </row>
    <row r="756" ht="15.75" customHeight="1">
      <c r="A756" s="89"/>
      <c r="B756" s="89"/>
      <c r="C756" s="89"/>
      <c r="D756" s="89"/>
      <c r="E756" s="89"/>
      <c r="F756" s="89"/>
      <c r="G756" s="89"/>
      <c r="H756" s="89"/>
      <c r="I756" s="89"/>
      <c r="J756" s="89"/>
    </row>
    <row r="757" ht="15.75" customHeight="1">
      <c r="A757" s="89"/>
      <c r="B757" s="89"/>
      <c r="C757" s="89"/>
      <c r="D757" s="89"/>
      <c r="E757" s="89"/>
      <c r="F757" s="89"/>
      <c r="G757" s="89"/>
      <c r="H757" s="89"/>
      <c r="I757" s="89"/>
      <c r="J757" s="89"/>
    </row>
    <row r="758" ht="15.75" customHeight="1">
      <c r="A758" s="89"/>
      <c r="B758" s="89"/>
      <c r="C758" s="89"/>
      <c r="D758" s="89"/>
      <c r="E758" s="89"/>
      <c r="F758" s="89"/>
      <c r="G758" s="89"/>
      <c r="H758" s="89"/>
      <c r="I758" s="89"/>
      <c r="J758" s="89"/>
    </row>
    <row r="759" ht="15.75" customHeight="1">
      <c r="A759" s="89"/>
      <c r="B759" s="89"/>
      <c r="C759" s="89"/>
      <c r="D759" s="89"/>
      <c r="E759" s="89"/>
      <c r="F759" s="89"/>
      <c r="G759" s="89"/>
      <c r="H759" s="89"/>
      <c r="I759" s="89"/>
      <c r="J759" s="89"/>
    </row>
    <row r="760" ht="15.75" customHeight="1">
      <c r="A760" s="89"/>
      <c r="B760" s="89"/>
      <c r="C760" s="89"/>
      <c r="D760" s="89"/>
      <c r="E760" s="89"/>
      <c r="F760" s="89"/>
      <c r="G760" s="89"/>
      <c r="H760" s="89"/>
      <c r="I760" s="89"/>
      <c r="J760" s="89"/>
    </row>
    <row r="761" ht="15.75" customHeight="1">
      <c r="A761" s="89"/>
      <c r="B761" s="89"/>
      <c r="C761" s="89"/>
      <c r="D761" s="89"/>
      <c r="E761" s="89"/>
      <c r="F761" s="89"/>
      <c r="G761" s="89"/>
      <c r="H761" s="89"/>
      <c r="I761" s="89"/>
      <c r="J761" s="89"/>
    </row>
    <row r="762" ht="15.75" customHeight="1">
      <c r="A762" s="89"/>
      <c r="B762" s="89"/>
      <c r="C762" s="89"/>
      <c r="D762" s="89"/>
      <c r="E762" s="89"/>
      <c r="F762" s="89"/>
      <c r="G762" s="89"/>
      <c r="H762" s="89"/>
      <c r="I762" s="89"/>
      <c r="J762" s="89"/>
    </row>
    <row r="763" ht="15.75" customHeight="1">
      <c r="A763" s="89"/>
      <c r="B763" s="89"/>
      <c r="C763" s="89"/>
      <c r="D763" s="89"/>
      <c r="E763" s="89"/>
      <c r="F763" s="89"/>
      <c r="G763" s="89"/>
      <c r="H763" s="89"/>
      <c r="I763" s="89"/>
      <c r="J763" s="89"/>
    </row>
    <row r="764" ht="15.75" customHeight="1">
      <c r="A764" s="89"/>
      <c r="B764" s="89"/>
      <c r="C764" s="89"/>
      <c r="D764" s="89"/>
      <c r="E764" s="89"/>
      <c r="F764" s="89"/>
      <c r="G764" s="89"/>
      <c r="H764" s="89"/>
      <c r="I764" s="89"/>
      <c r="J764" s="89"/>
    </row>
    <row r="765" ht="15.75" customHeight="1">
      <c r="A765" s="89"/>
      <c r="B765" s="89"/>
      <c r="C765" s="89"/>
      <c r="D765" s="89"/>
      <c r="E765" s="89"/>
      <c r="F765" s="89"/>
      <c r="G765" s="89"/>
      <c r="H765" s="89"/>
      <c r="I765" s="89"/>
      <c r="J765" s="89"/>
    </row>
    <row r="766" ht="15.75" customHeight="1">
      <c r="A766" s="89"/>
      <c r="B766" s="89"/>
      <c r="C766" s="89"/>
      <c r="D766" s="89"/>
      <c r="E766" s="89"/>
      <c r="F766" s="89"/>
      <c r="G766" s="89"/>
      <c r="H766" s="89"/>
      <c r="I766" s="89"/>
      <c r="J766" s="89"/>
    </row>
    <row r="767" ht="15.75" customHeight="1">
      <c r="A767" s="89"/>
      <c r="B767" s="89"/>
      <c r="C767" s="89"/>
      <c r="D767" s="89"/>
      <c r="E767" s="89"/>
      <c r="F767" s="89"/>
      <c r="G767" s="89"/>
      <c r="H767" s="89"/>
      <c r="I767" s="89"/>
      <c r="J767" s="89"/>
    </row>
    <row r="768" ht="15.75" customHeight="1">
      <c r="A768" s="89"/>
      <c r="B768" s="89"/>
      <c r="C768" s="89"/>
      <c r="D768" s="89"/>
      <c r="E768" s="89"/>
      <c r="F768" s="89"/>
      <c r="G768" s="89"/>
      <c r="H768" s="89"/>
      <c r="I768" s="89"/>
      <c r="J768" s="89"/>
    </row>
    <row r="769" ht="15.75" customHeight="1">
      <c r="A769" s="89"/>
      <c r="B769" s="89"/>
      <c r="C769" s="89"/>
      <c r="D769" s="89"/>
      <c r="E769" s="89"/>
      <c r="F769" s="89"/>
      <c r="G769" s="89"/>
      <c r="H769" s="89"/>
      <c r="I769" s="89"/>
      <c r="J769" s="89"/>
    </row>
    <row r="770" ht="15.75" customHeight="1">
      <c r="A770" s="89"/>
      <c r="B770" s="89"/>
      <c r="C770" s="89"/>
      <c r="D770" s="89"/>
      <c r="E770" s="89"/>
      <c r="F770" s="89"/>
      <c r="G770" s="89"/>
      <c r="H770" s="89"/>
      <c r="I770" s="89"/>
      <c r="J770" s="89"/>
    </row>
    <row r="771" ht="15.75" customHeight="1">
      <c r="A771" s="89"/>
      <c r="B771" s="89"/>
      <c r="C771" s="89"/>
      <c r="D771" s="89"/>
      <c r="E771" s="89"/>
      <c r="F771" s="89"/>
      <c r="G771" s="89"/>
      <c r="H771" s="89"/>
      <c r="I771" s="89"/>
      <c r="J771" s="89"/>
    </row>
    <row r="772" ht="15.75" customHeight="1">
      <c r="A772" s="89"/>
      <c r="B772" s="89"/>
      <c r="C772" s="89"/>
      <c r="D772" s="89"/>
      <c r="E772" s="89"/>
      <c r="F772" s="89"/>
      <c r="G772" s="89"/>
      <c r="H772" s="89"/>
      <c r="I772" s="89"/>
      <c r="J772" s="89"/>
    </row>
    <row r="773" ht="15.75" customHeight="1">
      <c r="A773" s="89"/>
      <c r="B773" s="89"/>
      <c r="C773" s="89"/>
      <c r="D773" s="89"/>
      <c r="E773" s="89"/>
      <c r="F773" s="89"/>
      <c r="G773" s="89"/>
      <c r="H773" s="89"/>
      <c r="I773" s="89"/>
      <c r="J773" s="89"/>
    </row>
    <row r="774" ht="15.75" customHeight="1">
      <c r="A774" s="89"/>
      <c r="B774" s="89"/>
      <c r="C774" s="89"/>
      <c r="D774" s="89"/>
      <c r="E774" s="89"/>
      <c r="F774" s="89"/>
      <c r="G774" s="89"/>
      <c r="H774" s="89"/>
      <c r="I774" s="89"/>
      <c r="J774" s="89"/>
    </row>
    <row r="775" ht="15.75" customHeight="1">
      <c r="A775" s="89"/>
      <c r="B775" s="89"/>
      <c r="C775" s="89"/>
      <c r="D775" s="89"/>
      <c r="E775" s="89"/>
      <c r="F775" s="89"/>
      <c r="G775" s="89"/>
      <c r="H775" s="89"/>
      <c r="I775" s="89"/>
      <c r="J775" s="89"/>
    </row>
    <row r="776" ht="15.75" customHeight="1">
      <c r="A776" s="89"/>
      <c r="B776" s="89"/>
      <c r="C776" s="89"/>
      <c r="D776" s="89"/>
      <c r="E776" s="89"/>
      <c r="F776" s="89"/>
      <c r="G776" s="89"/>
      <c r="H776" s="89"/>
      <c r="I776" s="89"/>
      <c r="J776" s="89"/>
    </row>
    <row r="777" ht="15.75" customHeight="1">
      <c r="A777" s="89"/>
      <c r="B777" s="89"/>
      <c r="C777" s="89"/>
      <c r="D777" s="89"/>
      <c r="E777" s="89"/>
      <c r="F777" s="89"/>
      <c r="G777" s="89"/>
      <c r="H777" s="89"/>
      <c r="I777" s="89"/>
      <c r="J777" s="89"/>
    </row>
    <row r="778" ht="15.75" customHeight="1">
      <c r="A778" s="89"/>
      <c r="B778" s="89"/>
      <c r="C778" s="89"/>
      <c r="D778" s="89"/>
      <c r="E778" s="89"/>
      <c r="F778" s="89"/>
      <c r="G778" s="89"/>
      <c r="H778" s="89"/>
      <c r="I778" s="89"/>
      <c r="J778" s="89"/>
    </row>
    <row r="779" ht="15.75" customHeight="1">
      <c r="A779" s="89"/>
      <c r="B779" s="89"/>
      <c r="C779" s="89"/>
      <c r="D779" s="89"/>
      <c r="E779" s="89"/>
      <c r="F779" s="89"/>
      <c r="G779" s="89"/>
      <c r="H779" s="89"/>
      <c r="I779" s="89"/>
      <c r="J779" s="89"/>
    </row>
    <row r="780" ht="15.75" customHeight="1">
      <c r="A780" s="89"/>
      <c r="B780" s="89"/>
      <c r="C780" s="89"/>
      <c r="D780" s="89"/>
      <c r="E780" s="89"/>
      <c r="F780" s="89"/>
      <c r="G780" s="89"/>
      <c r="H780" s="89"/>
      <c r="I780" s="89"/>
      <c r="J780" s="89"/>
    </row>
    <row r="781" ht="15.75" customHeight="1">
      <c r="A781" s="89"/>
      <c r="B781" s="89"/>
      <c r="C781" s="89"/>
      <c r="D781" s="89"/>
      <c r="E781" s="89"/>
      <c r="F781" s="89"/>
      <c r="G781" s="89"/>
      <c r="H781" s="89"/>
      <c r="I781" s="89"/>
      <c r="J781" s="89"/>
    </row>
    <row r="782" ht="15.75" customHeight="1">
      <c r="A782" s="89"/>
      <c r="B782" s="89"/>
      <c r="C782" s="89"/>
      <c r="D782" s="89"/>
      <c r="E782" s="89"/>
      <c r="F782" s="89"/>
      <c r="G782" s="89"/>
      <c r="H782" s="89"/>
      <c r="I782" s="89"/>
      <c r="J782" s="89"/>
    </row>
    <row r="783" ht="15.75" customHeight="1">
      <c r="A783" s="89"/>
      <c r="B783" s="89"/>
      <c r="C783" s="89"/>
      <c r="D783" s="89"/>
      <c r="E783" s="89"/>
      <c r="F783" s="89"/>
      <c r="G783" s="89"/>
      <c r="H783" s="89"/>
      <c r="I783" s="89"/>
      <c r="J783" s="89"/>
    </row>
    <row r="784" ht="15.75" customHeight="1">
      <c r="A784" s="89"/>
      <c r="B784" s="89"/>
      <c r="C784" s="89"/>
      <c r="D784" s="89"/>
      <c r="E784" s="89"/>
      <c r="F784" s="89"/>
      <c r="G784" s="89"/>
      <c r="H784" s="89"/>
      <c r="I784" s="89"/>
      <c r="J784" s="89"/>
    </row>
    <row r="785" ht="15.75" customHeight="1">
      <c r="A785" s="89"/>
      <c r="B785" s="89"/>
      <c r="C785" s="89"/>
      <c r="D785" s="89"/>
      <c r="E785" s="89"/>
      <c r="F785" s="89"/>
      <c r="G785" s="89"/>
      <c r="H785" s="89"/>
      <c r="I785" s="89"/>
      <c r="J785" s="89"/>
    </row>
    <row r="786" ht="15.75" customHeight="1">
      <c r="A786" s="89"/>
      <c r="B786" s="89"/>
      <c r="C786" s="89"/>
      <c r="D786" s="89"/>
      <c r="E786" s="89"/>
      <c r="F786" s="89"/>
      <c r="G786" s="89"/>
      <c r="H786" s="89"/>
      <c r="I786" s="89"/>
      <c r="J786" s="89"/>
    </row>
    <row r="787" ht="15.75" customHeight="1">
      <c r="A787" s="89"/>
      <c r="B787" s="89"/>
      <c r="C787" s="89"/>
      <c r="D787" s="89"/>
      <c r="E787" s="89"/>
      <c r="F787" s="89"/>
      <c r="G787" s="89"/>
      <c r="H787" s="89"/>
      <c r="I787" s="89"/>
      <c r="J787" s="89"/>
    </row>
    <row r="788" ht="15.75" customHeight="1">
      <c r="A788" s="89"/>
      <c r="B788" s="89"/>
      <c r="C788" s="89"/>
      <c r="D788" s="89"/>
      <c r="E788" s="89"/>
      <c r="F788" s="89"/>
      <c r="G788" s="89"/>
      <c r="H788" s="89"/>
      <c r="I788" s="89"/>
      <c r="J788" s="89"/>
    </row>
    <row r="789" ht="15.75" customHeight="1">
      <c r="A789" s="89"/>
      <c r="B789" s="89"/>
      <c r="C789" s="89"/>
      <c r="D789" s="89"/>
      <c r="E789" s="89"/>
      <c r="F789" s="89"/>
      <c r="G789" s="89"/>
      <c r="H789" s="89"/>
      <c r="I789" s="89"/>
      <c r="J789" s="89"/>
    </row>
    <row r="790" ht="15.75" customHeight="1">
      <c r="A790" s="89"/>
      <c r="B790" s="89"/>
      <c r="C790" s="89"/>
      <c r="D790" s="89"/>
      <c r="E790" s="89"/>
      <c r="F790" s="89"/>
      <c r="G790" s="89"/>
      <c r="H790" s="89"/>
      <c r="I790" s="89"/>
      <c r="J790" s="89"/>
    </row>
    <row r="791" ht="15.75" customHeight="1">
      <c r="A791" s="89"/>
      <c r="B791" s="89"/>
      <c r="C791" s="89"/>
      <c r="D791" s="89"/>
      <c r="E791" s="89"/>
      <c r="F791" s="89"/>
      <c r="G791" s="89"/>
      <c r="H791" s="89"/>
      <c r="I791" s="89"/>
      <c r="J791" s="89"/>
    </row>
    <row r="792" ht="15.75" customHeight="1">
      <c r="A792" s="89"/>
      <c r="B792" s="89"/>
      <c r="C792" s="89"/>
      <c r="D792" s="89"/>
      <c r="E792" s="89"/>
      <c r="F792" s="89"/>
      <c r="G792" s="89"/>
      <c r="H792" s="89"/>
      <c r="I792" s="89"/>
      <c r="J792" s="89"/>
    </row>
    <row r="793" ht="15.75" customHeight="1">
      <c r="A793" s="89"/>
      <c r="B793" s="89"/>
      <c r="C793" s="89"/>
      <c r="D793" s="89"/>
      <c r="E793" s="89"/>
      <c r="F793" s="89"/>
      <c r="G793" s="89"/>
      <c r="H793" s="89"/>
      <c r="I793" s="89"/>
      <c r="J793" s="89"/>
    </row>
    <row r="794" ht="15.75" customHeight="1">
      <c r="A794" s="89"/>
      <c r="B794" s="89"/>
      <c r="C794" s="89"/>
      <c r="D794" s="89"/>
      <c r="E794" s="89"/>
      <c r="F794" s="89"/>
      <c r="G794" s="89"/>
      <c r="H794" s="89"/>
      <c r="I794" s="89"/>
      <c r="J794" s="89"/>
    </row>
    <row r="795" ht="15.75" customHeight="1">
      <c r="A795" s="89"/>
      <c r="B795" s="89"/>
      <c r="C795" s="89"/>
      <c r="D795" s="89"/>
      <c r="E795" s="89"/>
      <c r="F795" s="89"/>
      <c r="G795" s="89"/>
      <c r="H795" s="89"/>
      <c r="I795" s="89"/>
      <c r="J795" s="89"/>
    </row>
    <row r="796" ht="15.75" customHeight="1">
      <c r="A796" s="89"/>
      <c r="B796" s="89"/>
      <c r="C796" s="89"/>
      <c r="D796" s="89"/>
      <c r="E796" s="89"/>
      <c r="F796" s="89"/>
      <c r="G796" s="89"/>
      <c r="H796" s="89"/>
      <c r="I796" s="89"/>
      <c r="J796" s="89"/>
    </row>
    <row r="797" ht="15.75" customHeight="1">
      <c r="A797" s="89"/>
      <c r="B797" s="89"/>
      <c r="C797" s="89"/>
      <c r="D797" s="89"/>
      <c r="E797" s="89"/>
      <c r="F797" s="89"/>
      <c r="G797" s="89"/>
      <c r="H797" s="89"/>
      <c r="I797" s="89"/>
      <c r="J797" s="89"/>
    </row>
    <row r="798" ht="15.75" customHeight="1">
      <c r="A798" s="89"/>
      <c r="B798" s="89"/>
      <c r="C798" s="89"/>
      <c r="D798" s="89"/>
      <c r="E798" s="89"/>
      <c r="F798" s="89"/>
      <c r="G798" s="89"/>
      <c r="H798" s="89"/>
      <c r="I798" s="89"/>
      <c r="J798" s="89"/>
    </row>
    <row r="799" ht="15.75" customHeight="1">
      <c r="A799" s="89"/>
      <c r="B799" s="89"/>
      <c r="C799" s="89"/>
      <c r="D799" s="89"/>
      <c r="E799" s="89"/>
      <c r="F799" s="89"/>
      <c r="G799" s="89"/>
      <c r="H799" s="89"/>
      <c r="I799" s="89"/>
      <c r="J799" s="89"/>
    </row>
    <row r="800" ht="15.75" customHeight="1">
      <c r="A800" s="89"/>
      <c r="B800" s="89"/>
      <c r="C800" s="89"/>
      <c r="D800" s="89"/>
      <c r="E800" s="89"/>
      <c r="F800" s="89"/>
      <c r="G800" s="89"/>
      <c r="H800" s="89"/>
      <c r="I800" s="89"/>
      <c r="J800" s="89"/>
    </row>
    <row r="801" ht="15.75" customHeight="1">
      <c r="A801" s="89"/>
      <c r="B801" s="89"/>
      <c r="C801" s="89"/>
      <c r="D801" s="89"/>
      <c r="E801" s="89"/>
      <c r="F801" s="89"/>
      <c r="G801" s="89"/>
      <c r="H801" s="89"/>
      <c r="I801" s="89"/>
      <c r="J801" s="89"/>
    </row>
    <row r="802" ht="15.75" customHeight="1">
      <c r="A802" s="89"/>
      <c r="B802" s="89"/>
      <c r="C802" s="89"/>
      <c r="D802" s="89"/>
      <c r="E802" s="89"/>
      <c r="F802" s="89"/>
      <c r="G802" s="89"/>
      <c r="H802" s="89"/>
      <c r="I802" s="89"/>
      <c r="J802" s="89"/>
    </row>
    <row r="803" ht="15.75" customHeight="1">
      <c r="A803" s="89"/>
      <c r="B803" s="89"/>
      <c r="C803" s="89"/>
      <c r="D803" s="89"/>
      <c r="E803" s="89"/>
      <c r="F803" s="89"/>
      <c r="G803" s="89"/>
      <c r="H803" s="89"/>
      <c r="I803" s="89"/>
      <c r="J803" s="89"/>
    </row>
    <row r="804" ht="15.75" customHeight="1">
      <c r="A804" s="89"/>
      <c r="B804" s="89"/>
      <c r="C804" s="89"/>
      <c r="D804" s="89"/>
      <c r="E804" s="89"/>
      <c r="F804" s="89"/>
      <c r="G804" s="89"/>
      <c r="H804" s="89"/>
      <c r="I804" s="89"/>
      <c r="J804" s="89"/>
    </row>
    <row r="805" ht="15.75" customHeight="1">
      <c r="A805" s="89"/>
      <c r="B805" s="89"/>
      <c r="C805" s="89"/>
      <c r="D805" s="89"/>
      <c r="E805" s="89"/>
      <c r="F805" s="89"/>
      <c r="G805" s="89"/>
      <c r="H805" s="89"/>
      <c r="I805" s="89"/>
      <c r="J805" s="89"/>
    </row>
    <row r="806" ht="15.75" customHeight="1">
      <c r="A806" s="89"/>
      <c r="B806" s="89"/>
      <c r="C806" s="89"/>
      <c r="D806" s="89"/>
      <c r="E806" s="89"/>
      <c r="F806" s="89"/>
      <c r="G806" s="89"/>
      <c r="H806" s="89"/>
      <c r="I806" s="89"/>
      <c r="J806" s="89"/>
    </row>
    <row r="807" ht="15.75" customHeight="1">
      <c r="A807" s="89"/>
      <c r="B807" s="89"/>
      <c r="C807" s="89"/>
      <c r="D807" s="89"/>
      <c r="E807" s="89"/>
      <c r="F807" s="89"/>
      <c r="G807" s="89"/>
      <c r="H807" s="89"/>
      <c r="I807" s="89"/>
      <c r="J807" s="89"/>
    </row>
    <row r="808" ht="15.75" customHeight="1">
      <c r="A808" s="89"/>
      <c r="B808" s="89"/>
      <c r="C808" s="89"/>
      <c r="D808" s="89"/>
      <c r="E808" s="89"/>
      <c r="F808" s="89"/>
      <c r="G808" s="89"/>
      <c r="H808" s="89"/>
      <c r="I808" s="89"/>
      <c r="J808" s="89"/>
    </row>
    <row r="809" ht="15.75" customHeight="1">
      <c r="A809" s="89"/>
      <c r="B809" s="89"/>
      <c r="C809" s="89"/>
      <c r="D809" s="89"/>
      <c r="E809" s="89"/>
      <c r="F809" s="89"/>
      <c r="G809" s="89"/>
      <c r="H809" s="89"/>
      <c r="I809" s="89"/>
      <c r="J809" s="89"/>
    </row>
    <row r="810" ht="15.75" customHeight="1">
      <c r="A810" s="89"/>
      <c r="B810" s="89"/>
      <c r="C810" s="89"/>
      <c r="D810" s="89"/>
      <c r="E810" s="89"/>
      <c r="F810" s="89"/>
      <c r="G810" s="89"/>
      <c r="H810" s="89"/>
      <c r="I810" s="89"/>
      <c r="J810" s="89"/>
    </row>
    <row r="811" ht="15.75" customHeight="1">
      <c r="A811" s="89"/>
      <c r="B811" s="89"/>
      <c r="C811" s="89"/>
      <c r="D811" s="89"/>
      <c r="E811" s="89"/>
      <c r="F811" s="89"/>
      <c r="G811" s="89"/>
      <c r="H811" s="89"/>
      <c r="I811" s="89"/>
      <c r="J811" s="89"/>
    </row>
    <row r="812" ht="15.75" customHeight="1">
      <c r="A812" s="89"/>
      <c r="B812" s="89"/>
      <c r="C812" s="89"/>
      <c r="D812" s="89"/>
      <c r="E812" s="89"/>
      <c r="F812" s="89"/>
      <c r="G812" s="89"/>
      <c r="H812" s="89"/>
      <c r="I812" s="89"/>
      <c r="J812" s="89"/>
    </row>
    <row r="813" ht="15.75" customHeight="1">
      <c r="A813" s="89"/>
      <c r="B813" s="89"/>
      <c r="C813" s="89"/>
      <c r="D813" s="89"/>
      <c r="E813" s="89"/>
      <c r="F813" s="89"/>
      <c r="G813" s="89"/>
      <c r="H813" s="89"/>
      <c r="I813" s="89"/>
      <c r="J813" s="89"/>
    </row>
    <row r="814" ht="15.75" customHeight="1">
      <c r="A814" s="89"/>
      <c r="B814" s="89"/>
      <c r="C814" s="89"/>
      <c r="D814" s="89"/>
      <c r="E814" s="89"/>
      <c r="F814" s="89"/>
      <c r="G814" s="89"/>
      <c r="H814" s="89"/>
      <c r="I814" s="89"/>
      <c r="J814" s="89"/>
    </row>
    <row r="815" ht="15.75" customHeight="1">
      <c r="A815" s="89"/>
      <c r="B815" s="89"/>
      <c r="C815" s="89"/>
      <c r="D815" s="89"/>
      <c r="E815" s="89"/>
      <c r="F815" s="89"/>
      <c r="G815" s="89"/>
      <c r="H815" s="89"/>
      <c r="I815" s="89"/>
      <c r="J815" s="89"/>
    </row>
    <row r="816" ht="15.75" customHeight="1">
      <c r="A816" s="89"/>
      <c r="B816" s="89"/>
      <c r="C816" s="89"/>
      <c r="D816" s="89"/>
      <c r="E816" s="89"/>
      <c r="F816" s="89"/>
      <c r="G816" s="89"/>
      <c r="H816" s="89"/>
      <c r="I816" s="89"/>
      <c r="J816" s="89"/>
    </row>
    <row r="817" ht="15.75" customHeight="1">
      <c r="A817" s="89"/>
      <c r="B817" s="89"/>
      <c r="C817" s="89"/>
      <c r="D817" s="89"/>
      <c r="E817" s="89"/>
      <c r="F817" s="89"/>
      <c r="G817" s="89"/>
      <c r="H817" s="89"/>
      <c r="I817" s="89"/>
      <c r="J817" s="89"/>
    </row>
    <row r="818" ht="15.75" customHeight="1">
      <c r="A818" s="89"/>
      <c r="B818" s="89"/>
      <c r="C818" s="89"/>
      <c r="D818" s="89"/>
      <c r="E818" s="89"/>
      <c r="F818" s="89"/>
      <c r="G818" s="89"/>
      <c r="H818" s="89"/>
      <c r="I818" s="89"/>
      <c r="J818" s="89"/>
    </row>
    <row r="819" ht="15.75" customHeight="1">
      <c r="A819" s="89"/>
      <c r="B819" s="89"/>
      <c r="C819" s="89"/>
      <c r="D819" s="89"/>
      <c r="E819" s="89"/>
      <c r="F819" s="89"/>
      <c r="G819" s="89"/>
      <c r="H819" s="89"/>
      <c r="I819" s="89"/>
      <c r="J819" s="89"/>
    </row>
    <row r="820" ht="15.75" customHeight="1">
      <c r="A820" s="89"/>
      <c r="B820" s="89"/>
      <c r="C820" s="89"/>
      <c r="D820" s="89"/>
      <c r="E820" s="89"/>
      <c r="F820" s="89"/>
      <c r="G820" s="89"/>
      <c r="H820" s="89"/>
      <c r="I820" s="89"/>
      <c r="J820" s="89"/>
    </row>
    <row r="821" ht="15.75" customHeight="1">
      <c r="A821" s="89"/>
      <c r="B821" s="89"/>
      <c r="C821" s="89"/>
      <c r="D821" s="89"/>
      <c r="E821" s="89"/>
      <c r="F821" s="89"/>
      <c r="G821" s="89"/>
      <c r="H821" s="89"/>
      <c r="I821" s="89"/>
      <c r="J821" s="89"/>
    </row>
    <row r="822" ht="15.75" customHeight="1">
      <c r="A822" s="89"/>
      <c r="B822" s="89"/>
      <c r="C822" s="89"/>
      <c r="D822" s="89"/>
      <c r="E822" s="89"/>
      <c r="F822" s="89"/>
      <c r="G822" s="89"/>
      <c r="H822" s="89"/>
      <c r="I822" s="89"/>
      <c r="J822" s="89"/>
    </row>
    <row r="823" ht="15.75" customHeight="1">
      <c r="A823" s="89"/>
      <c r="B823" s="89"/>
      <c r="C823" s="89"/>
      <c r="D823" s="89"/>
      <c r="E823" s="89"/>
      <c r="F823" s="89"/>
      <c r="G823" s="89"/>
      <c r="H823" s="89"/>
      <c r="I823" s="89"/>
      <c r="J823" s="89"/>
    </row>
    <row r="824" ht="15.75" customHeight="1">
      <c r="A824" s="89"/>
      <c r="B824" s="89"/>
      <c r="C824" s="89"/>
      <c r="D824" s="89"/>
      <c r="E824" s="89"/>
      <c r="F824" s="89"/>
      <c r="G824" s="89"/>
      <c r="H824" s="89"/>
      <c r="I824" s="89"/>
      <c r="J824" s="89"/>
    </row>
    <row r="825" ht="15.75" customHeight="1">
      <c r="A825" s="89"/>
      <c r="B825" s="89"/>
      <c r="C825" s="89"/>
      <c r="D825" s="89"/>
      <c r="E825" s="89"/>
      <c r="F825" s="89"/>
      <c r="G825" s="89"/>
      <c r="H825" s="89"/>
      <c r="I825" s="89"/>
      <c r="J825" s="89"/>
    </row>
    <row r="826" ht="15.75" customHeight="1">
      <c r="A826" s="89"/>
      <c r="B826" s="89"/>
      <c r="C826" s="89"/>
      <c r="D826" s="89"/>
      <c r="E826" s="89"/>
      <c r="F826" s="89"/>
      <c r="G826" s="89"/>
      <c r="H826" s="89"/>
      <c r="I826" s="89"/>
      <c r="J826" s="89"/>
    </row>
    <row r="827" ht="15.75" customHeight="1">
      <c r="A827" s="89"/>
      <c r="B827" s="89"/>
      <c r="C827" s="89"/>
      <c r="D827" s="89"/>
      <c r="E827" s="89"/>
      <c r="F827" s="89"/>
      <c r="G827" s="89"/>
      <c r="H827" s="89"/>
      <c r="I827" s="89"/>
      <c r="J827" s="89"/>
    </row>
    <row r="828" ht="15.75" customHeight="1">
      <c r="A828" s="89"/>
      <c r="B828" s="89"/>
      <c r="C828" s="89"/>
      <c r="D828" s="89"/>
      <c r="E828" s="89"/>
      <c r="F828" s="89"/>
      <c r="G828" s="89"/>
      <c r="H828" s="89"/>
      <c r="I828" s="89"/>
      <c r="J828" s="89"/>
    </row>
    <row r="829" ht="15.75" customHeight="1">
      <c r="A829" s="89"/>
      <c r="B829" s="89"/>
      <c r="C829" s="89"/>
      <c r="D829" s="89"/>
      <c r="E829" s="89"/>
      <c r="F829" s="89"/>
      <c r="G829" s="89"/>
      <c r="H829" s="89"/>
      <c r="I829" s="89"/>
      <c r="J829" s="89"/>
    </row>
    <row r="830" ht="15.75" customHeight="1">
      <c r="A830" s="89"/>
      <c r="B830" s="89"/>
      <c r="C830" s="89"/>
      <c r="D830" s="89"/>
      <c r="E830" s="89"/>
      <c r="F830" s="89"/>
      <c r="G830" s="89"/>
      <c r="H830" s="89"/>
      <c r="I830" s="89"/>
      <c r="J830" s="89"/>
    </row>
    <row r="831" ht="15.75" customHeight="1">
      <c r="A831" s="89"/>
      <c r="B831" s="89"/>
      <c r="C831" s="89"/>
      <c r="D831" s="89"/>
      <c r="E831" s="89"/>
      <c r="F831" s="89"/>
      <c r="G831" s="89"/>
      <c r="H831" s="89"/>
      <c r="I831" s="89"/>
      <c r="J831" s="89"/>
    </row>
    <row r="832" ht="15.75" customHeight="1">
      <c r="A832" s="89"/>
      <c r="B832" s="89"/>
      <c r="C832" s="89"/>
      <c r="D832" s="89"/>
      <c r="E832" s="89"/>
      <c r="F832" s="89"/>
      <c r="G832" s="89"/>
      <c r="H832" s="89"/>
      <c r="I832" s="89"/>
      <c r="J832" s="89"/>
    </row>
    <row r="833" ht="15.75" customHeight="1">
      <c r="A833" s="89"/>
      <c r="B833" s="89"/>
      <c r="C833" s="89"/>
      <c r="D833" s="89"/>
      <c r="E833" s="89"/>
      <c r="F833" s="89"/>
      <c r="G833" s="89"/>
      <c r="H833" s="89"/>
      <c r="I833" s="89"/>
      <c r="J833" s="89"/>
    </row>
    <row r="834" ht="15.75" customHeight="1">
      <c r="A834" s="89"/>
      <c r="B834" s="89"/>
      <c r="C834" s="89"/>
      <c r="D834" s="89"/>
      <c r="E834" s="89"/>
      <c r="F834" s="89"/>
      <c r="G834" s="89"/>
      <c r="H834" s="89"/>
      <c r="I834" s="89"/>
      <c r="J834" s="89"/>
    </row>
    <row r="835" ht="15.75" customHeight="1">
      <c r="A835" s="89"/>
      <c r="B835" s="89"/>
      <c r="C835" s="89"/>
      <c r="D835" s="89"/>
      <c r="E835" s="89"/>
      <c r="F835" s="89"/>
      <c r="G835" s="89"/>
      <c r="H835" s="89"/>
      <c r="I835" s="89"/>
      <c r="J835" s="89"/>
    </row>
    <row r="836" ht="15.75" customHeight="1">
      <c r="A836" s="89"/>
      <c r="B836" s="89"/>
      <c r="C836" s="89"/>
      <c r="D836" s="89"/>
      <c r="E836" s="89"/>
      <c r="F836" s="89"/>
      <c r="G836" s="89"/>
      <c r="H836" s="89"/>
      <c r="I836" s="89"/>
      <c r="J836" s="89"/>
    </row>
    <row r="837" ht="15.75" customHeight="1">
      <c r="A837" s="89"/>
      <c r="B837" s="89"/>
      <c r="C837" s="89"/>
      <c r="D837" s="89"/>
      <c r="E837" s="89"/>
      <c r="F837" s="89"/>
      <c r="G837" s="89"/>
      <c r="H837" s="89"/>
      <c r="I837" s="89"/>
      <c r="J837" s="89"/>
    </row>
    <row r="838" ht="15.75" customHeight="1">
      <c r="A838" s="89"/>
      <c r="B838" s="89"/>
      <c r="C838" s="89"/>
      <c r="D838" s="89"/>
      <c r="E838" s="89"/>
      <c r="F838" s="89"/>
      <c r="G838" s="89"/>
      <c r="H838" s="89"/>
      <c r="I838" s="89"/>
      <c r="J838" s="89"/>
    </row>
    <row r="839" ht="15.75" customHeight="1">
      <c r="A839" s="89"/>
      <c r="B839" s="89"/>
      <c r="C839" s="89"/>
      <c r="D839" s="89"/>
      <c r="E839" s="89"/>
      <c r="F839" s="89"/>
      <c r="G839" s="89"/>
      <c r="H839" s="89"/>
      <c r="I839" s="89"/>
      <c r="J839" s="89"/>
    </row>
    <row r="840" ht="15.75" customHeight="1">
      <c r="A840" s="89"/>
      <c r="B840" s="89"/>
      <c r="C840" s="89"/>
      <c r="D840" s="89"/>
      <c r="E840" s="89"/>
      <c r="F840" s="89"/>
      <c r="G840" s="89"/>
      <c r="H840" s="89"/>
      <c r="I840" s="89"/>
      <c r="J840" s="89"/>
    </row>
    <row r="841" ht="15.75" customHeight="1">
      <c r="A841" s="89"/>
      <c r="B841" s="89"/>
      <c r="C841" s="89"/>
      <c r="D841" s="89"/>
      <c r="E841" s="89"/>
      <c r="F841" s="89"/>
      <c r="G841" s="89"/>
      <c r="H841" s="89"/>
      <c r="I841" s="89"/>
      <c r="J841" s="89"/>
    </row>
    <row r="842" ht="15.75" customHeight="1">
      <c r="A842" s="89"/>
      <c r="B842" s="89"/>
      <c r="C842" s="89"/>
      <c r="D842" s="89"/>
      <c r="E842" s="89"/>
      <c r="F842" s="89"/>
      <c r="G842" s="89"/>
      <c r="H842" s="89"/>
      <c r="I842" s="89"/>
      <c r="J842" s="89"/>
    </row>
    <row r="843" ht="15.75" customHeight="1">
      <c r="A843" s="89"/>
      <c r="B843" s="89"/>
      <c r="C843" s="89"/>
      <c r="D843" s="89"/>
      <c r="E843" s="89"/>
      <c r="F843" s="89"/>
      <c r="G843" s="89"/>
      <c r="H843" s="89"/>
      <c r="I843" s="89"/>
      <c r="J843" s="89"/>
    </row>
    <row r="844" ht="15.75" customHeight="1">
      <c r="A844" s="89"/>
      <c r="B844" s="89"/>
      <c r="C844" s="89"/>
      <c r="D844" s="89"/>
      <c r="E844" s="89"/>
      <c r="F844" s="89"/>
      <c r="G844" s="89"/>
      <c r="H844" s="89"/>
      <c r="I844" s="89"/>
      <c r="J844" s="89"/>
    </row>
    <row r="845" ht="15.75" customHeight="1">
      <c r="A845" s="89"/>
      <c r="B845" s="89"/>
      <c r="C845" s="89"/>
      <c r="D845" s="89"/>
      <c r="E845" s="89"/>
      <c r="F845" s="89"/>
      <c r="G845" s="89"/>
      <c r="H845" s="89"/>
      <c r="I845" s="89"/>
      <c r="J845" s="89"/>
    </row>
    <row r="846" ht="15.75" customHeight="1">
      <c r="A846" s="89"/>
      <c r="B846" s="89"/>
      <c r="C846" s="89"/>
      <c r="D846" s="89"/>
      <c r="E846" s="89"/>
      <c r="F846" s="89"/>
      <c r="G846" s="89"/>
      <c r="H846" s="89"/>
      <c r="I846" s="89"/>
      <c r="J846" s="89"/>
    </row>
    <row r="847" ht="15.75" customHeight="1">
      <c r="A847" s="89"/>
      <c r="B847" s="89"/>
      <c r="C847" s="89"/>
      <c r="D847" s="89"/>
      <c r="E847" s="89"/>
      <c r="F847" s="89"/>
      <c r="G847" s="89"/>
      <c r="H847" s="89"/>
      <c r="I847" s="89"/>
      <c r="J847" s="89"/>
    </row>
    <row r="848" ht="15.75" customHeight="1">
      <c r="A848" s="89"/>
      <c r="B848" s="89"/>
      <c r="C848" s="89"/>
      <c r="D848" s="89"/>
      <c r="E848" s="89"/>
      <c r="F848" s="89"/>
      <c r="G848" s="89"/>
      <c r="H848" s="89"/>
      <c r="I848" s="89"/>
      <c r="J848" s="89"/>
    </row>
    <row r="849" ht="15.75" customHeight="1">
      <c r="A849" s="89"/>
      <c r="B849" s="89"/>
      <c r="C849" s="89"/>
      <c r="D849" s="89"/>
      <c r="E849" s="89"/>
      <c r="F849" s="89"/>
      <c r="G849" s="89"/>
      <c r="H849" s="89"/>
      <c r="I849" s="89"/>
      <c r="J849" s="89"/>
    </row>
    <row r="850" ht="15.75" customHeight="1">
      <c r="A850" s="89"/>
      <c r="B850" s="89"/>
      <c r="C850" s="89"/>
      <c r="D850" s="89"/>
      <c r="E850" s="89"/>
      <c r="F850" s="89"/>
      <c r="G850" s="89"/>
      <c r="H850" s="89"/>
      <c r="I850" s="89"/>
      <c r="J850" s="89"/>
    </row>
    <row r="851" ht="15.75" customHeight="1">
      <c r="A851" s="89"/>
      <c r="B851" s="89"/>
      <c r="C851" s="89"/>
      <c r="D851" s="89"/>
      <c r="E851" s="89"/>
      <c r="F851" s="89"/>
      <c r="G851" s="89"/>
      <c r="H851" s="89"/>
      <c r="I851" s="89"/>
      <c r="J851" s="89"/>
    </row>
    <row r="852" ht="15.75" customHeight="1">
      <c r="A852" s="89"/>
      <c r="B852" s="89"/>
      <c r="C852" s="89"/>
      <c r="D852" s="89"/>
      <c r="E852" s="89"/>
      <c r="F852" s="89"/>
      <c r="G852" s="89"/>
      <c r="H852" s="89"/>
      <c r="I852" s="89"/>
      <c r="J852" s="89"/>
    </row>
    <row r="853" ht="15.75" customHeight="1">
      <c r="A853" s="89"/>
      <c r="B853" s="89"/>
      <c r="C853" s="89"/>
      <c r="D853" s="89"/>
      <c r="E853" s="89"/>
      <c r="F853" s="89"/>
      <c r="G853" s="89"/>
      <c r="H853" s="89"/>
      <c r="I853" s="89"/>
      <c r="J853" s="89"/>
    </row>
    <row r="854" ht="15.75" customHeight="1">
      <c r="A854" s="89"/>
      <c r="B854" s="89"/>
      <c r="C854" s="89"/>
      <c r="D854" s="89"/>
      <c r="E854" s="89"/>
      <c r="F854" s="89"/>
      <c r="G854" s="89"/>
      <c r="H854" s="89"/>
      <c r="I854" s="89"/>
      <c r="J854" s="89"/>
    </row>
    <row r="855" ht="15.75" customHeight="1">
      <c r="A855" s="89"/>
      <c r="B855" s="89"/>
      <c r="C855" s="89"/>
      <c r="D855" s="89"/>
      <c r="E855" s="89"/>
      <c r="F855" s="89"/>
      <c r="G855" s="89"/>
      <c r="H855" s="89"/>
      <c r="I855" s="89"/>
      <c r="J855" s="89"/>
    </row>
    <row r="856" ht="15.75" customHeight="1">
      <c r="A856" s="89"/>
      <c r="B856" s="89"/>
      <c r="C856" s="89"/>
      <c r="D856" s="89"/>
      <c r="E856" s="89"/>
      <c r="F856" s="89"/>
      <c r="G856" s="89"/>
      <c r="H856" s="89"/>
      <c r="I856" s="89"/>
      <c r="J856" s="89"/>
    </row>
    <row r="857" ht="15.75" customHeight="1">
      <c r="A857" s="89"/>
      <c r="B857" s="89"/>
      <c r="C857" s="89"/>
      <c r="D857" s="89"/>
      <c r="E857" s="89"/>
      <c r="F857" s="89"/>
      <c r="G857" s="89"/>
      <c r="H857" s="89"/>
      <c r="I857" s="89"/>
      <c r="J857" s="89"/>
    </row>
    <row r="858" ht="15.75" customHeight="1">
      <c r="A858" s="89"/>
      <c r="B858" s="89"/>
      <c r="C858" s="89"/>
      <c r="D858" s="89"/>
      <c r="E858" s="89"/>
      <c r="F858" s="89"/>
      <c r="G858" s="89"/>
      <c r="H858" s="89"/>
      <c r="I858" s="89"/>
      <c r="J858" s="89"/>
    </row>
    <row r="859" ht="15.75" customHeight="1">
      <c r="A859" s="89"/>
      <c r="B859" s="89"/>
      <c r="C859" s="89"/>
      <c r="D859" s="89"/>
      <c r="E859" s="89"/>
      <c r="F859" s="89"/>
      <c r="G859" s="89"/>
      <c r="H859" s="89"/>
      <c r="I859" s="89"/>
      <c r="J859" s="89"/>
    </row>
    <row r="860" ht="15.75" customHeight="1">
      <c r="A860" s="89"/>
      <c r="B860" s="89"/>
      <c r="C860" s="89"/>
      <c r="D860" s="89"/>
      <c r="E860" s="89"/>
      <c r="F860" s="89"/>
      <c r="G860" s="89"/>
      <c r="H860" s="89"/>
      <c r="I860" s="89"/>
      <c r="J860" s="89"/>
    </row>
    <row r="861" ht="15.75" customHeight="1">
      <c r="A861" s="89"/>
      <c r="B861" s="89"/>
      <c r="C861" s="89"/>
      <c r="D861" s="89"/>
      <c r="E861" s="89"/>
      <c r="F861" s="89"/>
      <c r="G861" s="89"/>
      <c r="H861" s="89"/>
      <c r="I861" s="89"/>
      <c r="J861" s="89"/>
    </row>
    <row r="862" ht="15.75" customHeight="1">
      <c r="A862" s="89"/>
      <c r="B862" s="89"/>
      <c r="C862" s="89"/>
      <c r="D862" s="89"/>
      <c r="E862" s="89"/>
      <c r="F862" s="89"/>
      <c r="G862" s="89"/>
      <c r="H862" s="89"/>
      <c r="I862" s="89"/>
      <c r="J862" s="89"/>
    </row>
    <row r="863" ht="15.75" customHeight="1">
      <c r="A863" s="89"/>
      <c r="B863" s="89"/>
      <c r="C863" s="89"/>
      <c r="D863" s="89"/>
      <c r="E863" s="89"/>
      <c r="F863" s="89"/>
      <c r="G863" s="89"/>
      <c r="H863" s="89"/>
      <c r="I863" s="89"/>
      <c r="J863" s="89"/>
    </row>
    <row r="864" ht="15.75" customHeight="1">
      <c r="A864" s="89"/>
      <c r="B864" s="89"/>
      <c r="C864" s="89"/>
      <c r="D864" s="89"/>
      <c r="E864" s="89"/>
      <c r="F864" s="89"/>
      <c r="G864" s="89"/>
      <c r="H864" s="89"/>
      <c r="I864" s="89"/>
      <c r="J864" s="89"/>
    </row>
    <row r="865" ht="15.75" customHeight="1">
      <c r="A865" s="89"/>
      <c r="B865" s="89"/>
      <c r="C865" s="89"/>
      <c r="D865" s="89"/>
      <c r="E865" s="89"/>
      <c r="F865" s="89"/>
      <c r="G865" s="89"/>
      <c r="H865" s="89"/>
      <c r="I865" s="89"/>
      <c r="J865" s="89"/>
    </row>
    <row r="866" ht="15.75" customHeight="1">
      <c r="A866" s="89"/>
      <c r="B866" s="89"/>
      <c r="C866" s="89"/>
      <c r="D866" s="89"/>
      <c r="E866" s="89"/>
      <c r="F866" s="89"/>
      <c r="G866" s="89"/>
      <c r="H866" s="89"/>
      <c r="I866" s="89"/>
      <c r="J866" s="89"/>
    </row>
    <row r="867" ht="15.75" customHeight="1">
      <c r="A867" s="89"/>
      <c r="B867" s="89"/>
      <c r="C867" s="89"/>
      <c r="D867" s="89"/>
      <c r="E867" s="89"/>
      <c r="F867" s="89"/>
      <c r="G867" s="89"/>
      <c r="H867" s="89"/>
      <c r="I867" s="89"/>
      <c r="J867" s="89"/>
    </row>
    <row r="868" ht="15.75" customHeight="1">
      <c r="A868" s="89"/>
      <c r="B868" s="89"/>
      <c r="C868" s="89"/>
      <c r="D868" s="89"/>
      <c r="E868" s="89"/>
      <c r="F868" s="89"/>
      <c r="G868" s="89"/>
      <c r="H868" s="89"/>
      <c r="I868" s="89"/>
      <c r="J868" s="89"/>
    </row>
    <row r="869" ht="15.75" customHeight="1">
      <c r="A869" s="89"/>
      <c r="B869" s="89"/>
      <c r="C869" s="89"/>
      <c r="D869" s="89"/>
      <c r="E869" s="89"/>
      <c r="F869" s="89"/>
      <c r="G869" s="89"/>
      <c r="H869" s="89"/>
      <c r="I869" s="89"/>
      <c r="J869" s="89"/>
    </row>
    <row r="870" ht="15.75" customHeight="1">
      <c r="A870" s="89"/>
      <c r="B870" s="89"/>
      <c r="C870" s="89"/>
      <c r="D870" s="89"/>
      <c r="E870" s="89"/>
      <c r="F870" s="89"/>
      <c r="G870" s="89"/>
      <c r="H870" s="89"/>
      <c r="I870" s="89"/>
      <c r="J870" s="89"/>
    </row>
    <row r="871" ht="15.75" customHeight="1">
      <c r="A871" s="89"/>
      <c r="B871" s="89"/>
      <c r="C871" s="89"/>
      <c r="D871" s="89"/>
      <c r="E871" s="89"/>
      <c r="F871" s="89"/>
      <c r="G871" s="89"/>
      <c r="H871" s="89"/>
      <c r="I871" s="89"/>
      <c r="J871" s="89"/>
    </row>
    <row r="872" ht="15.75" customHeight="1">
      <c r="A872" s="89"/>
      <c r="B872" s="89"/>
      <c r="C872" s="89"/>
      <c r="D872" s="89"/>
      <c r="E872" s="89"/>
      <c r="F872" s="89"/>
      <c r="G872" s="89"/>
      <c r="H872" s="89"/>
      <c r="I872" s="89"/>
      <c r="J872" s="89"/>
    </row>
    <row r="873" ht="15.75" customHeight="1">
      <c r="A873" s="89"/>
      <c r="B873" s="89"/>
      <c r="C873" s="89"/>
      <c r="D873" s="89"/>
      <c r="E873" s="89"/>
      <c r="F873" s="89"/>
      <c r="G873" s="89"/>
      <c r="H873" s="89"/>
      <c r="I873" s="89"/>
      <c r="J873" s="89"/>
    </row>
    <row r="874" ht="15.75" customHeight="1">
      <c r="A874" s="89"/>
      <c r="B874" s="89"/>
      <c r="C874" s="89"/>
      <c r="D874" s="89"/>
      <c r="E874" s="89"/>
      <c r="F874" s="89"/>
      <c r="G874" s="89"/>
      <c r="H874" s="89"/>
      <c r="I874" s="89"/>
      <c r="J874" s="89"/>
    </row>
    <row r="875" ht="15.75" customHeight="1">
      <c r="A875" s="89"/>
      <c r="B875" s="89"/>
      <c r="C875" s="89"/>
      <c r="D875" s="89"/>
      <c r="E875" s="89"/>
      <c r="F875" s="89"/>
      <c r="G875" s="89"/>
      <c r="H875" s="89"/>
      <c r="I875" s="89"/>
      <c r="J875" s="89"/>
    </row>
    <row r="876" ht="15.75" customHeight="1">
      <c r="A876" s="89"/>
      <c r="B876" s="89"/>
      <c r="C876" s="89"/>
      <c r="D876" s="89"/>
      <c r="E876" s="89"/>
      <c r="F876" s="89"/>
      <c r="G876" s="89"/>
      <c r="H876" s="89"/>
      <c r="I876" s="89"/>
      <c r="J876" s="89"/>
    </row>
    <row r="877" ht="15.75" customHeight="1">
      <c r="A877" s="89"/>
      <c r="B877" s="89"/>
      <c r="C877" s="89"/>
      <c r="D877" s="89"/>
      <c r="E877" s="89"/>
      <c r="F877" s="89"/>
      <c r="G877" s="89"/>
      <c r="H877" s="89"/>
      <c r="I877" s="89"/>
      <c r="J877" s="89"/>
    </row>
    <row r="878" ht="15.75" customHeight="1">
      <c r="A878" s="89"/>
      <c r="B878" s="89"/>
      <c r="C878" s="89"/>
      <c r="D878" s="89"/>
      <c r="E878" s="89"/>
      <c r="F878" s="89"/>
      <c r="G878" s="89"/>
      <c r="H878" s="89"/>
      <c r="I878" s="89"/>
      <c r="J878" s="89"/>
    </row>
    <row r="879" ht="15.75" customHeight="1">
      <c r="A879" s="89"/>
      <c r="B879" s="89"/>
      <c r="C879" s="89"/>
      <c r="D879" s="89"/>
      <c r="E879" s="89"/>
      <c r="F879" s="89"/>
      <c r="G879" s="89"/>
      <c r="H879" s="89"/>
      <c r="I879" s="89"/>
      <c r="J879" s="89"/>
    </row>
    <row r="880" ht="15.75" customHeight="1">
      <c r="A880" s="89"/>
      <c r="B880" s="89"/>
      <c r="C880" s="89"/>
      <c r="D880" s="89"/>
      <c r="E880" s="89"/>
      <c r="F880" s="89"/>
      <c r="G880" s="89"/>
      <c r="H880" s="89"/>
      <c r="I880" s="89"/>
      <c r="J880" s="89"/>
    </row>
    <row r="881" ht="15.75" customHeight="1">
      <c r="A881" s="89"/>
      <c r="B881" s="89"/>
      <c r="C881" s="89"/>
      <c r="D881" s="89"/>
      <c r="E881" s="89"/>
      <c r="F881" s="89"/>
      <c r="G881" s="89"/>
      <c r="H881" s="89"/>
      <c r="I881" s="89"/>
      <c r="J881" s="89"/>
    </row>
    <row r="882" ht="15.75" customHeight="1">
      <c r="A882" s="89"/>
      <c r="B882" s="89"/>
      <c r="C882" s="89"/>
      <c r="D882" s="89"/>
      <c r="E882" s="89"/>
      <c r="F882" s="89"/>
      <c r="G882" s="89"/>
      <c r="H882" s="89"/>
      <c r="I882" s="89"/>
      <c r="J882" s="89"/>
    </row>
    <row r="883" ht="15.75" customHeight="1">
      <c r="A883" s="89"/>
      <c r="B883" s="89"/>
      <c r="C883" s="89"/>
      <c r="D883" s="89"/>
      <c r="E883" s="89"/>
      <c r="F883" s="89"/>
      <c r="G883" s="89"/>
      <c r="H883" s="89"/>
      <c r="I883" s="89"/>
      <c r="J883" s="89"/>
    </row>
    <row r="884" ht="15.75" customHeight="1">
      <c r="A884" s="89"/>
      <c r="B884" s="89"/>
      <c r="C884" s="89"/>
      <c r="D884" s="89"/>
      <c r="E884" s="89"/>
      <c r="F884" s="89"/>
      <c r="G884" s="89"/>
      <c r="H884" s="89"/>
      <c r="I884" s="89"/>
      <c r="J884" s="89"/>
    </row>
    <row r="885" ht="15.75" customHeight="1">
      <c r="A885" s="89"/>
      <c r="B885" s="89"/>
      <c r="C885" s="89"/>
      <c r="D885" s="89"/>
      <c r="E885" s="89"/>
      <c r="F885" s="89"/>
      <c r="G885" s="89"/>
      <c r="H885" s="89"/>
      <c r="I885" s="89"/>
      <c r="J885" s="89"/>
    </row>
    <row r="886" ht="15.75" customHeight="1">
      <c r="A886" s="89"/>
      <c r="B886" s="89"/>
      <c r="C886" s="89"/>
      <c r="D886" s="89"/>
      <c r="E886" s="89"/>
      <c r="F886" s="89"/>
      <c r="G886" s="89"/>
      <c r="H886" s="89"/>
      <c r="I886" s="89"/>
      <c r="J886" s="89"/>
    </row>
    <row r="887" ht="15.75" customHeight="1">
      <c r="A887" s="89"/>
      <c r="B887" s="89"/>
      <c r="C887" s="89"/>
      <c r="D887" s="89"/>
      <c r="E887" s="89"/>
      <c r="F887" s="89"/>
      <c r="G887" s="89"/>
      <c r="H887" s="89"/>
      <c r="I887" s="89"/>
      <c r="J887" s="89"/>
    </row>
    <row r="888" ht="15.75" customHeight="1">
      <c r="A888" s="89"/>
      <c r="B888" s="89"/>
      <c r="C888" s="89"/>
      <c r="D888" s="89"/>
      <c r="E888" s="89"/>
      <c r="F888" s="89"/>
      <c r="G888" s="89"/>
      <c r="H888" s="89"/>
      <c r="I888" s="89"/>
      <c r="J888" s="89"/>
    </row>
    <row r="889" ht="15.75" customHeight="1">
      <c r="A889" s="89"/>
      <c r="B889" s="89"/>
      <c r="C889" s="89"/>
      <c r="D889" s="89"/>
      <c r="E889" s="89"/>
      <c r="F889" s="89"/>
      <c r="G889" s="89"/>
      <c r="H889" s="89"/>
      <c r="I889" s="89"/>
      <c r="J889" s="89"/>
    </row>
    <row r="890" ht="15.75" customHeight="1">
      <c r="A890" s="89"/>
      <c r="B890" s="89"/>
      <c r="C890" s="89"/>
      <c r="D890" s="89"/>
      <c r="E890" s="89"/>
      <c r="F890" s="89"/>
      <c r="G890" s="89"/>
      <c r="H890" s="89"/>
      <c r="I890" s="89"/>
      <c r="J890" s="89"/>
    </row>
    <row r="891" ht="15.75" customHeight="1">
      <c r="A891" s="89"/>
      <c r="B891" s="89"/>
      <c r="C891" s="89"/>
      <c r="D891" s="89"/>
      <c r="E891" s="89"/>
      <c r="F891" s="89"/>
      <c r="G891" s="89"/>
      <c r="H891" s="89"/>
      <c r="I891" s="89"/>
      <c r="J891" s="89"/>
    </row>
    <row r="892" ht="15.75" customHeight="1">
      <c r="A892" s="89"/>
      <c r="B892" s="89"/>
      <c r="C892" s="89"/>
      <c r="D892" s="89"/>
      <c r="E892" s="89"/>
      <c r="F892" s="89"/>
      <c r="G892" s="89"/>
      <c r="H892" s="89"/>
      <c r="I892" s="89"/>
      <c r="J892" s="89"/>
    </row>
    <row r="893" ht="15.75" customHeight="1">
      <c r="A893" s="89"/>
      <c r="B893" s="89"/>
      <c r="C893" s="89"/>
      <c r="D893" s="89"/>
      <c r="E893" s="89"/>
      <c r="F893" s="89"/>
      <c r="G893" s="89"/>
      <c r="H893" s="89"/>
      <c r="I893" s="89"/>
      <c r="J893" s="89"/>
    </row>
    <row r="894" ht="15.75" customHeight="1">
      <c r="A894" s="89"/>
      <c r="B894" s="89"/>
      <c r="C894" s="89"/>
      <c r="D894" s="89"/>
      <c r="E894" s="89"/>
      <c r="F894" s="89"/>
      <c r="G894" s="89"/>
      <c r="H894" s="89"/>
      <c r="I894" s="89"/>
      <c r="J894" s="89"/>
    </row>
    <row r="895" ht="15.75" customHeight="1">
      <c r="A895" s="89"/>
      <c r="B895" s="89"/>
      <c r="C895" s="89"/>
      <c r="D895" s="89"/>
      <c r="E895" s="89"/>
      <c r="F895" s="89"/>
      <c r="G895" s="89"/>
      <c r="H895" s="89"/>
      <c r="I895" s="89"/>
      <c r="J895" s="89"/>
    </row>
    <row r="896" ht="15.75" customHeight="1">
      <c r="A896" s="89"/>
      <c r="B896" s="89"/>
      <c r="C896" s="89"/>
      <c r="D896" s="89"/>
      <c r="E896" s="89"/>
      <c r="F896" s="89"/>
      <c r="G896" s="89"/>
      <c r="H896" s="89"/>
      <c r="I896" s="89"/>
      <c r="J896" s="89"/>
    </row>
    <row r="897" ht="15.75" customHeight="1">
      <c r="A897" s="89"/>
      <c r="B897" s="89"/>
      <c r="C897" s="89"/>
      <c r="D897" s="89"/>
      <c r="E897" s="89"/>
      <c r="F897" s="89"/>
      <c r="G897" s="89"/>
      <c r="H897" s="89"/>
      <c r="I897" s="89"/>
      <c r="J897" s="89"/>
    </row>
    <row r="898" ht="15.75" customHeight="1">
      <c r="A898" s="89"/>
      <c r="B898" s="89"/>
      <c r="C898" s="89"/>
      <c r="D898" s="89"/>
      <c r="E898" s="89"/>
      <c r="F898" s="89"/>
      <c r="G898" s="89"/>
      <c r="H898" s="89"/>
      <c r="I898" s="89"/>
      <c r="J898" s="89"/>
    </row>
    <row r="899" ht="15.75" customHeight="1">
      <c r="A899" s="89"/>
      <c r="B899" s="89"/>
      <c r="C899" s="89"/>
      <c r="D899" s="89"/>
      <c r="E899" s="89"/>
      <c r="F899" s="89"/>
      <c r="G899" s="89"/>
      <c r="H899" s="89"/>
      <c r="I899" s="89"/>
      <c r="J899" s="89"/>
    </row>
    <row r="900" ht="15.75" customHeight="1">
      <c r="A900" s="89"/>
      <c r="B900" s="89"/>
      <c r="C900" s="89"/>
      <c r="D900" s="89"/>
      <c r="E900" s="89"/>
      <c r="F900" s="89"/>
      <c r="G900" s="89"/>
      <c r="H900" s="89"/>
      <c r="I900" s="89"/>
      <c r="J900" s="89"/>
    </row>
    <row r="901" ht="15.75" customHeight="1">
      <c r="A901" s="89"/>
      <c r="B901" s="89"/>
      <c r="C901" s="89"/>
      <c r="D901" s="89"/>
      <c r="E901" s="89"/>
      <c r="F901" s="89"/>
      <c r="G901" s="89"/>
      <c r="H901" s="89"/>
      <c r="I901" s="89"/>
      <c r="J901" s="89"/>
    </row>
    <row r="902" ht="15.75" customHeight="1">
      <c r="A902" s="89"/>
      <c r="B902" s="89"/>
      <c r="C902" s="89"/>
      <c r="D902" s="89"/>
      <c r="E902" s="89"/>
      <c r="F902" s="89"/>
      <c r="G902" s="89"/>
      <c r="H902" s="89"/>
      <c r="I902" s="89"/>
      <c r="J902" s="89"/>
    </row>
    <row r="903" ht="15.75" customHeight="1">
      <c r="A903" s="89"/>
      <c r="B903" s="89"/>
      <c r="C903" s="89"/>
      <c r="D903" s="89"/>
      <c r="E903" s="89"/>
      <c r="F903" s="89"/>
      <c r="G903" s="89"/>
      <c r="H903" s="89"/>
      <c r="I903" s="89"/>
      <c r="J903" s="89"/>
    </row>
    <row r="904" ht="15.75" customHeight="1">
      <c r="A904" s="89"/>
      <c r="B904" s="89"/>
      <c r="C904" s="89"/>
      <c r="D904" s="89"/>
      <c r="E904" s="89"/>
      <c r="F904" s="89"/>
      <c r="G904" s="89"/>
      <c r="H904" s="89"/>
      <c r="I904" s="89"/>
      <c r="J904" s="89"/>
    </row>
    <row r="905" ht="15.75" customHeight="1">
      <c r="A905" s="89"/>
      <c r="B905" s="89"/>
      <c r="C905" s="89"/>
      <c r="D905" s="89"/>
      <c r="E905" s="89"/>
      <c r="F905" s="89"/>
      <c r="G905" s="89"/>
      <c r="H905" s="89"/>
      <c r="I905" s="89"/>
      <c r="J905" s="89"/>
    </row>
    <row r="906" ht="15.75" customHeight="1">
      <c r="A906" s="89"/>
      <c r="B906" s="89"/>
      <c r="C906" s="89"/>
      <c r="D906" s="89"/>
      <c r="E906" s="89"/>
      <c r="F906" s="89"/>
      <c r="G906" s="89"/>
      <c r="H906" s="89"/>
      <c r="I906" s="89"/>
      <c r="J906" s="89"/>
    </row>
    <row r="907" ht="15.75" customHeight="1">
      <c r="A907" s="89"/>
      <c r="B907" s="89"/>
      <c r="C907" s="89"/>
      <c r="D907" s="89"/>
      <c r="E907" s="89"/>
      <c r="F907" s="89"/>
      <c r="G907" s="89"/>
      <c r="H907" s="89"/>
      <c r="I907" s="89"/>
      <c r="J907" s="89"/>
    </row>
    <row r="908" ht="15.75" customHeight="1">
      <c r="A908" s="89"/>
      <c r="B908" s="89"/>
      <c r="C908" s="89"/>
      <c r="D908" s="89"/>
      <c r="E908" s="89"/>
      <c r="F908" s="89"/>
      <c r="G908" s="89"/>
      <c r="H908" s="89"/>
      <c r="I908" s="89"/>
      <c r="J908" s="89"/>
    </row>
    <row r="909" ht="15.75" customHeight="1">
      <c r="A909" s="89"/>
      <c r="B909" s="89"/>
      <c r="C909" s="89"/>
      <c r="D909" s="89"/>
      <c r="E909" s="89"/>
      <c r="F909" s="89"/>
      <c r="G909" s="89"/>
      <c r="H909" s="89"/>
      <c r="I909" s="89"/>
      <c r="J909" s="89"/>
    </row>
    <row r="910" ht="15.75" customHeight="1">
      <c r="A910" s="89"/>
      <c r="B910" s="89"/>
      <c r="C910" s="89"/>
      <c r="D910" s="89"/>
      <c r="E910" s="89"/>
      <c r="F910" s="89"/>
      <c r="G910" s="89"/>
      <c r="H910" s="89"/>
      <c r="I910" s="89"/>
      <c r="J910" s="89"/>
    </row>
    <row r="911" ht="15.75" customHeight="1">
      <c r="A911" s="89"/>
      <c r="B911" s="89"/>
      <c r="C911" s="89"/>
      <c r="D911" s="89"/>
      <c r="E911" s="89"/>
      <c r="F911" s="89"/>
      <c r="G911" s="89"/>
      <c r="H911" s="89"/>
      <c r="I911" s="89"/>
      <c r="J911" s="89"/>
    </row>
    <row r="912" ht="15.75" customHeight="1">
      <c r="A912" s="89"/>
      <c r="B912" s="89"/>
      <c r="C912" s="89"/>
      <c r="D912" s="89"/>
      <c r="E912" s="89"/>
      <c r="F912" s="89"/>
      <c r="G912" s="89"/>
      <c r="H912" s="89"/>
      <c r="I912" s="89"/>
      <c r="J912" s="89"/>
    </row>
    <row r="913" ht="15.75" customHeight="1">
      <c r="A913" s="89"/>
      <c r="B913" s="89"/>
      <c r="C913" s="89"/>
      <c r="D913" s="89"/>
      <c r="E913" s="89"/>
      <c r="F913" s="89"/>
      <c r="G913" s="89"/>
      <c r="H913" s="89"/>
      <c r="I913" s="89"/>
      <c r="J913" s="89"/>
    </row>
    <row r="914" ht="15.75" customHeight="1">
      <c r="A914" s="89"/>
      <c r="B914" s="89"/>
      <c r="C914" s="89"/>
      <c r="D914" s="89"/>
      <c r="E914" s="89"/>
      <c r="F914" s="89"/>
      <c r="G914" s="89"/>
      <c r="H914" s="89"/>
      <c r="I914" s="89"/>
      <c r="J914" s="89"/>
    </row>
    <row r="915" ht="15.75" customHeight="1">
      <c r="A915" s="89"/>
      <c r="B915" s="89"/>
      <c r="C915" s="89"/>
      <c r="D915" s="89"/>
      <c r="E915" s="89"/>
      <c r="F915" s="89"/>
      <c r="G915" s="89"/>
      <c r="H915" s="89"/>
      <c r="I915" s="89"/>
      <c r="J915" s="89"/>
    </row>
    <row r="916" ht="15.75" customHeight="1">
      <c r="A916" s="89"/>
      <c r="B916" s="89"/>
      <c r="C916" s="89"/>
      <c r="D916" s="89"/>
      <c r="E916" s="89"/>
      <c r="F916" s="89"/>
      <c r="G916" s="89"/>
      <c r="H916" s="89"/>
      <c r="I916" s="89"/>
      <c r="J916" s="89"/>
    </row>
    <row r="917" ht="15.75" customHeight="1">
      <c r="A917" s="89"/>
      <c r="B917" s="89"/>
      <c r="C917" s="89"/>
      <c r="D917" s="89"/>
      <c r="E917" s="89"/>
      <c r="F917" s="89"/>
      <c r="G917" s="89"/>
      <c r="H917" s="89"/>
      <c r="I917" s="89"/>
      <c r="J917" s="89"/>
    </row>
    <row r="918" ht="15.75" customHeight="1">
      <c r="A918" s="89"/>
      <c r="B918" s="89"/>
      <c r="C918" s="89"/>
      <c r="D918" s="89"/>
      <c r="E918" s="89"/>
      <c r="F918" s="89"/>
      <c r="G918" s="89"/>
      <c r="H918" s="89"/>
      <c r="I918" s="89"/>
      <c r="J918" s="89"/>
    </row>
    <row r="919" ht="15.75" customHeight="1">
      <c r="A919" s="89"/>
      <c r="B919" s="89"/>
      <c r="C919" s="89"/>
      <c r="D919" s="89"/>
      <c r="E919" s="89"/>
      <c r="F919" s="89"/>
      <c r="G919" s="89"/>
      <c r="H919" s="89"/>
      <c r="I919" s="89"/>
      <c r="J919" s="89"/>
    </row>
    <row r="920" ht="15.75" customHeight="1">
      <c r="A920" s="89"/>
      <c r="B920" s="89"/>
      <c r="C920" s="89"/>
      <c r="D920" s="89"/>
      <c r="E920" s="89"/>
      <c r="F920" s="89"/>
      <c r="G920" s="89"/>
      <c r="H920" s="89"/>
      <c r="I920" s="89"/>
      <c r="J920" s="89"/>
    </row>
    <row r="921" ht="15.75" customHeight="1">
      <c r="A921" s="89"/>
      <c r="B921" s="89"/>
      <c r="C921" s="89"/>
      <c r="D921" s="89"/>
      <c r="E921" s="89"/>
      <c r="F921" s="89"/>
      <c r="G921" s="89"/>
      <c r="H921" s="89"/>
      <c r="I921" s="89"/>
      <c r="J921" s="89"/>
    </row>
    <row r="922" ht="15.75" customHeight="1">
      <c r="A922" s="89"/>
      <c r="B922" s="89"/>
      <c r="C922" s="89"/>
      <c r="D922" s="89"/>
      <c r="E922" s="89"/>
      <c r="F922" s="89"/>
      <c r="G922" s="89"/>
      <c r="H922" s="89"/>
      <c r="I922" s="89"/>
      <c r="J922" s="89"/>
    </row>
    <row r="923" ht="15.75" customHeight="1">
      <c r="A923" s="89"/>
      <c r="B923" s="89"/>
      <c r="C923" s="89"/>
      <c r="D923" s="89"/>
      <c r="E923" s="89"/>
      <c r="F923" s="89"/>
      <c r="G923" s="89"/>
      <c r="H923" s="89"/>
      <c r="I923" s="89"/>
      <c r="J923" s="89"/>
    </row>
    <row r="924" ht="15.75" customHeight="1">
      <c r="A924" s="89"/>
      <c r="B924" s="89"/>
      <c r="C924" s="89"/>
      <c r="D924" s="89"/>
      <c r="E924" s="89"/>
      <c r="F924" s="89"/>
      <c r="G924" s="89"/>
      <c r="H924" s="89"/>
      <c r="I924" s="89"/>
      <c r="J924" s="89"/>
    </row>
    <row r="925" ht="15.75" customHeight="1">
      <c r="A925" s="89"/>
      <c r="B925" s="89"/>
      <c r="C925" s="89"/>
      <c r="D925" s="89"/>
      <c r="E925" s="89"/>
      <c r="F925" s="89"/>
      <c r="G925" s="89"/>
      <c r="H925" s="89"/>
      <c r="I925" s="89"/>
      <c r="J925" s="89"/>
    </row>
    <row r="926" ht="15.75" customHeight="1">
      <c r="A926" s="89"/>
      <c r="B926" s="89"/>
      <c r="C926" s="89"/>
      <c r="D926" s="89"/>
      <c r="E926" s="89"/>
      <c r="F926" s="89"/>
      <c r="G926" s="89"/>
      <c r="H926" s="89"/>
      <c r="I926" s="89"/>
      <c r="J926" s="89"/>
    </row>
    <row r="927" ht="15.75" customHeight="1">
      <c r="A927" s="89"/>
      <c r="B927" s="89"/>
      <c r="C927" s="89"/>
      <c r="D927" s="89"/>
      <c r="E927" s="89"/>
      <c r="F927" s="89"/>
      <c r="G927" s="89"/>
      <c r="H927" s="89"/>
      <c r="I927" s="89"/>
      <c r="J927" s="89"/>
    </row>
    <row r="928" ht="15.75" customHeight="1">
      <c r="A928" s="89"/>
      <c r="B928" s="89"/>
      <c r="C928" s="89"/>
      <c r="D928" s="89"/>
      <c r="E928" s="89"/>
      <c r="F928" s="89"/>
      <c r="G928" s="89"/>
      <c r="H928" s="89"/>
      <c r="I928" s="89"/>
      <c r="J928" s="89"/>
    </row>
    <row r="929" ht="15.75" customHeight="1">
      <c r="A929" s="89"/>
      <c r="B929" s="89"/>
      <c r="C929" s="89"/>
      <c r="D929" s="89"/>
      <c r="E929" s="89"/>
      <c r="F929" s="89"/>
      <c r="G929" s="89"/>
      <c r="H929" s="89"/>
      <c r="I929" s="89"/>
      <c r="J929" s="89"/>
    </row>
    <row r="930" ht="15.75" customHeight="1">
      <c r="A930" s="89"/>
      <c r="B930" s="89"/>
      <c r="C930" s="89"/>
      <c r="D930" s="89"/>
      <c r="E930" s="89"/>
      <c r="F930" s="89"/>
      <c r="G930" s="89"/>
      <c r="H930" s="89"/>
      <c r="I930" s="89"/>
      <c r="J930" s="89"/>
    </row>
    <row r="931" ht="15.75" customHeight="1">
      <c r="A931" s="89"/>
      <c r="B931" s="89"/>
      <c r="C931" s="89"/>
      <c r="D931" s="89"/>
      <c r="E931" s="89"/>
      <c r="F931" s="89"/>
      <c r="G931" s="89"/>
      <c r="H931" s="89"/>
      <c r="I931" s="89"/>
      <c r="J931" s="89"/>
    </row>
    <row r="932" ht="15.75" customHeight="1">
      <c r="A932" s="89"/>
      <c r="B932" s="89"/>
      <c r="C932" s="89"/>
      <c r="D932" s="89"/>
      <c r="E932" s="89"/>
      <c r="F932" s="89"/>
      <c r="G932" s="89"/>
      <c r="H932" s="89"/>
      <c r="I932" s="89"/>
      <c r="J932" s="89"/>
    </row>
    <row r="933" ht="15.75" customHeight="1">
      <c r="A933" s="89"/>
      <c r="B933" s="89"/>
      <c r="C933" s="89"/>
      <c r="D933" s="89"/>
      <c r="E933" s="89"/>
      <c r="F933" s="89"/>
      <c r="G933" s="89"/>
      <c r="H933" s="89"/>
      <c r="I933" s="89"/>
      <c r="J933" s="89"/>
    </row>
    <row r="934" ht="15.75" customHeight="1">
      <c r="A934" s="89"/>
      <c r="B934" s="89"/>
      <c r="C934" s="89"/>
      <c r="D934" s="89"/>
      <c r="E934" s="89"/>
      <c r="F934" s="89"/>
      <c r="G934" s="89"/>
      <c r="H934" s="89"/>
      <c r="I934" s="89"/>
      <c r="J934" s="89"/>
    </row>
    <row r="935" ht="15.75" customHeight="1">
      <c r="A935" s="89"/>
      <c r="B935" s="89"/>
      <c r="C935" s="89"/>
      <c r="D935" s="89"/>
      <c r="E935" s="89"/>
      <c r="F935" s="89"/>
      <c r="G935" s="89"/>
      <c r="H935" s="89"/>
      <c r="I935" s="89"/>
      <c r="J935" s="89"/>
    </row>
    <row r="936" ht="15.75" customHeight="1">
      <c r="A936" s="89"/>
      <c r="B936" s="89"/>
      <c r="C936" s="89"/>
      <c r="D936" s="89"/>
      <c r="E936" s="89"/>
      <c r="F936" s="89"/>
      <c r="G936" s="89"/>
      <c r="H936" s="89"/>
      <c r="I936" s="89"/>
      <c r="J936" s="89"/>
    </row>
    <row r="937" ht="15.75" customHeight="1">
      <c r="A937" s="89"/>
      <c r="B937" s="89"/>
      <c r="C937" s="89"/>
      <c r="D937" s="89"/>
      <c r="E937" s="89"/>
      <c r="F937" s="89"/>
      <c r="G937" s="89"/>
      <c r="H937" s="89"/>
      <c r="I937" s="89"/>
      <c r="J937" s="89"/>
    </row>
    <row r="938" ht="15.75" customHeight="1">
      <c r="A938" s="89"/>
      <c r="B938" s="89"/>
      <c r="C938" s="89"/>
      <c r="D938" s="89"/>
      <c r="E938" s="89"/>
      <c r="F938" s="89"/>
      <c r="G938" s="89"/>
      <c r="H938" s="89"/>
      <c r="I938" s="89"/>
      <c r="J938" s="89"/>
    </row>
    <row r="939" ht="15.75" customHeight="1">
      <c r="A939" s="89"/>
      <c r="B939" s="89"/>
      <c r="C939" s="89"/>
      <c r="D939" s="89"/>
      <c r="E939" s="89"/>
      <c r="F939" s="89"/>
      <c r="G939" s="89"/>
      <c r="H939" s="89"/>
      <c r="I939" s="89"/>
      <c r="J939" s="89"/>
    </row>
    <row r="940" ht="15.75" customHeight="1">
      <c r="A940" s="89"/>
      <c r="B940" s="89"/>
      <c r="C940" s="89"/>
      <c r="D940" s="89"/>
      <c r="E940" s="89"/>
      <c r="F940" s="89"/>
      <c r="G940" s="89"/>
      <c r="H940" s="89"/>
      <c r="I940" s="89"/>
      <c r="J940" s="89"/>
    </row>
    <row r="941" ht="15.75" customHeight="1">
      <c r="A941" s="89"/>
      <c r="B941" s="89"/>
      <c r="C941" s="89"/>
      <c r="D941" s="89"/>
      <c r="E941" s="89"/>
      <c r="F941" s="89"/>
      <c r="G941" s="89"/>
      <c r="H941" s="89"/>
      <c r="I941" s="89"/>
      <c r="J941" s="89"/>
    </row>
    <row r="942" ht="15.75" customHeight="1">
      <c r="A942" s="89"/>
      <c r="B942" s="89"/>
      <c r="C942" s="89"/>
      <c r="D942" s="89"/>
      <c r="E942" s="89"/>
      <c r="F942" s="89"/>
      <c r="G942" s="89"/>
      <c r="H942" s="89"/>
      <c r="I942" s="89"/>
      <c r="J942" s="89"/>
    </row>
    <row r="943" ht="15.75" customHeight="1">
      <c r="A943" s="89"/>
      <c r="B943" s="89"/>
      <c r="C943" s="89"/>
      <c r="D943" s="89"/>
      <c r="E943" s="89"/>
      <c r="F943" s="89"/>
      <c r="G943" s="89"/>
      <c r="H943" s="89"/>
      <c r="I943" s="89"/>
      <c r="J943" s="89"/>
    </row>
    <row r="944" ht="15.75" customHeight="1">
      <c r="A944" s="89"/>
      <c r="B944" s="89"/>
      <c r="C944" s="89"/>
      <c r="D944" s="89"/>
      <c r="E944" s="89"/>
      <c r="F944" s="89"/>
      <c r="G944" s="89"/>
      <c r="H944" s="89"/>
      <c r="I944" s="89"/>
      <c r="J944" s="89"/>
    </row>
    <row r="945" ht="15.75" customHeight="1">
      <c r="A945" s="89"/>
      <c r="B945" s="89"/>
      <c r="C945" s="89"/>
      <c r="D945" s="89"/>
      <c r="E945" s="89"/>
      <c r="F945" s="89"/>
      <c r="G945" s="89"/>
      <c r="H945" s="89"/>
      <c r="I945" s="89"/>
      <c r="J945" s="89"/>
    </row>
    <row r="946" ht="15.75" customHeight="1">
      <c r="A946" s="89"/>
      <c r="B946" s="89"/>
      <c r="C946" s="89"/>
      <c r="D946" s="89"/>
      <c r="E946" s="89"/>
      <c r="F946" s="89"/>
      <c r="G946" s="89"/>
      <c r="H946" s="89"/>
      <c r="I946" s="89"/>
      <c r="J946" s="89"/>
    </row>
    <row r="947" ht="15.75" customHeight="1">
      <c r="A947" s="89"/>
      <c r="B947" s="89"/>
      <c r="C947" s="89"/>
      <c r="D947" s="89"/>
      <c r="E947" s="89"/>
      <c r="F947" s="89"/>
      <c r="G947" s="89"/>
      <c r="H947" s="89"/>
      <c r="I947" s="89"/>
      <c r="J947" s="89"/>
    </row>
    <row r="948" ht="15.75" customHeight="1">
      <c r="A948" s="89"/>
      <c r="B948" s="89"/>
      <c r="C948" s="89"/>
      <c r="D948" s="89"/>
      <c r="E948" s="89"/>
      <c r="F948" s="89"/>
      <c r="G948" s="89"/>
      <c r="H948" s="89"/>
      <c r="I948" s="89"/>
      <c r="J948" s="89"/>
    </row>
    <row r="949" ht="15.75" customHeight="1">
      <c r="A949" s="89"/>
      <c r="B949" s="89"/>
      <c r="C949" s="89"/>
      <c r="D949" s="89"/>
      <c r="E949" s="89"/>
      <c r="F949" s="89"/>
      <c r="G949" s="89"/>
      <c r="H949" s="89"/>
      <c r="I949" s="89"/>
      <c r="J949" s="89"/>
    </row>
    <row r="950" ht="15.75" customHeight="1">
      <c r="A950" s="89"/>
      <c r="B950" s="89"/>
      <c r="C950" s="89"/>
      <c r="D950" s="89"/>
      <c r="E950" s="89"/>
      <c r="F950" s="89"/>
      <c r="G950" s="89"/>
      <c r="H950" s="89"/>
      <c r="I950" s="89"/>
      <c r="J950" s="89"/>
    </row>
    <row r="951" ht="15.75" customHeight="1">
      <c r="A951" s="89"/>
      <c r="B951" s="89"/>
      <c r="C951" s="89"/>
      <c r="D951" s="89"/>
      <c r="E951" s="89"/>
      <c r="F951" s="89"/>
      <c r="G951" s="89"/>
      <c r="H951" s="89"/>
      <c r="I951" s="89"/>
      <c r="J951" s="89"/>
    </row>
    <row r="952" ht="15.75" customHeight="1">
      <c r="A952" s="89"/>
      <c r="B952" s="89"/>
      <c r="C952" s="89"/>
      <c r="D952" s="89"/>
      <c r="E952" s="89"/>
      <c r="F952" s="89"/>
      <c r="G952" s="89"/>
      <c r="H952" s="89"/>
      <c r="I952" s="89"/>
      <c r="J952" s="89"/>
    </row>
    <row r="953" ht="15.75" customHeight="1">
      <c r="A953" s="89"/>
      <c r="B953" s="89"/>
      <c r="C953" s="89"/>
      <c r="D953" s="89"/>
      <c r="E953" s="89"/>
      <c r="F953" s="89"/>
      <c r="G953" s="89"/>
      <c r="H953" s="89"/>
      <c r="I953" s="89"/>
      <c r="J953" s="89"/>
    </row>
    <row r="954" ht="15.75" customHeight="1">
      <c r="A954" s="89"/>
      <c r="B954" s="89"/>
      <c r="C954" s="89"/>
      <c r="D954" s="89"/>
      <c r="E954" s="89"/>
      <c r="F954" s="89"/>
      <c r="G954" s="89"/>
      <c r="H954" s="89"/>
      <c r="I954" s="89"/>
      <c r="J954" s="89"/>
    </row>
    <row r="955" ht="15.75" customHeight="1">
      <c r="A955" s="89"/>
      <c r="B955" s="89"/>
      <c r="C955" s="89"/>
      <c r="D955" s="89"/>
      <c r="E955" s="89"/>
      <c r="F955" s="89"/>
      <c r="G955" s="89"/>
      <c r="H955" s="89"/>
      <c r="I955" s="89"/>
      <c r="J955" s="89"/>
    </row>
    <row r="956" ht="15.75" customHeight="1">
      <c r="A956" s="89"/>
      <c r="B956" s="89"/>
      <c r="C956" s="89"/>
      <c r="D956" s="89"/>
      <c r="E956" s="89"/>
      <c r="F956" s="89"/>
      <c r="G956" s="89"/>
      <c r="H956" s="89"/>
      <c r="I956" s="89"/>
      <c r="J956" s="89"/>
    </row>
    <row r="957" ht="15.75" customHeight="1">
      <c r="A957" s="89"/>
      <c r="B957" s="89"/>
      <c r="C957" s="89"/>
      <c r="D957" s="89"/>
      <c r="E957" s="89"/>
      <c r="F957" s="89"/>
      <c r="G957" s="89"/>
      <c r="H957" s="89"/>
      <c r="I957" s="89"/>
      <c r="J957" s="89"/>
    </row>
    <row r="958" ht="15.75" customHeight="1">
      <c r="A958" s="89"/>
      <c r="B958" s="89"/>
      <c r="C958" s="89"/>
      <c r="D958" s="89"/>
      <c r="E958" s="89"/>
      <c r="F958" s="89"/>
      <c r="G958" s="89"/>
      <c r="H958" s="89"/>
      <c r="I958" s="89"/>
      <c r="J958" s="89"/>
    </row>
    <row r="959" ht="15.75" customHeight="1">
      <c r="A959" s="89"/>
      <c r="B959" s="89"/>
      <c r="C959" s="89"/>
      <c r="D959" s="89"/>
      <c r="E959" s="89"/>
      <c r="F959" s="89"/>
      <c r="G959" s="89"/>
      <c r="H959" s="89"/>
      <c r="I959" s="89"/>
      <c r="J959" s="89"/>
    </row>
    <row r="960" ht="15.75" customHeight="1">
      <c r="A960" s="89"/>
      <c r="B960" s="89"/>
      <c r="C960" s="89"/>
      <c r="D960" s="89"/>
      <c r="E960" s="89"/>
      <c r="F960" s="89"/>
      <c r="G960" s="89"/>
      <c r="H960" s="89"/>
      <c r="I960" s="89"/>
      <c r="J960" s="89"/>
    </row>
    <row r="961" ht="15.75" customHeight="1">
      <c r="A961" s="89"/>
      <c r="B961" s="89"/>
      <c r="C961" s="89"/>
      <c r="D961" s="89"/>
      <c r="E961" s="89"/>
      <c r="F961" s="89"/>
      <c r="G961" s="89"/>
      <c r="H961" s="89"/>
      <c r="I961" s="89"/>
      <c r="J961" s="89"/>
    </row>
    <row r="962" ht="15.75" customHeight="1">
      <c r="A962" s="89"/>
      <c r="B962" s="89"/>
      <c r="C962" s="89"/>
      <c r="D962" s="89"/>
      <c r="E962" s="89"/>
      <c r="F962" s="89"/>
      <c r="G962" s="89"/>
      <c r="H962" s="89"/>
      <c r="I962" s="89"/>
      <c r="J962" s="89"/>
    </row>
    <row r="963" ht="15.75" customHeight="1">
      <c r="A963" s="89"/>
      <c r="B963" s="89"/>
      <c r="C963" s="89"/>
      <c r="D963" s="89"/>
      <c r="E963" s="89"/>
      <c r="F963" s="89"/>
      <c r="G963" s="89"/>
      <c r="H963" s="89"/>
      <c r="I963" s="89"/>
      <c r="J963" s="89"/>
    </row>
    <row r="964" ht="15.75" customHeight="1">
      <c r="A964" s="89"/>
      <c r="B964" s="89"/>
      <c r="C964" s="89"/>
      <c r="D964" s="89"/>
      <c r="E964" s="89"/>
      <c r="F964" s="89"/>
      <c r="G964" s="89"/>
      <c r="H964" s="89"/>
      <c r="I964" s="89"/>
      <c r="J964" s="89"/>
    </row>
    <row r="965" ht="15.75" customHeight="1">
      <c r="A965" s="89"/>
      <c r="B965" s="89"/>
      <c r="C965" s="89"/>
      <c r="D965" s="89"/>
      <c r="E965" s="89"/>
      <c r="F965" s="89"/>
      <c r="G965" s="89"/>
      <c r="H965" s="89"/>
      <c r="I965" s="89"/>
      <c r="J965" s="89"/>
    </row>
    <row r="966" ht="15.75" customHeight="1">
      <c r="A966" s="89"/>
      <c r="B966" s="89"/>
      <c r="C966" s="89"/>
      <c r="D966" s="89"/>
      <c r="E966" s="89"/>
      <c r="F966" s="89"/>
      <c r="G966" s="89"/>
      <c r="H966" s="89"/>
      <c r="I966" s="89"/>
      <c r="J966" s="89"/>
    </row>
    <row r="967" ht="15.75" customHeight="1">
      <c r="A967" s="89"/>
      <c r="B967" s="89"/>
      <c r="C967" s="89"/>
      <c r="D967" s="89"/>
      <c r="E967" s="89"/>
      <c r="F967" s="89"/>
      <c r="G967" s="89"/>
      <c r="H967" s="89"/>
      <c r="I967" s="89"/>
      <c r="J967" s="89"/>
    </row>
    <row r="968" ht="15.75" customHeight="1">
      <c r="A968" s="89"/>
      <c r="B968" s="89"/>
      <c r="C968" s="89"/>
      <c r="D968" s="89"/>
      <c r="E968" s="89"/>
      <c r="F968" s="89"/>
      <c r="G968" s="89"/>
      <c r="H968" s="89"/>
      <c r="I968" s="89"/>
      <c r="J968" s="89"/>
    </row>
    <row r="969" ht="15.75" customHeight="1">
      <c r="A969" s="89"/>
      <c r="B969" s="89"/>
      <c r="C969" s="89"/>
      <c r="D969" s="89"/>
      <c r="E969" s="89"/>
      <c r="F969" s="89"/>
      <c r="G969" s="89"/>
      <c r="H969" s="89"/>
      <c r="I969" s="89"/>
      <c r="J969" s="89"/>
    </row>
    <row r="970" ht="15.75" customHeight="1">
      <c r="A970" s="89"/>
      <c r="B970" s="89"/>
      <c r="C970" s="89"/>
      <c r="D970" s="89"/>
      <c r="E970" s="89"/>
      <c r="F970" s="89"/>
      <c r="G970" s="89"/>
      <c r="H970" s="89"/>
      <c r="I970" s="89"/>
      <c r="J970" s="89"/>
    </row>
    <row r="971" ht="15.75" customHeight="1">
      <c r="A971" s="89"/>
      <c r="B971" s="89"/>
      <c r="C971" s="89"/>
      <c r="D971" s="89"/>
      <c r="E971" s="89"/>
      <c r="F971" s="89"/>
      <c r="G971" s="89"/>
      <c r="H971" s="89"/>
      <c r="I971" s="89"/>
      <c r="J971" s="89"/>
    </row>
    <row r="972" ht="15.75" customHeight="1">
      <c r="A972" s="89"/>
      <c r="B972" s="89"/>
      <c r="C972" s="89"/>
      <c r="D972" s="89"/>
      <c r="E972" s="89"/>
      <c r="F972" s="89"/>
      <c r="G972" s="89"/>
      <c r="H972" s="89"/>
      <c r="I972" s="89"/>
      <c r="J972" s="89"/>
    </row>
    <row r="973" ht="15.75" customHeight="1">
      <c r="A973" s="89"/>
      <c r="B973" s="89"/>
      <c r="C973" s="89"/>
      <c r="D973" s="89"/>
      <c r="E973" s="89"/>
      <c r="F973" s="89"/>
      <c r="G973" s="89"/>
      <c r="H973" s="89"/>
      <c r="I973" s="89"/>
      <c r="J973" s="89"/>
    </row>
    <row r="974" ht="15.75" customHeight="1">
      <c r="A974" s="89"/>
      <c r="B974" s="89"/>
      <c r="C974" s="89"/>
      <c r="D974" s="89"/>
      <c r="E974" s="89"/>
      <c r="F974" s="89"/>
      <c r="G974" s="89"/>
      <c r="H974" s="89"/>
      <c r="I974" s="89"/>
      <c r="J974" s="89"/>
    </row>
    <row r="975" ht="15.75" customHeight="1">
      <c r="A975" s="89"/>
      <c r="B975" s="89"/>
      <c r="C975" s="89"/>
      <c r="D975" s="89"/>
      <c r="E975" s="89"/>
      <c r="F975" s="89"/>
      <c r="G975" s="89"/>
      <c r="H975" s="89"/>
      <c r="I975" s="89"/>
      <c r="J975" s="89"/>
    </row>
    <row r="976" ht="15.75" customHeight="1">
      <c r="A976" s="89"/>
      <c r="B976" s="89"/>
      <c r="C976" s="89"/>
      <c r="D976" s="89"/>
      <c r="E976" s="89"/>
      <c r="F976" s="89"/>
      <c r="G976" s="89"/>
      <c r="H976" s="89"/>
      <c r="I976" s="89"/>
      <c r="J976" s="89"/>
    </row>
    <row r="977" ht="15.75" customHeight="1">
      <c r="A977" s="89"/>
      <c r="B977" s="89"/>
      <c r="C977" s="89"/>
      <c r="D977" s="89"/>
      <c r="E977" s="89"/>
      <c r="F977" s="89"/>
      <c r="G977" s="89"/>
      <c r="H977" s="89"/>
      <c r="I977" s="89"/>
      <c r="J977" s="89"/>
    </row>
    <row r="978" ht="15.75" customHeight="1">
      <c r="A978" s="89"/>
      <c r="B978" s="89"/>
      <c r="C978" s="89"/>
      <c r="D978" s="89"/>
      <c r="E978" s="89"/>
      <c r="F978" s="89"/>
      <c r="G978" s="89"/>
      <c r="H978" s="89"/>
      <c r="I978" s="89"/>
      <c r="J978" s="89"/>
    </row>
    <row r="979" ht="15.75" customHeight="1">
      <c r="A979" s="89"/>
      <c r="B979" s="89"/>
      <c r="C979" s="89"/>
      <c r="D979" s="89"/>
      <c r="E979" s="89"/>
      <c r="F979" s="89"/>
      <c r="G979" s="89"/>
      <c r="H979" s="89"/>
      <c r="I979" s="89"/>
      <c r="J979" s="89"/>
    </row>
    <row r="980" ht="15.75" customHeight="1">
      <c r="A980" s="89"/>
      <c r="B980" s="89"/>
      <c r="C980" s="89"/>
      <c r="D980" s="89"/>
      <c r="E980" s="89"/>
      <c r="F980" s="89"/>
      <c r="G980" s="89"/>
      <c r="H980" s="89"/>
      <c r="I980" s="89"/>
      <c r="J980" s="89"/>
    </row>
    <row r="981" ht="15.75" customHeight="1">
      <c r="A981" s="89"/>
      <c r="B981" s="89"/>
      <c r="C981" s="89"/>
      <c r="D981" s="89"/>
      <c r="E981" s="89"/>
      <c r="F981" s="89"/>
      <c r="G981" s="89"/>
      <c r="H981" s="89"/>
      <c r="I981" s="89"/>
      <c r="J981" s="89"/>
    </row>
    <row r="982" ht="15.75" customHeight="1">
      <c r="A982" s="89"/>
      <c r="B982" s="89"/>
      <c r="C982" s="89"/>
      <c r="D982" s="89"/>
      <c r="E982" s="89"/>
      <c r="F982" s="89"/>
      <c r="G982" s="89"/>
      <c r="H982" s="89"/>
      <c r="I982" s="89"/>
      <c r="J982" s="89"/>
    </row>
    <row r="983" ht="15.75" customHeight="1">
      <c r="A983" s="89"/>
      <c r="B983" s="89"/>
      <c r="C983" s="89"/>
      <c r="D983" s="89"/>
      <c r="E983" s="89"/>
      <c r="F983" s="89"/>
      <c r="G983" s="89"/>
      <c r="H983" s="89"/>
      <c r="I983" s="89"/>
      <c r="J983" s="89"/>
    </row>
    <row r="984" ht="15.75" customHeight="1">
      <c r="A984" s="89"/>
      <c r="B984" s="89"/>
      <c r="C984" s="89"/>
      <c r="D984" s="89"/>
      <c r="E984" s="89"/>
      <c r="F984" s="89"/>
      <c r="G984" s="89"/>
      <c r="H984" s="89"/>
      <c r="I984" s="89"/>
      <c r="J984" s="89"/>
    </row>
    <row r="985" ht="15.75" customHeight="1">
      <c r="A985" s="89"/>
      <c r="B985" s="89"/>
      <c r="C985" s="89"/>
      <c r="D985" s="89"/>
      <c r="E985" s="89"/>
      <c r="F985" s="89"/>
      <c r="G985" s="89"/>
      <c r="H985" s="89"/>
      <c r="I985" s="89"/>
      <c r="J985" s="89"/>
    </row>
    <row r="986" ht="15.75" customHeight="1">
      <c r="A986" s="89"/>
      <c r="B986" s="89"/>
      <c r="C986" s="89"/>
      <c r="D986" s="89"/>
      <c r="E986" s="89"/>
      <c r="F986" s="89"/>
      <c r="G986" s="89"/>
      <c r="H986" s="89"/>
      <c r="I986" s="89"/>
      <c r="J986" s="89"/>
    </row>
    <row r="987" ht="15.75" customHeight="1">
      <c r="A987" s="89"/>
      <c r="B987" s="89"/>
      <c r="C987" s="89"/>
      <c r="D987" s="89"/>
      <c r="E987" s="89"/>
      <c r="F987" s="89"/>
      <c r="G987" s="89"/>
      <c r="H987" s="89"/>
      <c r="I987" s="89"/>
      <c r="J987" s="89"/>
    </row>
    <row r="988" ht="15.75" customHeight="1">
      <c r="A988" s="89"/>
      <c r="B988" s="89"/>
      <c r="C988" s="89"/>
      <c r="D988" s="89"/>
      <c r="E988" s="89"/>
      <c r="F988" s="89"/>
      <c r="G988" s="89"/>
      <c r="H988" s="89"/>
      <c r="I988" s="89"/>
      <c r="J988" s="89"/>
    </row>
    <row r="989" ht="15.75" customHeight="1">
      <c r="A989" s="89"/>
      <c r="B989" s="89"/>
      <c r="C989" s="89"/>
      <c r="D989" s="89"/>
      <c r="E989" s="89"/>
      <c r="F989" s="89"/>
      <c r="G989" s="89"/>
      <c r="H989" s="89"/>
      <c r="I989" s="89"/>
      <c r="J989" s="89"/>
    </row>
    <row r="990" ht="15.75" customHeight="1">
      <c r="A990" s="89"/>
      <c r="B990" s="89"/>
      <c r="C990" s="89"/>
      <c r="D990" s="89"/>
      <c r="E990" s="89"/>
      <c r="F990" s="89"/>
      <c r="G990" s="89"/>
      <c r="H990" s="89"/>
      <c r="I990" s="89"/>
      <c r="J990" s="89"/>
    </row>
    <row r="991" ht="15.75" customHeight="1">
      <c r="A991" s="89"/>
      <c r="B991" s="89"/>
      <c r="C991" s="89"/>
      <c r="D991" s="89"/>
      <c r="E991" s="89"/>
      <c r="F991" s="89"/>
      <c r="G991" s="89"/>
      <c r="H991" s="89"/>
      <c r="I991" s="89"/>
      <c r="J991" s="89"/>
    </row>
    <row r="992" ht="15.75" customHeight="1">
      <c r="A992" s="89"/>
      <c r="B992" s="89"/>
      <c r="C992" s="89"/>
      <c r="D992" s="89"/>
      <c r="E992" s="89"/>
      <c r="F992" s="89"/>
      <c r="G992" s="89"/>
      <c r="H992" s="89"/>
      <c r="I992" s="89"/>
      <c r="J992" s="89"/>
    </row>
    <row r="993" ht="15.75" customHeight="1">
      <c r="A993" s="89"/>
      <c r="B993" s="89"/>
      <c r="C993" s="89"/>
      <c r="D993" s="89"/>
      <c r="E993" s="89"/>
      <c r="F993" s="89"/>
      <c r="G993" s="89"/>
      <c r="H993" s="89"/>
      <c r="I993" s="89"/>
      <c r="J993" s="89"/>
    </row>
    <row r="994" ht="15.75" customHeight="1">
      <c r="A994" s="89"/>
      <c r="B994" s="89"/>
      <c r="C994" s="89"/>
      <c r="D994" s="89"/>
      <c r="E994" s="89"/>
      <c r="F994" s="89"/>
      <c r="G994" s="89"/>
      <c r="H994" s="89"/>
      <c r="I994" s="89"/>
      <c r="J994" s="89"/>
    </row>
    <row r="995" ht="15.75" customHeight="1">
      <c r="A995" s="89"/>
      <c r="B995" s="89"/>
      <c r="C995" s="89"/>
      <c r="D995" s="89"/>
      <c r="E995" s="89"/>
      <c r="F995" s="89"/>
      <c r="G995" s="89"/>
      <c r="H995" s="89"/>
      <c r="I995" s="89"/>
      <c r="J995" s="89"/>
    </row>
    <row r="996" ht="15.75" customHeight="1">
      <c r="A996" s="89"/>
      <c r="B996" s="89"/>
      <c r="C996" s="89"/>
      <c r="D996" s="89"/>
      <c r="E996" s="89"/>
      <c r="F996" s="89"/>
      <c r="G996" s="89"/>
      <c r="H996" s="89"/>
      <c r="I996" s="89"/>
      <c r="J996" s="89"/>
    </row>
    <row r="997" ht="15.75" customHeight="1">
      <c r="A997" s="89"/>
      <c r="B997" s="89"/>
      <c r="C997" s="89"/>
      <c r="D997" s="89"/>
      <c r="E997" s="89"/>
      <c r="F997" s="89"/>
      <c r="G997" s="89"/>
      <c r="H997" s="89"/>
      <c r="I997" s="89"/>
      <c r="J997" s="89"/>
    </row>
    <row r="998" ht="15.75" customHeight="1">
      <c r="A998" s="89"/>
      <c r="B998" s="89"/>
      <c r="C998" s="89"/>
      <c r="D998" s="89"/>
      <c r="E998" s="89"/>
      <c r="F998" s="89"/>
      <c r="G998" s="89"/>
      <c r="H998" s="89"/>
      <c r="I998" s="89"/>
      <c r="J998" s="89"/>
    </row>
    <row r="999" ht="15.75" customHeight="1">
      <c r="A999" s="89"/>
      <c r="B999" s="89"/>
      <c r="C999" s="89"/>
      <c r="D999" s="89"/>
      <c r="E999" s="89"/>
      <c r="F999" s="89"/>
      <c r="G999" s="89"/>
      <c r="H999" s="89"/>
      <c r="I999" s="89"/>
      <c r="J999" s="89"/>
    </row>
    <row r="1000" ht="15.75" customHeight="1">
      <c r="A1000" s="89"/>
      <c r="B1000" s="89"/>
      <c r="C1000" s="89"/>
      <c r="D1000" s="89"/>
      <c r="E1000" s="89"/>
      <c r="F1000" s="89"/>
      <c r="G1000" s="89"/>
      <c r="H1000" s="89"/>
      <c r="I1000" s="89"/>
      <c r="J1000" s="89"/>
    </row>
  </sheetData>
  <mergeCells count="10">
    <mergeCell ref="B26:B29"/>
    <mergeCell ref="B30:B34"/>
    <mergeCell ref="B35:B38"/>
    <mergeCell ref="B5:B8"/>
    <mergeCell ref="B9:B11"/>
    <mergeCell ref="B12:B14"/>
    <mergeCell ref="B15:B17"/>
    <mergeCell ref="B18:B20"/>
    <mergeCell ref="B21:B22"/>
    <mergeCell ref="B23:B25"/>
  </mergeCells>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8.0"/>
    <col customWidth="1" min="6" max="26" width="8.71"/>
  </cols>
  <sheetData>
    <row r="1" ht="15.0" customHeight="1">
      <c r="A1" s="112" t="s">
        <v>2347</v>
      </c>
      <c r="B1" s="89"/>
      <c r="C1" s="89"/>
      <c r="D1" s="89"/>
      <c r="E1" s="89"/>
    </row>
    <row r="2">
      <c r="A2" s="89"/>
      <c r="B2" s="89"/>
      <c r="C2" s="89"/>
      <c r="D2" s="89"/>
      <c r="E2" s="89"/>
    </row>
    <row r="3" ht="16.5" customHeight="1">
      <c r="A3" s="113" t="s">
        <v>12</v>
      </c>
      <c r="B3" s="113" t="s">
        <v>2366</v>
      </c>
      <c r="C3" s="113" t="s">
        <v>2368</v>
      </c>
      <c r="D3" s="114" t="s">
        <v>2372</v>
      </c>
      <c r="E3" s="113" t="s">
        <v>100</v>
      </c>
    </row>
    <row r="4" ht="15.0" customHeight="1">
      <c r="A4" s="115" t="s">
        <v>2228</v>
      </c>
      <c r="B4" s="115">
        <f>COUNTIF('데이터카테고리_마스터'!$J$5:$J$38,A4)</f>
        <v>4</v>
      </c>
      <c r="C4" s="115">
        <f>SUMPRODUCT(--('데이터카테고리_마스터'!$J$5:$J$38=A4),--ISNUMBER(SEARCH("기존",'데이터카테고리_마스터'!$G$5:$G$38)))</f>
        <v>3</v>
      </c>
      <c r="D4" s="115">
        <f>SUMPRODUCT(--('데이터카테고리_마스터'!$J$5:$J$38=A4),--ISNUMBER(SEARCH("SKKU",'데이터카테고리_마스터'!$G$5:$G$38)))</f>
        <v>3</v>
      </c>
      <c r="E4" s="115">
        <f>SUMPRODUCT(--('데이터카테고리_마스터'!$J$5:$J$38=A4),--ISNUMBER(SEARCH("추가",'데이터카테고리_마스터'!$G$5:$G$38)))</f>
        <v>0</v>
      </c>
    </row>
    <row r="5" ht="15.0" customHeight="1">
      <c r="A5" s="115" t="s">
        <v>2265</v>
      </c>
      <c r="B5" s="115">
        <f>COUNTIF('데이터카테고리_마스터'!$J$5:$J$38,A5)</f>
        <v>3</v>
      </c>
      <c r="C5" s="115">
        <f>SUMPRODUCT(--('데이터카테고리_마스터'!$J$5:$J$38=A5),--ISNUMBER(SEARCH("기존",'데이터카테고리_마스터'!$G$5:$G$38)))</f>
        <v>2</v>
      </c>
      <c r="D5" s="115">
        <f>SUMPRODUCT(--('데이터카테고리_마스터'!$J$5:$J$38=A5),--ISNUMBER(SEARCH("SKKU",'데이터카테고리_마스터'!$G$5:$G$38)))</f>
        <v>0</v>
      </c>
      <c r="E5" s="115">
        <f>SUMPRODUCT(--('데이터카테고리_마스터'!$J$5:$J$38=A5),--ISNUMBER(SEARCH("추가",'데이터카테고리_마스터'!$G$5:$G$38)))</f>
        <v>1</v>
      </c>
    </row>
    <row r="6" ht="15.0" customHeight="1">
      <c r="A6" s="115" t="s">
        <v>2302</v>
      </c>
      <c r="B6" s="115">
        <f>COUNTIF('데이터카테고리_마스터'!$J$5:$J$38,A6)</f>
        <v>3</v>
      </c>
      <c r="C6" s="115">
        <f>SUMPRODUCT(--('데이터카테고리_마스터'!$J$5:$J$38=A6),--ISNUMBER(SEARCH("기존",'데이터카테고리_마스터'!$G$5:$G$38)))</f>
        <v>2</v>
      </c>
      <c r="D6" s="115">
        <f>SUMPRODUCT(--('데이터카테고리_마스터'!$J$5:$J$38=A6),--ISNUMBER(SEARCH("SKKU",'데이터카테고리_마스터'!$G$5:$G$38)))</f>
        <v>2</v>
      </c>
      <c r="E6" s="115">
        <f>SUMPRODUCT(--('데이터카테고리_마스터'!$J$5:$J$38=A6),--ISNUMBER(SEARCH("추가",'데이터카테고리_마스터'!$G$5:$G$38)))</f>
        <v>0</v>
      </c>
    </row>
    <row r="7" ht="15.0" customHeight="1">
      <c r="A7" s="115" t="s">
        <v>2339</v>
      </c>
      <c r="B7" s="115">
        <f>COUNTIF('데이터카테고리_마스터'!$J$5:$J$38,A7)</f>
        <v>3</v>
      </c>
      <c r="C7" s="115">
        <f>SUMPRODUCT(--('데이터카테고리_마스터'!$J$5:$J$38=A7),--ISNUMBER(SEARCH("기존",'데이터카테고리_마스터'!$G$5:$G$38)))</f>
        <v>2</v>
      </c>
      <c r="D7" s="115">
        <f>SUMPRODUCT(--('데이터카테고리_마스터'!$J$5:$J$38=A7),--ISNUMBER(SEARCH("SKKU",'데이터카테고리_마스터'!$G$5:$G$38)))</f>
        <v>1</v>
      </c>
      <c r="E7" s="115">
        <f>SUMPRODUCT(--('데이터카테고리_마스터'!$J$5:$J$38=A7),--ISNUMBER(SEARCH("추가",'데이터카테고리_마스터'!$G$5:$G$38)))</f>
        <v>1</v>
      </c>
    </row>
    <row r="8" ht="15.0" customHeight="1">
      <c r="A8" s="115" t="s">
        <v>2364</v>
      </c>
      <c r="B8" s="115">
        <f>COUNTIF('데이터카테고리_마스터'!$J$5:$J$38,A8)</f>
        <v>3</v>
      </c>
      <c r="C8" s="115">
        <f>SUMPRODUCT(--('데이터카테고리_마스터'!$J$5:$J$38=A8),--ISNUMBER(SEARCH("기존",'데이터카테고리_마스터'!$G$5:$G$38)))</f>
        <v>2</v>
      </c>
      <c r="D8" s="115">
        <f>SUMPRODUCT(--('데이터카테고리_마스터'!$J$5:$J$38=A8),--ISNUMBER(SEARCH("SKKU",'데이터카테고리_마스터'!$G$5:$G$38)))</f>
        <v>3</v>
      </c>
      <c r="E8" s="115">
        <f>SUMPRODUCT(--('데이터카테고리_마스터'!$J$5:$J$38=A8),--ISNUMBER(SEARCH("추가",'데이터카테고리_마스터'!$G$5:$G$38)))</f>
        <v>0</v>
      </c>
    </row>
    <row r="9" ht="15.0" customHeight="1">
      <c r="A9" s="115" t="s">
        <v>418</v>
      </c>
      <c r="B9" s="115">
        <f>COUNTIF('데이터카테고리_마스터'!$J$5:$J$38,A9)</f>
        <v>2</v>
      </c>
      <c r="C9" s="115">
        <f>SUMPRODUCT(--('데이터카테고리_마스터'!$J$5:$J$38=A9),--ISNUMBER(SEARCH("기존",'데이터카테고리_마스터'!$G$5:$G$38)))</f>
        <v>1</v>
      </c>
      <c r="D9" s="115">
        <f>SUMPRODUCT(--('데이터카테고리_마스터'!$J$5:$J$38=A9),--ISNUMBER(SEARCH("SKKU",'데이터카테고리_마스터'!$G$5:$G$38)))</f>
        <v>2</v>
      </c>
      <c r="E9" s="115">
        <f>SUMPRODUCT(--('데이터카테고리_마스터'!$J$5:$J$38=A9),--ISNUMBER(SEARCH("추가",'데이터카테고리_마스터'!$G$5:$G$38)))</f>
        <v>0</v>
      </c>
    </row>
    <row r="10" ht="15.0" customHeight="1">
      <c r="A10" s="115" t="s">
        <v>2417</v>
      </c>
      <c r="B10" s="115">
        <f>COUNTIF('데이터카테고리_마스터'!$J$5:$J$38,A10)</f>
        <v>3</v>
      </c>
      <c r="C10" s="115">
        <f>SUMPRODUCT(--('데이터카테고리_마스터'!$J$5:$J$38=A10),--ISNUMBER(SEARCH("기존",'데이터카테고리_마스터'!$G$5:$G$38)))</f>
        <v>2</v>
      </c>
      <c r="D10" s="115">
        <f>SUMPRODUCT(--('데이터카테고리_마스터'!$J$5:$J$38=A10),--ISNUMBER(SEARCH("SKKU",'데이터카테고리_마스터'!$G$5:$G$38)))</f>
        <v>2</v>
      </c>
      <c r="E10" s="115">
        <f>SUMPRODUCT(--('데이터카테고리_마스터'!$J$5:$J$38=A10),--ISNUMBER(SEARCH("추가",'데이터카테고리_마스터'!$G$5:$G$38)))</f>
        <v>0</v>
      </c>
    </row>
    <row r="11" ht="15.0" customHeight="1">
      <c r="A11" s="115" t="s">
        <v>2437</v>
      </c>
      <c r="B11" s="115">
        <f>COUNTIF('데이터카테고리_마스터'!$J$5:$J$38,A11)</f>
        <v>4</v>
      </c>
      <c r="C11" s="115">
        <f>SUMPRODUCT(--('데이터카테고리_마스터'!$J$5:$J$38=A11),--ISNUMBER(SEARCH("기존",'데이터카테고리_마스터'!$G$5:$G$38)))</f>
        <v>2</v>
      </c>
      <c r="D11" s="115">
        <f>SUMPRODUCT(--('데이터카테고리_마스터'!$J$5:$J$38=A11),--ISNUMBER(SEARCH("SKKU",'데이터카테고리_마스터'!$G$5:$G$38)))</f>
        <v>2</v>
      </c>
      <c r="E11" s="115">
        <f>SUMPRODUCT(--('데이터카테고리_마스터'!$J$5:$J$38=A11),--ISNUMBER(SEARCH("추가",'데이터카테고리_마스터'!$G$5:$G$38)))</f>
        <v>2</v>
      </c>
    </row>
    <row r="12" ht="15.0" customHeight="1">
      <c r="A12" s="115" t="s">
        <v>2456</v>
      </c>
      <c r="B12" s="115">
        <f>COUNTIF('데이터카테고리_마스터'!$J$5:$J$38,A12)</f>
        <v>5</v>
      </c>
      <c r="C12" s="115">
        <f>SUMPRODUCT(--('데이터카테고리_마스터'!$J$5:$J$38=A12),--ISNUMBER(SEARCH("기존",'데이터카테고리_마스터'!$G$5:$G$38)))</f>
        <v>2</v>
      </c>
      <c r="D12" s="115">
        <f>SUMPRODUCT(--('데이터카테고리_마스터'!$J$5:$J$38=A12),--ISNUMBER(SEARCH("SKKU",'데이터카테고리_마스터'!$G$5:$G$38)))</f>
        <v>5</v>
      </c>
      <c r="E12" s="115">
        <f>SUMPRODUCT(--('데이터카테고리_마스터'!$J$5:$J$38=A12),--ISNUMBER(SEARCH("추가",'데이터카테고리_마스터'!$G$5:$G$38)))</f>
        <v>0</v>
      </c>
    </row>
    <row r="13" ht="15.0" customHeight="1">
      <c r="A13" s="115" t="s">
        <v>2487</v>
      </c>
      <c r="B13" s="115">
        <f>COUNTIF('데이터카테고리_마스터'!$J$5:$J$38,A13)</f>
        <v>4</v>
      </c>
      <c r="C13" s="115">
        <f>SUMPRODUCT(--('데이터카테고리_마스터'!$J$5:$J$38=A13),--ISNUMBER(SEARCH("기존",'데이터카테고리_마스터'!$G$5:$G$38)))</f>
        <v>0</v>
      </c>
      <c r="D13" s="115">
        <f>SUMPRODUCT(--('데이터카테고리_마스터'!$J$5:$J$38=A13),--ISNUMBER(SEARCH("SKKU",'데이터카테고리_마스터'!$G$5:$G$38)))</f>
        <v>2</v>
      </c>
      <c r="E13" s="115">
        <f>SUMPRODUCT(--('데이터카테고리_마스터'!$J$5:$J$38=A13),--ISNUMBER(SEARCH("추가",'데이터카테고리_마스터'!$G$5:$G$38)))</f>
        <v>2</v>
      </c>
    </row>
    <row r="14" ht="15.0" customHeight="1">
      <c r="A14" s="118" t="s">
        <v>2522</v>
      </c>
      <c r="B14" s="118">
        <f t="shared" ref="B14:E14" si="1">SUM(B4:B13)</f>
        <v>34</v>
      </c>
      <c r="C14" s="118">
        <f t="shared" si="1"/>
        <v>18</v>
      </c>
      <c r="D14" s="118">
        <f t="shared" si="1"/>
        <v>22</v>
      </c>
      <c r="E14" s="118">
        <f t="shared" si="1"/>
        <v>6</v>
      </c>
    </row>
    <row r="15">
      <c r="A15" s="89"/>
      <c r="B15" s="89"/>
      <c r="C15" s="89"/>
      <c r="D15" s="89"/>
      <c r="E15" s="89"/>
    </row>
    <row r="16" ht="15.0" customHeight="1">
      <c r="A16" s="117" t="s">
        <v>2523</v>
      </c>
      <c r="B16" s="89"/>
      <c r="C16" s="89"/>
      <c r="D16" s="89"/>
      <c r="E16" s="89"/>
    </row>
    <row r="17">
      <c r="A17" s="89"/>
      <c r="B17" s="89"/>
      <c r="C17" s="89"/>
      <c r="D17" s="89"/>
      <c r="E17" s="89"/>
    </row>
    <row r="18">
      <c r="A18" s="89"/>
      <c r="B18" s="89"/>
      <c r="C18" s="89"/>
      <c r="D18" s="89"/>
      <c r="E18" s="89"/>
    </row>
    <row r="19">
      <c r="A19" s="89"/>
      <c r="B19" s="89"/>
      <c r="C19" s="89"/>
      <c r="D19" s="89"/>
      <c r="E19" s="89"/>
    </row>
    <row r="20">
      <c r="A20" s="89"/>
      <c r="B20" s="89"/>
      <c r="C20" s="89"/>
      <c r="D20" s="89"/>
      <c r="E20" s="89"/>
    </row>
    <row r="21" ht="15.75" customHeight="1">
      <c r="A21" s="89"/>
      <c r="B21" s="89"/>
      <c r="C21" s="89"/>
      <c r="D21" s="89"/>
      <c r="E21" s="89"/>
    </row>
    <row r="22" ht="15.75" customHeight="1">
      <c r="A22" s="89"/>
      <c r="B22" s="89"/>
      <c r="C22" s="89"/>
      <c r="D22" s="89"/>
      <c r="E22" s="89"/>
    </row>
    <row r="23" ht="15.75" customHeight="1">
      <c r="A23" s="89"/>
      <c r="B23" s="89"/>
      <c r="C23" s="89"/>
      <c r="D23" s="89"/>
      <c r="E23" s="89"/>
    </row>
    <row r="24" ht="15.75" customHeight="1">
      <c r="A24" s="89"/>
      <c r="B24" s="89"/>
      <c r="C24" s="89"/>
      <c r="D24" s="89"/>
      <c r="E24" s="89"/>
    </row>
    <row r="25" ht="15.75" customHeight="1">
      <c r="A25" s="89"/>
      <c r="B25" s="89"/>
      <c r="C25" s="89"/>
      <c r="D25" s="89"/>
      <c r="E25" s="89"/>
    </row>
    <row r="26" ht="15.75" customHeight="1">
      <c r="A26" s="89"/>
      <c r="B26" s="89"/>
      <c r="C26" s="89"/>
      <c r="D26" s="89"/>
      <c r="E26" s="89"/>
    </row>
    <row r="27" ht="15.75" customHeight="1">
      <c r="A27" s="89"/>
      <c r="B27" s="89"/>
      <c r="C27" s="89"/>
      <c r="D27" s="89"/>
      <c r="E27" s="89"/>
    </row>
    <row r="28" ht="15.75" customHeight="1">
      <c r="A28" s="89"/>
      <c r="B28" s="89"/>
      <c r="C28" s="89"/>
      <c r="D28" s="89"/>
      <c r="E28" s="89"/>
    </row>
    <row r="29" ht="15.75" customHeight="1">
      <c r="A29" s="89"/>
      <c r="B29" s="89"/>
      <c r="C29" s="89"/>
      <c r="D29" s="89"/>
      <c r="E29" s="89"/>
    </row>
    <row r="30" ht="15.75" customHeight="1">
      <c r="A30" s="89"/>
      <c r="B30" s="89"/>
      <c r="C30" s="89"/>
      <c r="D30" s="89"/>
      <c r="E30" s="89"/>
    </row>
    <row r="31" ht="15.75" customHeight="1">
      <c r="A31" s="89"/>
      <c r="B31" s="89"/>
      <c r="C31" s="89"/>
      <c r="D31" s="89"/>
      <c r="E31" s="89"/>
    </row>
    <row r="32" ht="15.75" customHeight="1">
      <c r="A32" s="89"/>
      <c r="B32" s="89"/>
      <c r="C32" s="89"/>
      <c r="D32" s="89"/>
      <c r="E32" s="89"/>
    </row>
    <row r="33" ht="15.75" customHeight="1">
      <c r="A33" s="89"/>
      <c r="B33" s="89"/>
      <c r="C33" s="89"/>
      <c r="D33" s="89"/>
      <c r="E33" s="89"/>
    </row>
    <row r="34" ht="15.75" customHeight="1">
      <c r="A34" s="89"/>
      <c r="B34" s="89"/>
      <c r="C34" s="89"/>
      <c r="D34" s="89"/>
      <c r="E34" s="89"/>
    </row>
    <row r="35" ht="15.75" customHeight="1">
      <c r="A35" s="89"/>
      <c r="B35" s="89"/>
      <c r="C35" s="89"/>
      <c r="D35" s="89"/>
      <c r="E35" s="89"/>
    </row>
    <row r="36" ht="15.75" customHeight="1">
      <c r="A36" s="89"/>
      <c r="B36" s="89"/>
      <c r="C36" s="89"/>
      <c r="D36" s="89"/>
      <c r="E36" s="89"/>
    </row>
    <row r="37" ht="15.75" customHeight="1">
      <c r="A37" s="89"/>
      <c r="B37" s="89"/>
      <c r="C37" s="89"/>
      <c r="D37" s="89"/>
      <c r="E37" s="89"/>
    </row>
    <row r="38" ht="15.75" customHeight="1">
      <c r="A38" s="89"/>
      <c r="B38" s="89"/>
      <c r="C38" s="89"/>
      <c r="D38" s="89"/>
      <c r="E38" s="89"/>
    </row>
    <row r="39" ht="15.75" customHeight="1">
      <c r="A39" s="89"/>
      <c r="B39" s="89"/>
      <c r="C39" s="89"/>
      <c r="D39" s="89"/>
      <c r="E39" s="89"/>
    </row>
    <row r="40" ht="15.75" customHeight="1">
      <c r="A40" s="89"/>
      <c r="B40" s="89"/>
      <c r="C40" s="89"/>
      <c r="D40" s="89"/>
      <c r="E40" s="89"/>
    </row>
    <row r="41" ht="15.75" customHeight="1">
      <c r="A41" s="89"/>
      <c r="B41" s="89"/>
      <c r="C41" s="89"/>
      <c r="D41" s="89"/>
      <c r="E41" s="89"/>
    </row>
    <row r="42" ht="15.75" customHeight="1">
      <c r="A42" s="89"/>
      <c r="B42" s="89"/>
      <c r="C42" s="89"/>
      <c r="D42" s="89"/>
      <c r="E42" s="89"/>
    </row>
    <row r="43" ht="15.75" customHeight="1">
      <c r="A43" s="89"/>
      <c r="B43" s="89"/>
      <c r="C43" s="89"/>
      <c r="D43" s="89"/>
      <c r="E43" s="89"/>
    </row>
    <row r="44" ht="15.75" customHeight="1">
      <c r="A44" s="89"/>
      <c r="B44" s="89"/>
      <c r="C44" s="89"/>
      <c r="D44" s="89"/>
      <c r="E44" s="89"/>
    </row>
    <row r="45" ht="15.75" customHeight="1">
      <c r="A45" s="89"/>
      <c r="B45" s="89"/>
      <c r="C45" s="89"/>
      <c r="D45" s="89"/>
      <c r="E45" s="89"/>
    </row>
    <row r="46" ht="15.75" customHeight="1">
      <c r="A46" s="89"/>
      <c r="B46" s="89"/>
      <c r="C46" s="89"/>
      <c r="D46" s="89"/>
      <c r="E46" s="89"/>
    </row>
    <row r="47" ht="15.75" customHeight="1">
      <c r="A47" s="89"/>
      <c r="B47" s="89"/>
      <c r="C47" s="89"/>
      <c r="D47" s="89"/>
      <c r="E47" s="89"/>
    </row>
    <row r="48" ht="15.75" customHeight="1">
      <c r="A48" s="89"/>
      <c r="B48" s="89"/>
      <c r="C48" s="89"/>
      <c r="D48" s="89"/>
      <c r="E48" s="89"/>
    </row>
    <row r="49" ht="15.75" customHeight="1">
      <c r="A49" s="89"/>
      <c r="B49" s="89"/>
      <c r="C49" s="89"/>
      <c r="D49" s="89"/>
      <c r="E49" s="89"/>
    </row>
    <row r="50" ht="15.75" customHeight="1">
      <c r="A50" s="89"/>
      <c r="B50" s="89"/>
      <c r="C50" s="89"/>
      <c r="D50" s="89"/>
      <c r="E50" s="89"/>
    </row>
    <row r="51" ht="15.75" customHeight="1">
      <c r="A51" s="89"/>
      <c r="B51" s="89"/>
      <c r="C51" s="89"/>
      <c r="D51" s="89"/>
      <c r="E51" s="89"/>
    </row>
    <row r="52" ht="15.75" customHeight="1">
      <c r="A52" s="89"/>
      <c r="B52" s="89"/>
      <c r="C52" s="89"/>
      <c r="D52" s="89"/>
      <c r="E52" s="89"/>
    </row>
    <row r="53" ht="15.75" customHeight="1">
      <c r="A53" s="89"/>
      <c r="B53" s="89"/>
      <c r="C53" s="89"/>
      <c r="D53" s="89"/>
      <c r="E53" s="89"/>
    </row>
    <row r="54" ht="15.75" customHeight="1">
      <c r="A54" s="89"/>
      <c r="B54" s="89"/>
      <c r="C54" s="89"/>
      <c r="D54" s="89"/>
      <c r="E54" s="89"/>
    </row>
    <row r="55" ht="15.75" customHeight="1">
      <c r="A55" s="89"/>
      <c r="B55" s="89"/>
      <c r="C55" s="89"/>
      <c r="D55" s="89"/>
      <c r="E55" s="89"/>
    </row>
    <row r="56" ht="15.75" customHeight="1">
      <c r="A56" s="89"/>
      <c r="B56" s="89"/>
      <c r="C56" s="89"/>
      <c r="D56" s="89"/>
      <c r="E56" s="89"/>
    </row>
    <row r="57" ht="15.75" customHeight="1">
      <c r="A57" s="89"/>
      <c r="B57" s="89"/>
      <c r="C57" s="89"/>
      <c r="D57" s="89"/>
      <c r="E57" s="89"/>
    </row>
    <row r="58" ht="15.75" customHeight="1">
      <c r="A58" s="89"/>
      <c r="B58" s="89"/>
      <c r="C58" s="89"/>
      <c r="D58" s="89"/>
      <c r="E58" s="89"/>
    </row>
    <row r="59" ht="15.75" customHeight="1">
      <c r="A59" s="89"/>
      <c r="B59" s="89"/>
      <c r="C59" s="89"/>
      <c r="D59" s="89"/>
      <c r="E59" s="89"/>
    </row>
    <row r="60" ht="15.75" customHeight="1">
      <c r="A60" s="89"/>
      <c r="B60" s="89"/>
      <c r="C60" s="89"/>
      <c r="D60" s="89"/>
      <c r="E60" s="89"/>
    </row>
    <row r="61" ht="15.75" customHeight="1">
      <c r="A61" s="89"/>
      <c r="B61" s="89"/>
      <c r="C61" s="89"/>
      <c r="D61" s="89"/>
      <c r="E61" s="89"/>
    </row>
    <row r="62" ht="15.75" customHeight="1">
      <c r="A62" s="89"/>
      <c r="B62" s="89"/>
      <c r="C62" s="89"/>
      <c r="D62" s="89"/>
      <c r="E62" s="89"/>
    </row>
    <row r="63" ht="15.75" customHeight="1">
      <c r="A63" s="89"/>
      <c r="B63" s="89"/>
      <c r="C63" s="89"/>
      <c r="D63" s="89"/>
      <c r="E63" s="89"/>
    </row>
    <row r="64" ht="15.75" customHeight="1">
      <c r="A64" s="89"/>
      <c r="B64" s="89"/>
      <c r="C64" s="89"/>
      <c r="D64" s="89"/>
      <c r="E64" s="89"/>
    </row>
    <row r="65" ht="15.75" customHeight="1">
      <c r="A65" s="89"/>
      <c r="B65" s="89"/>
      <c r="C65" s="89"/>
      <c r="D65" s="89"/>
      <c r="E65" s="89"/>
    </row>
    <row r="66" ht="15.75" customHeight="1">
      <c r="A66" s="89"/>
      <c r="B66" s="89"/>
      <c r="C66" s="89"/>
      <c r="D66" s="89"/>
      <c r="E66" s="89"/>
    </row>
    <row r="67" ht="15.75" customHeight="1">
      <c r="A67" s="89"/>
      <c r="B67" s="89"/>
      <c r="C67" s="89"/>
      <c r="D67" s="89"/>
      <c r="E67" s="89"/>
    </row>
    <row r="68" ht="15.75" customHeight="1">
      <c r="A68" s="89"/>
      <c r="B68" s="89"/>
      <c r="C68" s="89"/>
      <c r="D68" s="89"/>
      <c r="E68" s="89"/>
    </row>
    <row r="69" ht="15.75" customHeight="1">
      <c r="A69" s="89"/>
      <c r="B69" s="89"/>
      <c r="C69" s="89"/>
      <c r="D69" s="89"/>
      <c r="E69" s="89"/>
    </row>
    <row r="70" ht="15.75" customHeight="1">
      <c r="A70" s="89"/>
      <c r="B70" s="89"/>
      <c r="C70" s="89"/>
      <c r="D70" s="89"/>
      <c r="E70" s="89"/>
    </row>
    <row r="71" ht="15.75" customHeight="1">
      <c r="A71" s="89"/>
      <c r="B71" s="89"/>
      <c r="C71" s="89"/>
      <c r="D71" s="89"/>
      <c r="E71" s="89"/>
    </row>
    <row r="72" ht="15.75" customHeight="1">
      <c r="A72" s="89"/>
      <c r="B72" s="89"/>
      <c r="C72" s="89"/>
      <c r="D72" s="89"/>
      <c r="E72" s="89"/>
    </row>
    <row r="73" ht="15.75" customHeight="1">
      <c r="A73" s="89"/>
      <c r="B73" s="89"/>
      <c r="C73" s="89"/>
      <c r="D73" s="89"/>
      <c r="E73" s="89"/>
    </row>
    <row r="74" ht="15.75" customHeight="1">
      <c r="A74" s="89"/>
      <c r="B74" s="89"/>
      <c r="C74" s="89"/>
      <c r="D74" s="89"/>
      <c r="E74" s="89"/>
    </row>
    <row r="75" ht="15.75" customHeight="1">
      <c r="A75" s="89"/>
      <c r="B75" s="89"/>
      <c r="C75" s="89"/>
      <c r="D75" s="89"/>
      <c r="E75" s="89"/>
    </row>
    <row r="76" ht="15.75" customHeight="1">
      <c r="A76" s="89"/>
      <c r="B76" s="89"/>
      <c r="C76" s="89"/>
      <c r="D76" s="89"/>
      <c r="E76" s="89"/>
    </row>
    <row r="77" ht="15.75" customHeight="1">
      <c r="A77" s="89"/>
      <c r="B77" s="89"/>
      <c r="C77" s="89"/>
      <c r="D77" s="89"/>
      <c r="E77" s="89"/>
    </row>
    <row r="78" ht="15.75" customHeight="1">
      <c r="A78" s="89"/>
      <c r="B78" s="89"/>
      <c r="C78" s="89"/>
      <c r="D78" s="89"/>
      <c r="E78" s="89"/>
    </row>
    <row r="79" ht="15.75" customHeight="1">
      <c r="A79" s="89"/>
      <c r="B79" s="89"/>
      <c r="C79" s="89"/>
      <c r="D79" s="89"/>
      <c r="E79" s="89"/>
    </row>
    <row r="80" ht="15.75" customHeight="1">
      <c r="A80" s="89"/>
      <c r="B80" s="89"/>
      <c r="C80" s="89"/>
      <c r="D80" s="89"/>
      <c r="E80" s="89"/>
    </row>
    <row r="81" ht="15.75" customHeight="1">
      <c r="A81" s="89"/>
      <c r="B81" s="89"/>
      <c r="C81" s="89"/>
      <c r="D81" s="89"/>
      <c r="E81" s="89"/>
    </row>
    <row r="82" ht="15.75" customHeight="1">
      <c r="A82" s="89"/>
      <c r="B82" s="89"/>
      <c r="C82" s="89"/>
      <c r="D82" s="89"/>
      <c r="E82" s="89"/>
    </row>
    <row r="83" ht="15.75" customHeight="1">
      <c r="A83" s="89"/>
      <c r="B83" s="89"/>
      <c r="C83" s="89"/>
      <c r="D83" s="89"/>
      <c r="E83" s="89"/>
    </row>
    <row r="84" ht="15.75" customHeight="1">
      <c r="A84" s="89"/>
      <c r="B84" s="89"/>
      <c r="C84" s="89"/>
      <c r="D84" s="89"/>
      <c r="E84" s="89"/>
    </row>
    <row r="85" ht="15.75" customHeight="1">
      <c r="A85" s="89"/>
      <c r="B85" s="89"/>
      <c r="C85" s="89"/>
      <c r="D85" s="89"/>
      <c r="E85" s="89"/>
    </row>
    <row r="86" ht="15.75" customHeight="1">
      <c r="A86" s="89"/>
      <c r="B86" s="89"/>
      <c r="C86" s="89"/>
      <c r="D86" s="89"/>
      <c r="E86" s="89"/>
    </row>
    <row r="87" ht="15.75" customHeight="1">
      <c r="A87" s="89"/>
      <c r="B87" s="89"/>
      <c r="C87" s="89"/>
      <c r="D87" s="89"/>
      <c r="E87" s="89"/>
    </row>
    <row r="88" ht="15.75" customHeight="1">
      <c r="A88" s="89"/>
      <c r="B88" s="89"/>
      <c r="C88" s="89"/>
      <c r="D88" s="89"/>
      <c r="E88" s="89"/>
    </row>
    <row r="89" ht="15.75" customHeight="1">
      <c r="A89" s="89"/>
      <c r="B89" s="89"/>
      <c r="C89" s="89"/>
      <c r="D89" s="89"/>
      <c r="E89" s="89"/>
    </row>
    <row r="90" ht="15.75" customHeight="1">
      <c r="A90" s="89"/>
      <c r="B90" s="89"/>
      <c r="C90" s="89"/>
      <c r="D90" s="89"/>
      <c r="E90" s="89"/>
    </row>
    <row r="91" ht="15.75" customHeight="1">
      <c r="A91" s="89"/>
      <c r="B91" s="89"/>
      <c r="C91" s="89"/>
      <c r="D91" s="89"/>
      <c r="E91" s="89"/>
    </row>
    <row r="92" ht="15.75" customHeight="1">
      <c r="A92" s="89"/>
      <c r="B92" s="89"/>
      <c r="C92" s="89"/>
      <c r="D92" s="89"/>
      <c r="E92" s="89"/>
    </row>
    <row r="93" ht="15.75" customHeight="1">
      <c r="A93" s="89"/>
      <c r="B93" s="89"/>
      <c r="C93" s="89"/>
      <c r="D93" s="89"/>
      <c r="E93" s="89"/>
    </row>
    <row r="94" ht="15.75" customHeight="1">
      <c r="A94" s="89"/>
      <c r="B94" s="89"/>
      <c r="C94" s="89"/>
      <c r="D94" s="89"/>
      <c r="E94" s="89"/>
    </row>
    <row r="95" ht="15.75" customHeight="1">
      <c r="A95" s="89"/>
      <c r="B95" s="89"/>
      <c r="C95" s="89"/>
      <c r="D95" s="89"/>
      <c r="E95" s="89"/>
    </row>
    <row r="96" ht="15.75" customHeight="1">
      <c r="A96" s="89"/>
      <c r="B96" s="89"/>
      <c r="C96" s="89"/>
      <c r="D96" s="89"/>
      <c r="E96" s="89"/>
    </row>
    <row r="97" ht="15.75" customHeight="1">
      <c r="A97" s="89"/>
      <c r="B97" s="89"/>
      <c r="C97" s="89"/>
      <c r="D97" s="89"/>
      <c r="E97" s="89"/>
    </row>
    <row r="98" ht="15.75" customHeight="1">
      <c r="A98" s="89"/>
      <c r="B98" s="89"/>
      <c r="C98" s="89"/>
      <c r="D98" s="89"/>
      <c r="E98" s="89"/>
    </row>
    <row r="99" ht="15.75" customHeight="1">
      <c r="A99" s="89"/>
      <c r="B99" s="89"/>
      <c r="C99" s="89"/>
      <c r="D99" s="89"/>
      <c r="E99" s="89"/>
    </row>
    <row r="100" ht="15.75" customHeight="1">
      <c r="A100" s="89"/>
      <c r="B100" s="89"/>
      <c r="C100" s="89"/>
      <c r="D100" s="89"/>
      <c r="E100" s="89"/>
    </row>
    <row r="101" ht="15.75" customHeight="1">
      <c r="A101" s="89"/>
      <c r="B101" s="89"/>
      <c r="C101" s="89"/>
      <c r="D101" s="89"/>
      <c r="E101" s="89"/>
    </row>
    <row r="102" ht="15.75" customHeight="1">
      <c r="A102" s="89"/>
      <c r="B102" s="89"/>
      <c r="C102" s="89"/>
      <c r="D102" s="89"/>
      <c r="E102" s="89"/>
    </row>
    <row r="103" ht="15.75" customHeight="1">
      <c r="A103" s="89"/>
      <c r="B103" s="89"/>
      <c r="C103" s="89"/>
      <c r="D103" s="89"/>
      <c r="E103" s="89"/>
    </row>
    <row r="104" ht="15.75" customHeight="1">
      <c r="A104" s="89"/>
      <c r="B104" s="89"/>
      <c r="C104" s="89"/>
      <c r="D104" s="89"/>
      <c r="E104" s="89"/>
    </row>
    <row r="105" ht="15.75" customHeight="1">
      <c r="A105" s="89"/>
      <c r="B105" s="89"/>
      <c r="C105" s="89"/>
      <c r="D105" s="89"/>
      <c r="E105" s="89"/>
    </row>
    <row r="106" ht="15.75" customHeight="1">
      <c r="A106" s="89"/>
      <c r="B106" s="89"/>
      <c r="C106" s="89"/>
      <c r="D106" s="89"/>
      <c r="E106" s="89"/>
    </row>
    <row r="107" ht="15.75" customHeight="1">
      <c r="A107" s="89"/>
      <c r="B107" s="89"/>
      <c r="C107" s="89"/>
      <c r="D107" s="89"/>
      <c r="E107" s="89"/>
    </row>
    <row r="108" ht="15.75" customHeight="1">
      <c r="A108" s="89"/>
      <c r="B108" s="89"/>
      <c r="C108" s="89"/>
      <c r="D108" s="89"/>
      <c r="E108" s="89"/>
    </row>
    <row r="109" ht="15.75" customHeight="1">
      <c r="A109" s="89"/>
      <c r="B109" s="89"/>
      <c r="C109" s="89"/>
      <c r="D109" s="89"/>
      <c r="E109" s="89"/>
    </row>
    <row r="110" ht="15.75" customHeight="1">
      <c r="A110" s="89"/>
      <c r="B110" s="89"/>
      <c r="C110" s="89"/>
      <c r="D110" s="89"/>
      <c r="E110" s="89"/>
    </row>
    <row r="111" ht="15.75" customHeight="1">
      <c r="A111" s="89"/>
      <c r="B111" s="89"/>
      <c r="C111" s="89"/>
      <c r="D111" s="89"/>
      <c r="E111" s="89"/>
    </row>
    <row r="112" ht="15.75" customHeight="1">
      <c r="A112" s="89"/>
      <c r="B112" s="89"/>
      <c r="C112" s="89"/>
      <c r="D112" s="89"/>
      <c r="E112" s="89"/>
    </row>
    <row r="113" ht="15.75" customHeight="1">
      <c r="A113" s="89"/>
      <c r="B113" s="89"/>
      <c r="C113" s="89"/>
      <c r="D113" s="89"/>
      <c r="E113" s="89"/>
    </row>
    <row r="114" ht="15.75" customHeight="1">
      <c r="A114" s="89"/>
      <c r="B114" s="89"/>
      <c r="C114" s="89"/>
      <c r="D114" s="89"/>
      <c r="E114" s="89"/>
    </row>
    <row r="115" ht="15.75" customHeight="1">
      <c r="A115" s="89"/>
      <c r="B115" s="89"/>
      <c r="C115" s="89"/>
      <c r="D115" s="89"/>
      <c r="E115" s="89"/>
    </row>
    <row r="116" ht="15.75" customHeight="1">
      <c r="A116" s="89"/>
      <c r="B116" s="89"/>
      <c r="C116" s="89"/>
      <c r="D116" s="89"/>
      <c r="E116" s="89"/>
    </row>
    <row r="117" ht="15.75" customHeight="1">
      <c r="A117" s="89"/>
      <c r="B117" s="89"/>
      <c r="C117" s="89"/>
      <c r="D117" s="89"/>
      <c r="E117" s="89"/>
    </row>
    <row r="118" ht="15.75" customHeight="1">
      <c r="A118" s="89"/>
      <c r="B118" s="89"/>
      <c r="C118" s="89"/>
      <c r="D118" s="89"/>
      <c r="E118" s="89"/>
    </row>
    <row r="119" ht="15.75" customHeight="1">
      <c r="A119" s="89"/>
      <c r="B119" s="89"/>
      <c r="C119" s="89"/>
      <c r="D119" s="89"/>
      <c r="E119" s="89"/>
    </row>
    <row r="120" ht="15.75" customHeight="1">
      <c r="A120" s="89"/>
      <c r="B120" s="89"/>
      <c r="C120" s="89"/>
      <c r="D120" s="89"/>
      <c r="E120" s="89"/>
    </row>
    <row r="121" ht="15.75" customHeight="1">
      <c r="A121" s="89"/>
      <c r="B121" s="89"/>
      <c r="C121" s="89"/>
      <c r="D121" s="89"/>
      <c r="E121" s="89"/>
    </row>
    <row r="122" ht="15.75" customHeight="1">
      <c r="A122" s="89"/>
      <c r="B122" s="89"/>
      <c r="C122" s="89"/>
      <c r="D122" s="89"/>
      <c r="E122" s="89"/>
    </row>
    <row r="123" ht="15.75" customHeight="1">
      <c r="A123" s="89"/>
      <c r="B123" s="89"/>
      <c r="C123" s="89"/>
      <c r="D123" s="89"/>
      <c r="E123" s="89"/>
    </row>
    <row r="124" ht="15.75" customHeight="1">
      <c r="A124" s="89"/>
      <c r="B124" s="89"/>
      <c r="C124" s="89"/>
      <c r="D124" s="89"/>
      <c r="E124" s="89"/>
    </row>
    <row r="125" ht="15.75" customHeight="1">
      <c r="A125" s="89"/>
      <c r="B125" s="89"/>
      <c r="C125" s="89"/>
      <c r="D125" s="89"/>
      <c r="E125" s="89"/>
    </row>
    <row r="126" ht="15.75" customHeight="1">
      <c r="A126" s="89"/>
      <c r="B126" s="89"/>
      <c r="C126" s="89"/>
      <c r="D126" s="89"/>
      <c r="E126" s="89"/>
    </row>
    <row r="127" ht="15.75" customHeight="1">
      <c r="A127" s="89"/>
      <c r="B127" s="89"/>
      <c r="C127" s="89"/>
      <c r="D127" s="89"/>
      <c r="E127" s="89"/>
    </row>
    <row r="128" ht="15.75" customHeight="1">
      <c r="A128" s="89"/>
      <c r="B128" s="89"/>
      <c r="C128" s="89"/>
      <c r="D128" s="89"/>
      <c r="E128" s="89"/>
    </row>
    <row r="129" ht="15.75" customHeight="1">
      <c r="A129" s="89"/>
      <c r="B129" s="89"/>
      <c r="C129" s="89"/>
      <c r="D129" s="89"/>
      <c r="E129" s="89"/>
    </row>
    <row r="130" ht="15.75" customHeight="1">
      <c r="A130" s="89"/>
      <c r="B130" s="89"/>
      <c r="C130" s="89"/>
      <c r="D130" s="89"/>
      <c r="E130" s="89"/>
    </row>
    <row r="131" ht="15.75" customHeight="1">
      <c r="A131" s="89"/>
      <c r="B131" s="89"/>
      <c r="C131" s="89"/>
      <c r="D131" s="89"/>
      <c r="E131" s="89"/>
    </row>
    <row r="132" ht="15.75" customHeight="1">
      <c r="A132" s="89"/>
      <c r="B132" s="89"/>
      <c r="C132" s="89"/>
      <c r="D132" s="89"/>
      <c r="E132" s="89"/>
    </row>
    <row r="133" ht="15.75" customHeight="1">
      <c r="A133" s="89"/>
      <c r="B133" s="89"/>
      <c r="C133" s="89"/>
      <c r="D133" s="89"/>
      <c r="E133" s="89"/>
    </row>
    <row r="134" ht="15.75" customHeight="1">
      <c r="A134" s="89"/>
      <c r="B134" s="89"/>
      <c r="C134" s="89"/>
      <c r="D134" s="89"/>
      <c r="E134" s="89"/>
    </row>
    <row r="135" ht="15.75" customHeight="1">
      <c r="A135" s="89"/>
      <c r="B135" s="89"/>
      <c r="C135" s="89"/>
      <c r="D135" s="89"/>
      <c r="E135" s="89"/>
    </row>
    <row r="136" ht="15.75" customHeight="1">
      <c r="A136" s="89"/>
      <c r="B136" s="89"/>
      <c r="C136" s="89"/>
      <c r="D136" s="89"/>
      <c r="E136" s="89"/>
    </row>
    <row r="137" ht="15.75" customHeight="1">
      <c r="A137" s="89"/>
      <c r="B137" s="89"/>
      <c r="C137" s="89"/>
      <c r="D137" s="89"/>
      <c r="E137" s="89"/>
    </row>
    <row r="138" ht="15.75" customHeight="1">
      <c r="A138" s="89"/>
      <c r="B138" s="89"/>
      <c r="C138" s="89"/>
      <c r="D138" s="89"/>
      <c r="E138" s="89"/>
    </row>
    <row r="139" ht="15.75" customHeight="1">
      <c r="A139" s="89"/>
      <c r="B139" s="89"/>
      <c r="C139" s="89"/>
      <c r="D139" s="89"/>
      <c r="E139" s="89"/>
    </row>
    <row r="140" ht="15.75" customHeight="1">
      <c r="A140" s="89"/>
      <c r="B140" s="89"/>
      <c r="C140" s="89"/>
      <c r="D140" s="89"/>
      <c r="E140" s="89"/>
    </row>
    <row r="141" ht="15.75" customHeight="1">
      <c r="A141" s="89"/>
      <c r="B141" s="89"/>
      <c r="C141" s="89"/>
      <c r="D141" s="89"/>
      <c r="E141" s="89"/>
    </row>
    <row r="142" ht="15.75" customHeight="1">
      <c r="A142" s="89"/>
      <c r="B142" s="89"/>
      <c r="C142" s="89"/>
      <c r="D142" s="89"/>
      <c r="E142" s="89"/>
    </row>
    <row r="143" ht="15.75" customHeight="1">
      <c r="A143" s="89"/>
      <c r="B143" s="89"/>
      <c r="C143" s="89"/>
      <c r="D143" s="89"/>
      <c r="E143" s="89"/>
    </row>
    <row r="144" ht="15.75" customHeight="1">
      <c r="A144" s="89"/>
      <c r="B144" s="89"/>
      <c r="C144" s="89"/>
      <c r="D144" s="89"/>
      <c r="E144" s="89"/>
    </row>
    <row r="145" ht="15.75" customHeight="1">
      <c r="A145" s="89"/>
      <c r="B145" s="89"/>
      <c r="C145" s="89"/>
      <c r="D145" s="89"/>
      <c r="E145" s="89"/>
    </row>
    <row r="146" ht="15.75" customHeight="1">
      <c r="A146" s="89"/>
      <c r="B146" s="89"/>
      <c r="C146" s="89"/>
      <c r="D146" s="89"/>
      <c r="E146" s="89"/>
    </row>
    <row r="147" ht="15.75" customHeight="1">
      <c r="A147" s="89"/>
      <c r="B147" s="89"/>
      <c r="C147" s="89"/>
      <c r="D147" s="89"/>
      <c r="E147" s="89"/>
    </row>
    <row r="148" ht="15.75" customHeight="1">
      <c r="A148" s="89"/>
      <c r="B148" s="89"/>
      <c r="C148" s="89"/>
      <c r="D148" s="89"/>
      <c r="E148" s="89"/>
    </row>
    <row r="149" ht="15.75" customHeight="1">
      <c r="A149" s="89"/>
      <c r="B149" s="89"/>
      <c r="C149" s="89"/>
      <c r="D149" s="89"/>
      <c r="E149" s="89"/>
    </row>
    <row r="150" ht="15.75" customHeight="1">
      <c r="A150" s="89"/>
      <c r="B150" s="89"/>
      <c r="C150" s="89"/>
      <c r="D150" s="89"/>
      <c r="E150" s="89"/>
    </row>
    <row r="151" ht="15.75" customHeight="1">
      <c r="A151" s="89"/>
      <c r="B151" s="89"/>
      <c r="C151" s="89"/>
      <c r="D151" s="89"/>
      <c r="E151" s="89"/>
    </row>
    <row r="152" ht="15.75" customHeight="1">
      <c r="A152" s="89"/>
      <c r="B152" s="89"/>
      <c r="C152" s="89"/>
      <c r="D152" s="89"/>
      <c r="E152" s="89"/>
    </row>
    <row r="153" ht="15.75" customHeight="1">
      <c r="A153" s="89"/>
      <c r="B153" s="89"/>
      <c r="C153" s="89"/>
      <c r="D153" s="89"/>
      <c r="E153" s="89"/>
    </row>
    <row r="154" ht="15.75" customHeight="1">
      <c r="A154" s="89"/>
      <c r="B154" s="89"/>
      <c r="C154" s="89"/>
      <c r="D154" s="89"/>
      <c r="E154" s="89"/>
    </row>
    <row r="155" ht="15.75" customHeight="1">
      <c r="A155" s="89"/>
      <c r="B155" s="89"/>
      <c r="C155" s="89"/>
      <c r="D155" s="89"/>
      <c r="E155" s="89"/>
    </row>
    <row r="156" ht="15.75" customHeight="1">
      <c r="A156" s="89"/>
      <c r="B156" s="89"/>
      <c r="C156" s="89"/>
      <c r="D156" s="89"/>
      <c r="E156" s="89"/>
    </row>
    <row r="157" ht="15.75" customHeight="1">
      <c r="A157" s="89"/>
      <c r="B157" s="89"/>
      <c r="C157" s="89"/>
      <c r="D157" s="89"/>
      <c r="E157" s="89"/>
    </row>
    <row r="158" ht="15.75" customHeight="1">
      <c r="A158" s="89"/>
      <c r="B158" s="89"/>
      <c r="C158" s="89"/>
      <c r="D158" s="89"/>
      <c r="E158" s="89"/>
    </row>
    <row r="159" ht="15.75" customHeight="1">
      <c r="A159" s="89"/>
      <c r="B159" s="89"/>
      <c r="C159" s="89"/>
      <c r="D159" s="89"/>
      <c r="E159" s="89"/>
    </row>
    <row r="160" ht="15.75" customHeight="1">
      <c r="A160" s="89"/>
      <c r="B160" s="89"/>
      <c r="C160" s="89"/>
      <c r="D160" s="89"/>
      <c r="E160" s="89"/>
    </row>
    <row r="161" ht="15.75" customHeight="1">
      <c r="A161" s="89"/>
      <c r="B161" s="89"/>
      <c r="C161" s="89"/>
      <c r="D161" s="89"/>
      <c r="E161" s="89"/>
    </row>
    <row r="162" ht="15.75" customHeight="1">
      <c r="A162" s="89"/>
      <c r="B162" s="89"/>
      <c r="C162" s="89"/>
      <c r="D162" s="89"/>
      <c r="E162" s="89"/>
    </row>
    <row r="163" ht="15.75" customHeight="1">
      <c r="A163" s="89"/>
      <c r="B163" s="89"/>
      <c r="C163" s="89"/>
      <c r="D163" s="89"/>
      <c r="E163" s="89"/>
    </row>
    <row r="164" ht="15.75" customHeight="1">
      <c r="A164" s="89"/>
      <c r="B164" s="89"/>
      <c r="C164" s="89"/>
      <c r="D164" s="89"/>
      <c r="E164" s="89"/>
    </row>
    <row r="165" ht="15.75" customHeight="1">
      <c r="A165" s="89"/>
      <c r="B165" s="89"/>
      <c r="C165" s="89"/>
      <c r="D165" s="89"/>
      <c r="E165" s="89"/>
    </row>
    <row r="166" ht="15.75" customHeight="1">
      <c r="A166" s="89"/>
      <c r="B166" s="89"/>
      <c r="C166" s="89"/>
      <c r="D166" s="89"/>
      <c r="E166" s="89"/>
    </row>
    <row r="167" ht="15.75" customHeight="1">
      <c r="A167" s="89"/>
      <c r="B167" s="89"/>
      <c r="C167" s="89"/>
      <c r="D167" s="89"/>
      <c r="E167" s="89"/>
    </row>
    <row r="168" ht="15.75" customHeight="1">
      <c r="A168" s="89"/>
      <c r="B168" s="89"/>
      <c r="C168" s="89"/>
      <c r="D168" s="89"/>
      <c r="E168" s="89"/>
    </row>
    <row r="169" ht="15.75" customHeight="1">
      <c r="A169" s="89"/>
      <c r="B169" s="89"/>
      <c r="C169" s="89"/>
      <c r="D169" s="89"/>
      <c r="E169" s="89"/>
    </row>
    <row r="170" ht="15.75" customHeight="1">
      <c r="A170" s="89"/>
      <c r="B170" s="89"/>
      <c r="C170" s="89"/>
      <c r="D170" s="89"/>
      <c r="E170" s="89"/>
    </row>
    <row r="171" ht="15.75" customHeight="1">
      <c r="A171" s="89"/>
      <c r="B171" s="89"/>
      <c r="C171" s="89"/>
      <c r="D171" s="89"/>
      <c r="E171" s="89"/>
    </row>
    <row r="172" ht="15.75" customHeight="1">
      <c r="A172" s="89"/>
      <c r="B172" s="89"/>
      <c r="C172" s="89"/>
      <c r="D172" s="89"/>
      <c r="E172" s="89"/>
    </row>
    <row r="173" ht="15.75" customHeight="1">
      <c r="A173" s="89"/>
      <c r="B173" s="89"/>
      <c r="C173" s="89"/>
      <c r="D173" s="89"/>
      <c r="E173" s="89"/>
    </row>
    <row r="174" ht="15.75" customHeight="1">
      <c r="A174" s="89"/>
      <c r="B174" s="89"/>
      <c r="C174" s="89"/>
      <c r="D174" s="89"/>
      <c r="E174" s="89"/>
    </row>
    <row r="175" ht="15.75" customHeight="1">
      <c r="A175" s="89"/>
      <c r="B175" s="89"/>
      <c r="C175" s="89"/>
      <c r="D175" s="89"/>
      <c r="E175" s="89"/>
    </row>
    <row r="176" ht="15.75" customHeight="1">
      <c r="A176" s="89"/>
      <c r="B176" s="89"/>
      <c r="C176" s="89"/>
      <c r="D176" s="89"/>
      <c r="E176" s="89"/>
    </row>
    <row r="177" ht="15.75" customHeight="1">
      <c r="A177" s="89"/>
      <c r="B177" s="89"/>
      <c r="C177" s="89"/>
      <c r="D177" s="89"/>
      <c r="E177" s="89"/>
    </row>
    <row r="178" ht="15.75" customHeight="1">
      <c r="A178" s="89"/>
      <c r="B178" s="89"/>
      <c r="C178" s="89"/>
      <c r="D178" s="89"/>
      <c r="E178" s="89"/>
    </row>
    <row r="179" ht="15.75" customHeight="1">
      <c r="A179" s="89"/>
      <c r="B179" s="89"/>
      <c r="C179" s="89"/>
      <c r="D179" s="89"/>
      <c r="E179" s="89"/>
    </row>
    <row r="180" ht="15.75" customHeight="1">
      <c r="A180" s="89"/>
      <c r="B180" s="89"/>
      <c r="C180" s="89"/>
      <c r="D180" s="89"/>
      <c r="E180" s="89"/>
    </row>
    <row r="181" ht="15.75" customHeight="1">
      <c r="A181" s="89"/>
      <c r="B181" s="89"/>
      <c r="C181" s="89"/>
      <c r="D181" s="89"/>
      <c r="E181" s="89"/>
    </row>
    <row r="182" ht="15.75" customHeight="1">
      <c r="A182" s="89"/>
      <c r="B182" s="89"/>
      <c r="C182" s="89"/>
      <c r="D182" s="89"/>
      <c r="E182" s="89"/>
    </row>
    <row r="183" ht="15.75" customHeight="1">
      <c r="A183" s="89"/>
      <c r="B183" s="89"/>
      <c r="C183" s="89"/>
      <c r="D183" s="89"/>
      <c r="E183" s="89"/>
    </row>
    <row r="184" ht="15.75" customHeight="1">
      <c r="A184" s="89"/>
      <c r="B184" s="89"/>
      <c r="C184" s="89"/>
      <c r="D184" s="89"/>
      <c r="E184" s="89"/>
    </row>
    <row r="185" ht="15.75" customHeight="1">
      <c r="A185" s="89"/>
      <c r="B185" s="89"/>
      <c r="C185" s="89"/>
      <c r="D185" s="89"/>
      <c r="E185" s="89"/>
    </row>
    <row r="186" ht="15.75" customHeight="1">
      <c r="A186" s="89"/>
      <c r="B186" s="89"/>
      <c r="C186" s="89"/>
      <c r="D186" s="89"/>
      <c r="E186" s="89"/>
    </row>
    <row r="187" ht="15.75" customHeight="1">
      <c r="A187" s="89"/>
      <c r="B187" s="89"/>
      <c r="C187" s="89"/>
      <c r="D187" s="89"/>
      <c r="E187" s="89"/>
    </row>
    <row r="188" ht="15.75" customHeight="1">
      <c r="A188" s="89"/>
      <c r="B188" s="89"/>
      <c r="C188" s="89"/>
      <c r="D188" s="89"/>
      <c r="E188" s="89"/>
    </row>
    <row r="189" ht="15.75" customHeight="1">
      <c r="A189" s="89"/>
      <c r="B189" s="89"/>
      <c r="C189" s="89"/>
      <c r="D189" s="89"/>
      <c r="E189" s="89"/>
    </row>
    <row r="190" ht="15.75" customHeight="1">
      <c r="A190" s="89"/>
      <c r="B190" s="89"/>
      <c r="C190" s="89"/>
      <c r="D190" s="89"/>
      <c r="E190" s="89"/>
    </row>
    <row r="191" ht="15.75" customHeight="1">
      <c r="A191" s="89"/>
      <c r="B191" s="89"/>
      <c r="C191" s="89"/>
      <c r="D191" s="89"/>
      <c r="E191" s="89"/>
    </row>
    <row r="192" ht="15.75" customHeight="1">
      <c r="A192" s="89"/>
      <c r="B192" s="89"/>
      <c r="C192" s="89"/>
      <c r="D192" s="89"/>
      <c r="E192" s="89"/>
    </row>
    <row r="193" ht="15.75" customHeight="1">
      <c r="A193" s="89"/>
      <c r="B193" s="89"/>
      <c r="C193" s="89"/>
      <c r="D193" s="89"/>
      <c r="E193" s="89"/>
    </row>
    <row r="194" ht="15.75" customHeight="1">
      <c r="A194" s="89"/>
      <c r="B194" s="89"/>
      <c r="C194" s="89"/>
      <c r="D194" s="89"/>
      <c r="E194" s="89"/>
    </row>
    <row r="195" ht="15.75" customHeight="1">
      <c r="A195" s="89"/>
      <c r="B195" s="89"/>
      <c r="C195" s="89"/>
      <c r="D195" s="89"/>
      <c r="E195" s="89"/>
    </row>
    <row r="196" ht="15.75" customHeight="1">
      <c r="A196" s="89"/>
      <c r="B196" s="89"/>
      <c r="C196" s="89"/>
      <c r="D196" s="89"/>
      <c r="E196" s="89"/>
    </row>
    <row r="197" ht="15.75" customHeight="1">
      <c r="A197" s="89"/>
      <c r="B197" s="89"/>
      <c r="C197" s="89"/>
      <c r="D197" s="89"/>
      <c r="E197" s="89"/>
    </row>
    <row r="198" ht="15.75" customHeight="1">
      <c r="A198" s="89"/>
      <c r="B198" s="89"/>
      <c r="C198" s="89"/>
      <c r="D198" s="89"/>
      <c r="E198" s="89"/>
    </row>
    <row r="199" ht="15.75" customHeight="1">
      <c r="A199" s="89"/>
      <c r="B199" s="89"/>
      <c r="C199" s="89"/>
      <c r="D199" s="89"/>
      <c r="E199" s="89"/>
    </row>
    <row r="200" ht="15.75" customHeight="1">
      <c r="A200" s="89"/>
      <c r="B200" s="89"/>
      <c r="C200" s="89"/>
      <c r="D200" s="89"/>
      <c r="E200" s="89"/>
    </row>
    <row r="201" ht="15.75" customHeight="1">
      <c r="A201" s="89"/>
      <c r="B201" s="89"/>
      <c r="C201" s="89"/>
      <c r="D201" s="89"/>
      <c r="E201" s="89"/>
    </row>
    <row r="202" ht="15.75" customHeight="1">
      <c r="A202" s="89"/>
      <c r="B202" s="89"/>
      <c r="C202" s="89"/>
      <c r="D202" s="89"/>
      <c r="E202" s="89"/>
    </row>
    <row r="203" ht="15.75" customHeight="1">
      <c r="A203" s="89"/>
      <c r="B203" s="89"/>
      <c r="C203" s="89"/>
      <c r="D203" s="89"/>
      <c r="E203" s="89"/>
    </row>
    <row r="204" ht="15.75" customHeight="1">
      <c r="A204" s="89"/>
      <c r="B204" s="89"/>
      <c r="C204" s="89"/>
      <c r="D204" s="89"/>
      <c r="E204" s="89"/>
    </row>
    <row r="205" ht="15.75" customHeight="1">
      <c r="A205" s="89"/>
      <c r="B205" s="89"/>
      <c r="C205" s="89"/>
      <c r="D205" s="89"/>
      <c r="E205" s="89"/>
    </row>
    <row r="206" ht="15.75" customHeight="1">
      <c r="A206" s="89"/>
      <c r="B206" s="89"/>
      <c r="C206" s="89"/>
      <c r="D206" s="89"/>
      <c r="E206" s="89"/>
    </row>
    <row r="207" ht="15.75" customHeight="1">
      <c r="A207" s="89"/>
      <c r="B207" s="89"/>
      <c r="C207" s="89"/>
      <c r="D207" s="89"/>
      <c r="E207" s="89"/>
    </row>
    <row r="208" ht="15.75" customHeight="1">
      <c r="A208" s="89"/>
      <c r="B208" s="89"/>
      <c r="C208" s="89"/>
      <c r="D208" s="89"/>
      <c r="E208" s="89"/>
    </row>
    <row r="209" ht="15.75" customHeight="1">
      <c r="A209" s="89"/>
      <c r="B209" s="89"/>
      <c r="C209" s="89"/>
      <c r="D209" s="89"/>
      <c r="E209" s="89"/>
    </row>
    <row r="210" ht="15.75" customHeight="1">
      <c r="A210" s="89"/>
      <c r="B210" s="89"/>
      <c r="C210" s="89"/>
      <c r="D210" s="89"/>
      <c r="E210" s="89"/>
    </row>
    <row r="211" ht="15.75" customHeight="1">
      <c r="A211" s="89"/>
      <c r="B211" s="89"/>
      <c r="C211" s="89"/>
      <c r="D211" s="89"/>
      <c r="E211" s="89"/>
    </row>
    <row r="212" ht="15.75" customHeight="1">
      <c r="A212" s="89"/>
      <c r="B212" s="89"/>
      <c r="C212" s="89"/>
      <c r="D212" s="89"/>
      <c r="E212" s="89"/>
    </row>
    <row r="213" ht="15.75" customHeight="1">
      <c r="A213" s="89"/>
      <c r="B213" s="89"/>
      <c r="C213" s="89"/>
      <c r="D213" s="89"/>
      <c r="E213" s="89"/>
    </row>
    <row r="214" ht="15.75" customHeight="1">
      <c r="A214" s="89"/>
      <c r="B214" s="89"/>
      <c r="C214" s="89"/>
      <c r="D214" s="89"/>
      <c r="E214" s="89"/>
    </row>
    <row r="215" ht="15.75" customHeight="1">
      <c r="A215" s="89"/>
      <c r="B215" s="89"/>
      <c r="C215" s="89"/>
      <c r="D215" s="89"/>
      <c r="E215" s="89"/>
    </row>
    <row r="216" ht="15.75" customHeight="1">
      <c r="A216" s="89"/>
      <c r="B216" s="89"/>
      <c r="C216" s="89"/>
      <c r="D216" s="89"/>
      <c r="E216" s="89"/>
    </row>
    <row r="217" ht="15.75" customHeight="1">
      <c r="A217" s="89"/>
      <c r="B217" s="89"/>
      <c r="C217" s="89"/>
      <c r="D217" s="89"/>
      <c r="E217" s="89"/>
    </row>
    <row r="218" ht="15.75" customHeight="1">
      <c r="A218" s="89"/>
      <c r="B218" s="89"/>
      <c r="C218" s="89"/>
      <c r="D218" s="89"/>
      <c r="E218" s="89"/>
    </row>
    <row r="219" ht="15.75" customHeight="1">
      <c r="A219" s="89"/>
      <c r="B219" s="89"/>
      <c r="C219" s="89"/>
      <c r="D219" s="89"/>
      <c r="E219" s="89"/>
    </row>
    <row r="220" ht="15.75" customHeight="1">
      <c r="A220" s="89"/>
      <c r="B220" s="89"/>
      <c r="C220" s="89"/>
      <c r="D220" s="89"/>
      <c r="E220" s="89"/>
    </row>
    <row r="221" ht="15.75" customHeight="1">
      <c r="A221" s="89"/>
      <c r="B221" s="89"/>
      <c r="C221" s="89"/>
      <c r="D221" s="89"/>
      <c r="E221" s="89"/>
    </row>
    <row r="222" ht="15.75" customHeight="1">
      <c r="A222" s="89"/>
      <c r="B222" s="89"/>
      <c r="C222" s="89"/>
      <c r="D222" s="89"/>
      <c r="E222" s="89"/>
    </row>
    <row r="223" ht="15.75" customHeight="1">
      <c r="A223" s="89"/>
      <c r="B223" s="89"/>
      <c r="C223" s="89"/>
      <c r="D223" s="89"/>
      <c r="E223" s="89"/>
    </row>
    <row r="224" ht="15.75" customHeight="1">
      <c r="A224" s="89"/>
      <c r="B224" s="89"/>
      <c r="C224" s="89"/>
      <c r="D224" s="89"/>
      <c r="E224" s="89"/>
    </row>
    <row r="225" ht="15.75" customHeight="1">
      <c r="A225" s="89"/>
      <c r="B225" s="89"/>
      <c r="C225" s="89"/>
      <c r="D225" s="89"/>
      <c r="E225" s="89"/>
    </row>
    <row r="226" ht="15.75" customHeight="1">
      <c r="A226" s="89"/>
      <c r="B226" s="89"/>
      <c r="C226" s="89"/>
      <c r="D226" s="89"/>
      <c r="E226" s="89"/>
    </row>
    <row r="227" ht="15.75" customHeight="1">
      <c r="A227" s="89"/>
      <c r="B227" s="89"/>
      <c r="C227" s="89"/>
      <c r="D227" s="89"/>
      <c r="E227" s="89"/>
    </row>
    <row r="228" ht="15.75" customHeight="1">
      <c r="A228" s="89"/>
      <c r="B228" s="89"/>
      <c r="C228" s="89"/>
      <c r="D228" s="89"/>
      <c r="E228" s="89"/>
    </row>
    <row r="229" ht="15.75" customHeight="1">
      <c r="A229" s="89"/>
      <c r="B229" s="89"/>
      <c r="C229" s="89"/>
      <c r="D229" s="89"/>
      <c r="E229" s="89"/>
    </row>
    <row r="230" ht="15.75" customHeight="1">
      <c r="A230" s="89"/>
      <c r="B230" s="89"/>
      <c r="C230" s="89"/>
      <c r="D230" s="89"/>
      <c r="E230" s="89"/>
    </row>
    <row r="231" ht="15.75" customHeight="1">
      <c r="A231" s="89"/>
      <c r="B231" s="89"/>
      <c r="C231" s="89"/>
      <c r="D231" s="89"/>
      <c r="E231" s="89"/>
    </row>
    <row r="232" ht="15.75" customHeight="1">
      <c r="A232" s="89"/>
      <c r="B232" s="89"/>
      <c r="C232" s="89"/>
      <c r="D232" s="89"/>
      <c r="E232" s="89"/>
    </row>
    <row r="233" ht="15.75" customHeight="1">
      <c r="A233" s="89"/>
      <c r="B233" s="89"/>
      <c r="C233" s="89"/>
      <c r="D233" s="89"/>
      <c r="E233" s="89"/>
    </row>
    <row r="234" ht="15.75" customHeight="1">
      <c r="A234" s="89"/>
      <c r="B234" s="89"/>
      <c r="C234" s="89"/>
      <c r="D234" s="89"/>
      <c r="E234" s="89"/>
    </row>
    <row r="235" ht="15.75" customHeight="1">
      <c r="A235" s="89"/>
      <c r="B235" s="89"/>
      <c r="C235" s="89"/>
      <c r="D235" s="89"/>
      <c r="E235" s="89"/>
    </row>
    <row r="236" ht="15.75" customHeight="1">
      <c r="A236" s="89"/>
      <c r="B236" s="89"/>
      <c r="C236" s="89"/>
      <c r="D236" s="89"/>
      <c r="E236" s="89"/>
    </row>
    <row r="237" ht="15.75" customHeight="1">
      <c r="A237" s="89"/>
      <c r="B237" s="89"/>
      <c r="C237" s="89"/>
      <c r="D237" s="89"/>
      <c r="E237" s="89"/>
    </row>
    <row r="238" ht="15.75" customHeight="1">
      <c r="A238" s="89"/>
      <c r="B238" s="89"/>
      <c r="C238" s="89"/>
      <c r="D238" s="89"/>
      <c r="E238" s="89"/>
    </row>
    <row r="239" ht="15.75" customHeight="1">
      <c r="A239" s="89"/>
      <c r="B239" s="89"/>
      <c r="C239" s="89"/>
      <c r="D239" s="89"/>
      <c r="E239" s="89"/>
    </row>
    <row r="240" ht="15.75" customHeight="1">
      <c r="A240" s="89"/>
      <c r="B240" s="89"/>
      <c r="C240" s="89"/>
      <c r="D240" s="89"/>
      <c r="E240" s="89"/>
    </row>
    <row r="241" ht="15.75" customHeight="1">
      <c r="A241" s="89"/>
      <c r="B241" s="89"/>
      <c r="C241" s="89"/>
      <c r="D241" s="89"/>
      <c r="E241" s="89"/>
    </row>
    <row r="242" ht="15.75" customHeight="1">
      <c r="A242" s="89"/>
      <c r="B242" s="89"/>
      <c r="C242" s="89"/>
      <c r="D242" s="89"/>
      <c r="E242" s="89"/>
    </row>
    <row r="243" ht="15.75" customHeight="1">
      <c r="A243" s="89"/>
      <c r="B243" s="89"/>
      <c r="C243" s="89"/>
      <c r="D243" s="89"/>
      <c r="E243" s="89"/>
    </row>
    <row r="244" ht="15.75" customHeight="1">
      <c r="A244" s="89"/>
      <c r="B244" s="89"/>
      <c r="C244" s="89"/>
      <c r="D244" s="89"/>
      <c r="E244" s="89"/>
    </row>
    <row r="245" ht="15.75" customHeight="1">
      <c r="A245" s="89"/>
      <c r="B245" s="89"/>
      <c r="C245" s="89"/>
      <c r="D245" s="89"/>
      <c r="E245" s="89"/>
    </row>
    <row r="246" ht="15.75" customHeight="1">
      <c r="A246" s="89"/>
      <c r="B246" s="89"/>
      <c r="C246" s="89"/>
      <c r="D246" s="89"/>
      <c r="E246" s="89"/>
    </row>
    <row r="247" ht="15.75" customHeight="1">
      <c r="A247" s="89"/>
      <c r="B247" s="89"/>
      <c r="C247" s="89"/>
      <c r="D247" s="89"/>
      <c r="E247" s="89"/>
    </row>
    <row r="248" ht="15.75" customHeight="1">
      <c r="A248" s="89"/>
      <c r="B248" s="89"/>
      <c r="C248" s="89"/>
      <c r="D248" s="89"/>
      <c r="E248" s="89"/>
    </row>
    <row r="249" ht="15.75" customHeight="1">
      <c r="A249" s="89"/>
      <c r="B249" s="89"/>
      <c r="C249" s="89"/>
      <c r="D249" s="89"/>
      <c r="E249" s="89"/>
    </row>
    <row r="250" ht="15.75" customHeight="1">
      <c r="A250" s="89"/>
      <c r="B250" s="89"/>
      <c r="C250" s="89"/>
      <c r="D250" s="89"/>
      <c r="E250" s="89"/>
    </row>
    <row r="251" ht="15.75" customHeight="1">
      <c r="A251" s="89"/>
      <c r="B251" s="89"/>
      <c r="C251" s="89"/>
      <c r="D251" s="89"/>
      <c r="E251" s="89"/>
    </row>
    <row r="252" ht="15.75" customHeight="1">
      <c r="A252" s="89"/>
      <c r="B252" s="89"/>
      <c r="C252" s="89"/>
      <c r="D252" s="89"/>
      <c r="E252" s="89"/>
    </row>
    <row r="253" ht="15.75" customHeight="1">
      <c r="A253" s="89"/>
      <c r="B253" s="89"/>
      <c r="C253" s="89"/>
      <c r="D253" s="89"/>
      <c r="E253" s="89"/>
    </row>
    <row r="254" ht="15.75" customHeight="1">
      <c r="A254" s="89"/>
      <c r="B254" s="89"/>
      <c r="C254" s="89"/>
      <c r="D254" s="89"/>
      <c r="E254" s="89"/>
    </row>
    <row r="255" ht="15.75" customHeight="1">
      <c r="A255" s="89"/>
      <c r="B255" s="89"/>
      <c r="C255" s="89"/>
      <c r="D255" s="89"/>
      <c r="E255" s="89"/>
    </row>
    <row r="256" ht="15.75" customHeight="1">
      <c r="A256" s="89"/>
      <c r="B256" s="89"/>
      <c r="C256" s="89"/>
      <c r="D256" s="89"/>
      <c r="E256" s="89"/>
    </row>
    <row r="257" ht="15.75" customHeight="1">
      <c r="A257" s="89"/>
      <c r="B257" s="89"/>
      <c r="C257" s="89"/>
      <c r="D257" s="89"/>
      <c r="E257" s="89"/>
    </row>
    <row r="258" ht="15.75" customHeight="1">
      <c r="A258" s="89"/>
      <c r="B258" s="89"/>
      <c r="C258" s="89"/>
      <c r="D258" s="89"/>
      <c r="E258" s="89"/>
    </row>
    <row r="259" ht="15.75" customHeight="1">
      <c r="A259" s="89"/>
      <c r="B259" s="89"/>
      <c r="C259" s="89"/>
      <c r="D259" s="89"/>
      <c r="E259" s="89"/>
    </row>
    <row r="260" ht="15.75" customHeight="1">
      <c r="A260" s="89"/>
      <c r="B260" s="89"/>
      <c r="C260" s="89"/>
      <c r="D260" s="89"/>
      <c r="E260" s="89"/>
    </row>
    <row r="261" ht="15.75" customHeight="1">
      <c r="A261" s="89"/>
      <c r="B261" s="89"/>
      <c r="C261" s="89"/>
      <c r="D261" s="89"/>
      <c r="E261" s="89"/>
    </row>
    <row r="262" ht="15.75" customHeight="1">
      <c r="A262" s="89"/>
      <c r="B262" s="89"/>
      <c r="C262" s="89"/>
      <c r="D262" s="89"/>
      <c r="E262" s="89"/>
    </row>
    <row r="263" ht="15.75" customHeight="1">
      <c r="A263" s="89"/>
      <c r="B263" s="89"/>
      <c r="C263" s="89"/>
      <c r="D263" s="89"/>
      <c r="E263" s="89"/>
    </row>
    <row r="264" ht="15.75" customHeight="1">
      <c r="A264" s="89"/>
      <c r="B264" s="89"/>
      <c r="C264" s="89"/>
      <c r="D264" s="89"/>
      <c r="E264" s="89"/>
    </row>
    <row r="265" ht="15.75" customHeight="1">
      <c r="A265" s="89"/>
      <c r="B265" s="89"/>
      <c r="C265" s="89"/>
      <c r="D265" s="89"/>
      <c r="E265" s="89"/>
    </row>
    <row r="266" ht="15.75" customHeight="1">
      <c r="A266" s="89"/>
      <c r="B266" s="89"/>
      <c r="C266" s="89"/>
      <c r="D266" s="89"/>
      <c r="E266" s="89"/>
    </row>
    <row r="267" ht="15.75" customHeight="1">
      <c r="A267" s="89"/>
      <c r="B267" s="89"/>
      <c r="C267" s="89"/>
      <c r="D267" s="89"/>
      <c r="E267" s="89"/>
    </row>
    <row r="268" ht="15.75" customHeight="1">
      <c r="A268" s="89"/>
      <c r="B268" s="89"/>
      <c r="C268" s="89"/>
      <c r="D268" s="89"/>
      <c r="E268" s="89"/>
    </row>
    <row r="269" ht="15.75" customHeight="1">
      <c r="A269" s="89"/>
      <c r="B269" s="89"/>
      <c r="C269" s="89"/>
      <c r="D269" s="89"/>
      <c r="E269" s="89"/>
    </row>
    <row r="270" ht="15.75" customHeight="1">
      <c r="A270" s="89"/>
      <c r="B270" s="89"/>
      <c r="C270" s="89"/>
      <c r="D270" s="89"/>
      <c r="E270" s="89"/>
    </row>
    <row r="271" ht="15.75" customHeight="1">
      <c r="A271" s="89"/>
      <c r="B271" s="89"/>
      <c r="C271" s="89"/>
      <c r="D271" s="89"/>
      <c r="E271" s="89"/>
    </row>
    <row r="272" ht="15.75" customHeight="1">
      <c r="A272" s="89"/>
      <c r="B272" s="89"/>
      <c r="C272" s="89"/>
      <c r="D272" s="89"/>
      <c r="E272" s="89"/>
    </row>
    <row r="273" ht="15.75" customHeight="1">
      <c r="A273" s="89"/>
      <c r="B273" s="89"/>
      <c r="C273" s="89"/>
      <c r="D273" s="89"/>
      <c r="E273" s="89"/>
    </row>
    <row r="274" ht="15.75" customHeight="1">
      <c r="A274" s="89"/>
      <c r="B274" s="89"/>
      <c r="C274" s="89"/>
      <c r="D274" s="89"/>
      <c r="E274" s="89"/>
    </row>
    <row r="275" ht="15.75" customHeight="1">
      <c r="A275" s="89"/>
      <c r="B275" s="89"/>
      <c r="C275" s="89"/>
      <c r="D275" s="89"/>
      <c r="E275" s="89"/>
    </row>
    <row r="276" ht="15.75" customHeight="1">
      <c r="A276" s="89"/>
      <c r="B276" s="89"/>
      <c r="C276" s="89"/>
      <c r="D276" s="89"/>
      <c r="E276" s="89"/>
    </row>
    <row r="277" ht="15.75" customHeight="1">
      <c r="A277" s="89"/>
      <c r="B277" s="89"/>
      <c r="C277" s="89"/>
      <c r="D277" s="89"/>
      <c r="E277" s="89"/>
    </row>
    <row r="278" ht="15.75" customHeight="1">
      <c r="A278" s="89"/>
      <c r="B278" s="89"/>
      <c r="C278" s="89"/>
      <c r="D278" s="89"/>
      <c r="E278" s="89"/>
    </row>
    <row r="279" ht="15.75" customHeight="1">
      <c r="A279" s="89"/>
      <c r="B279" s="89"/>
      <c r="C279" s="89"/>
      <c r="D279" s="89"/>
      <c r="E279" s="89"/>
    </row>
    <row r="280" ht="15.75" customHeight="1">
      <c r="A280" s="89"/>
      <c r="B280" s="89"/>
      <c r="C280" s="89"/>
      <c r="D280" s="89"/>
      <c r="E280" s="89"/>
    </row>
    <row r="281" ht="15.75" customHeight="1">
      <c r="A281" s="89"/>
      <c r="B281" s="89"/>
      <c r="C281" s="89"/>
      <c r="D281" s="89"/>
      <c r="E281" s="89"/>
    </row>
    <row r="282" ht="15.75" customHeight="1">
      <c r="A282" s="89"/>
      <c r="B282" s="89"/>
      <c r="C282" s="89"/>
      <c r="D282" s="89"/>
      <c r="E282" s="89"/>
    </row>
    <row r="283" ht="15.75" customHeight="1">
      <c r="A283" s="89"/>
      <c r="B283" s="89"/>
      <c r="C283" s="89"/>
      <c r="D283" s="89"/>
      <c r="E283" s="89"/>
    </row>
    <row r="284" ht="15.75" customHeight="1">
      <c r="A284" s="89"/>
      <c r="B284" s="89"/>
      <c r="C284" s="89"/>
      <c r="D284" s="89"/>
      <c r="E284" s="89"/>
    </row>
    <row r="285" ht="15.75" customHeight="1">
      <c r="A285" s="89"/>
      <c r="B285" s="89"/>
      <c r="C285" s="89"/>
      <c r="D285" s="89"/>
      <c r="E285" s="89"/>
    </row>
    <row r="286" ht="15.75" customHeight="1">
      <c r="A286" s="89"/>
      <c r="B286" s="89"/>
      <c r="C286" s="89"/>
      <c r="D286" s="89"/>
      <c r="E286" s="89"/>
    </row>
    <row r="287" ht="15.75" customHeight="1">
      <c r="A287" s="89"/>
      <c r="B287" s="89"/>
      <c r="C287" s="89"/>
      <c r="D287" s="89"/>
      <c r="E287" s="89"/>
    </row>
    <row r="288" ht="15.75" customHeight="1">
      <c r="A288" s="89"/>
      <c r="B288" s="89"/>
      <c r="C288" s="89"/>
      <c r="D288" s="89"/>
      <c r="E288" s="89"/>
    </row>
    <row r="289" ht="15.75" customHeight="1">
      <c r="A289" s="89"/>
      <c r="B289" s="89"/>
      <c r="C289" s="89"/>
      <c r="D289" s="89"/>
      <c r="E289" s="89"/>
    </row>
    <row r="290" ht="15.75" customHeight="1">
      <c r="A290" s="89"/>
      <c r="B290" s="89"/>
      <c r="C290" s="89"/>
      <c r="D290" s="89"/>
      <c r="E290" s="89"/>
    </row>
    <row r="291" ht="15.75" customHeight="1">
      <c r="A291" s="89"/>
      <c r="B291" s="89"/>
      <c r="C291" s="89"/>
      <c r="D291" s="89"/>
      <c r="E291" s="89"/>
    </row>
    <row r="292" ht="15.75" customHeight="1">
      <c r="A292" s="89"/>
      <c r="B292" s="89"/>
      <c r="C292" s="89"/>
      <c r="D292" s="89"/>
      <c r="E292" s="89"/>
    </row>
    <row r="293" ht="15.75" customHeight="1">
      <c r="A293" s="89"/>
      <c r="B293" s="89"/>
      <c r="C293" s="89"/>
      <c r="D293" s="89"/>
      <c r="E293" s="89"/>
    </row>
    <row r="294" ht="15.75" customHeight="1">
      <c r="A294" s="89"/>
      <c r="B294" s="89"/>
      <c r="C294" s="89"/>
      <c r="D294" s="89"/>
      <c r="E294" s="89"/>
    </row>
    <row r="295" ht="15.75" customHeight="1">
      <c r="A295" s="89"/>
      <c r="B295" s="89"/>
      <c r="C295" s="89"/>
      <c r="D295" s="89"/>
      <c r="E295" s="89"/>
    </row>
    <row r="296" ht="15.75" customHeight="1">
      <c r="A296" s="89"/>
      <c r="B296" s="89"/>
      <c r="C296" s="89"/>
      <c r="D296" s="89"/>
      <c r="E296" s="89"/>
    </row>
    <row r="297" ht="15.75" customHeight="1">
      <c r="A297" s="89"/>
      <c r="B297" s="89"/>
      <c r="C297" s="89"/>
      <c r="D297" s="89"/>
      <c r="E297" s="89"/>
    </row>
    <row r="298" ht="15.75" customHeight="1">
      <c r="A298" s="89"/>
      <c r="B298" s="89"/>
      <c r="C298" s="89"/>
      <c r="D298" s="89"/>
      <c r="E298" s="89"/>
    </row>
    <row r="299" ht="15.75" customHeight="1">
      <c r="A299" s="89"/>
      <c r="B299" s="89"/>
      <c r="C299" s="89"/>
      <c r="D299" s="89"/>
      <c r="E299" s="89"/>
    </row>
    <row r="300" ht="15.75" customHeight="1">
      <c r="A300" s="89"/>
      <c r="B300" s="89"/>
      <c r="C300" s="89"/>
      <c r="D300" s="89"/>
      <c r="E300" s="89"/>
    </row>
    <row r="301" ht="15.75" customHeight="1">
      <c r="A301" s="89"/>
      <c r="B301" s="89"/>
      <c r="C301" s="89"/>
      <c r="D301" s="89"/>
      <c r="E301" s="89"/>
    </row>
    <row r="302" ht="15.75" customHeight="1">
      <c r="A302" s="89"/>
      <c r="B302" s="89"/>
      <c r="C302" s="89"/>
      <c r="D302" s="89"/>
      <c r="E302" s="89"/>
    </row>
    <row r="303" ht="15.75" customHeight="1">
      <c r="A303" s="89"/>
      <c r="B303" s="89"/>
      <c r="C303" s="89"/>
      <c r="D303" s="89"/>
      <c r="E303" s="89"/>
    </row>
    <row r="304" ht="15.75" customHeight="1">
      <c r="A304" s="89"/>
      <c r="B304" s="89"/>
      <c r="C304" s="89"/>
      <c r="D304" s="89"/>
      <c r="E304" s="89"/>
    </row>
    <row r="305" ht="15.75" customHeight="1">
      <c r="A305" s="89"/>
      <c r="B305" s="89"/>
      <c r="C305" s="89"/>
      <c r="D305" s="89"/>
      <c r="E305" s="89"/>
    </row>
    <row r="306" ht="15.75" customHeight="1">
      <c r="A306" s="89"/>
      <c r="B306" s="89"/>
      <c r="C306" s="89"/>
      <c r="D306" s="89"/>
      <c r="E306" s="89"/>
    </row>
    <row r="307" ht="15.75" customHeight="1">
      <c r="A307" s="89"/>
      <c r="B307" s="89"/>
      <c r="C307" s="89"/>
      <c r="D307" s="89"/>
      <c r="E307" s="89"/>
    </row>
    <row r="308" ht="15.75" customHeight="1">
      <c r="A308" s="89"/>
      <c r="B308" s="89"/>
      <c r="C308" s="89"/>
      <c r="D308" s="89"/>
      <c r="E308" s="89"/>
    </row>
    <row r="309" ht="15.75" customHeight="1">
      <c r="A309" s="89"/>
      <c r="B309" s="89"/>
      <c r="C309" s="89"/>
      <c r="D309" s="89"/>
      <c r="E309" s="89"/>
    </row>
    <row r="310" ht="15.75" customHeight="1">
      <c r="A310" s="89"/>
      <c r="B310" s="89"/>
      <c r="C310" s="89"/>
      <c r="D310" s="89"/>
      <c r="E310" s="89"/>
    </row>
    <row r="311" ht="15.75" customHeight="1">
      <c r="A311" s="89"/>
      <c r="B311" s="89"/>
      <c r="C311" s="89"/>
      <c r="D311" s="89"/>
      <c r="E311" s="89"/>
    </row>
    <row r="312" ht="15.75" customHeight="1">
      <c r="A312" s="89"/>
      <c r="B312" s="89"/>
      <c r="C312" s="89"/>
      <c r="D312" s="89"/>
      <c r="E312" s="89"/>
    </row>
    <row r="313" ht="15.75" customHeight="1">
      <c r="A313" s="89"/>
      <c r="B313" s="89"/>
      <c r="C313" s="89"/>
      <c r="D313" s="89"/>
      <c r="E313" s="89"/>
    </row>
    <row r="314" ht="15.75" customHeight="1">
      <c r="A314" s="89"/>
      <c r="B314" s="89"/>
      <c r="C314" s="89"/>
      <c r="D314" s="89"/>
      <c r="E314" s="89"/>
    </row>
    <row r="315" ht="15.75" customHeight="1">
      <c r="A315" s="89"/>
      <c r="B315" s="89"/>
      <c r="C315" s="89"/>
      <c r="D315" s="89"/>
      <c r="E315" s="89"/>
    </row>
    <row r="316" ht="15.75" customHeight="1">
      <c r="A316" s="89"/>
      <c r="B316" s="89"/>
      <c r="C316" s="89"/>
      <c r="D316" s="89"/>
      <c r="E316" s="89"/>
    </row>
    <row r="317" ht="15.75" customHeight="1">
      <c r="A317" s="89"/>
      <c r="B317" s="89"/>
      <c r="C317" s="89"/>
      <c r="D317" s="89"/>
      <c r="E317" s="89"/>
    </row>
    <row r="318" ht="15.75" customHeight="1">
      <c r="A318" s="89"/>
      <c r="B318" s="89"/>
      <c r="C318" s="89"/>
      <c r="D318" s="89"/>
      <c r="E318" s="89"/>
    </row>
    <row r="319" ht="15.75" customHeight="1">
      <c r="A319" s="89"/>
      <c r="B319" s="89"/>
      <c r="C319" s="89"/>
      <c r="D319" s="89"/>
      <c r="E319" s="89"/>
    </row>
    <row r="320" ht="15.75" customHeight="1">
      <c r="A320" s="89"/>
      <c r="B320" s="89"/>
      <c r="C320" s="89"/>
      <c r="D320" s="89"/>
      <c r="E320" s="89"/>
    </row>
    <row r="321" ht="15.75" customHeight="1">
      <c r="A321" s="89"/>
      <c r="B321" s="89"/>
      <c r="C321" s="89"/>
      <c r="D321" s="89"/>
      <c r="E321" s="89"/>
    </row>
    <row r="322" ht="15.75" customHeight="1">
      <c r="A322" s="89"/>
      <c r="B322" s="89"/>
      <c r="C322" s="89"/>
      <c r="D322" s="89"/>
      <c r="E322" s="89"/>
    </row>
    <row r="323" ht="15.75" customHeight="1">
      <c r="A323" s="89"/>
      <c r="B323" s="89"/>
      <c r="C323" s="89"/>
      <c r="D323" s="89"/>
      <c r="E323" s="89"/>
    </row>
    <row r="324" ht="15.75" customHeight="1">
      <c r="A324" s="89"/>
      <c r="B324" s="89"/>
      <c r="C324" s="89"/>
      <c r="D324" s="89"/>
      <c r="E324" s="89"/>
    </row>
    <row r="325" ht="15.75" customHeight="1">
      <c r="A325" s="89"/>
      <c r="B325" s="89"/>
      <c r="C325" s="89"/>
      <c r="D325" s="89"/>
      <c r="E325" s="89"/>
    </row>
    <row r="326" ht="15.75" customHeight="1">
      <c r="A326" s="89"/>
      <c r="B326" s="89"/>
      <c r="C326" s="89"/>
      <c r="D326" s="89"/>
      <c r="E326" s="89"/>
    </row>
    <row r="327" ht="15.75" customHeight="1">
      <c r="A327" s="89"/>
      <c r="B327" s="89"/>
      <c r="C327" s="89"/>
      <c r="D327" s="89"/>
      <c r="E327" s="89"/>
    </row>
    <row r="328" ht="15.75" customHeight="1">
      <c r="A328" s="89"/>
      <c r="B328" s="89"/>
      <c r="C328" s="89"/>
      <c r="D328" s="89"/>
      <c r="E328" s="89"/>
    </row>
    <row r="329" ht="15.75" customHeight="1">
      <c r="A329" s="89"/>
      <c r="B329" s="89"/>
      <c r="C329" s="89"/>
      <c r="D329" s="89"/>
      <c r="E329" s="89"/>
    </row>
    <row r="330" ht="15.75" customHeight="1">
      <c r="A330" s="89"/>
      <c r="B330" s="89"/>
      <c r="C330" s="89"/>
      <c r="D330" s="89"/>
      <c r="E330" s="89"/>
    </row>
    <row r="331" ht="15.75" customHeight="1">
      <c r="A331" s="89"/>
      <c r="B331" s="89"/>
      <c r="C331" s="89"/>
      <c r="D331" s="89"/>
      <c r="E331" s="89"/>
    </row>
    <row r="332" ht="15.75" customHeight="1">
      <c r="A332" s="89"/>
      <c r="B332" s="89"/>
      <c r="C332" s="89"/>
      <c r="D332" s="89"/>
      <c r="E332" s="89"/>
    </row>
    <row r="333" ht="15.75" customHeight="1">
      <c r="A333" s="89"/>
      <c r="B333" s="89"/>
      <c r="C333" s="89"/>
      <c r="D333" s="89"/>
      <c r="E333" s="89"/>
    </row>
    <row r="334" ht="15.75" customHeight="1">
      <c r="A334" s="89"/>
      <c r="B334" s="89"/>
      <c r="C334" s="89"/>
      <c r="D334" s="89"/>
      <c r="E334" s="89"/>
    </row>
    <row r="335" ht="15.75" customHeight="1">
      <c r="A335" s="89"/>
      <c r="B335" s="89"/>
      <c r="C335" s="89"/>
      <c r="D335" s="89"/>
      <c r="E335" s="89"/>
    </row>
    <row r="336" ht="15.75" customHeight="1">
      <c r="A336" s="89"/>
      <c r="B336" s="89"/>
      <c r="C336" s="89"/>
      <c r="D336" s="89"/>
      <c r="E336" s="89"/>
    </row>
    <row r="337" ht="15.75" customHeight="1">
      <c r="A337" s="89"/>
      <c r="B337" s="89"/>
      <c r="C337" s="89"/>
      <c r="D337" s="89"/>
      <c r="E337" s="89"/>
    </row>
    <row r="338" ht="15.75" customHeight="1">
      <c r="A338" s="89"/>
      <c r="B338" s="89"/>
      <c r="C338" s="89"/>
      <c r="D338" s="89"/>
      <c r="E338" s="89"/>
    </row>
    <row r="339" ht="15.75" customHeight="1">
      <c r="A339" s="89"/>
      <c r="B339" s="89"/>
      <c r="C339" s="89"/>
      <c r="D339" s="89"/>
      <c r="E339" s="89"/>
    </row>
    <row r="340" ht="15.75" customHeight="1">
      <c r="A340" s="89"/>
      <c r="B340" s="89"/>
      <c r="C340" s="89"/>
      <c r="D340" s="89"/>
      <c r="E340" s="89"/>
    </row>
    <row r="341" ht="15.75" customHeight="1">
      <c r="A341" s="89"/>
      <c r="B341" s="89"/>
      <c r="C341" s="89"/>
      <c r="D341" s="89"/>
      <c r="E341" s="89"/>
    </row>
    <row r="342" ht="15.75" customHeight="1">
      <c r="A342" s="89"/>
      <c r="B342" s="89"/>
      <c r="C342" s="89"/>
      <c r="D342" s="89"/>
      <c r="E342" s="89"/>
    </row>
    <row r="343" ht="15.75" customHeight="1">
      <c r="A343" s="89"/>
      <c r="B343" s="89"/>
      <c r="C343" s="89"/>
      <c r="D343" s="89"/>
      <c r="E343" s="89"/>
    </row>
    <row r="344" ht="15.75" customHeight="1">
      <c r="A344" s="89"/>
      <c r="B344" s="89"/>
      <c r="C344" s="89"/>
      <c r="D344" s="89"/>
      <c r="E344" s="89"/>
    </row>
    <row r="345" ht="15.75" customHeight="1">
      <c r="A345" s="89"/>
      <c r="B345" s="89"/>
      <c r="C345" s="89"/>
      <c r="D345" s="89"/>
      <c r="E345" s="89"/>
    </row>
    <row r="346" ht="15.75" customHeight="1">
      <c r="A346" s="89"/>
      <c r="B346" s="89"/>
      <c r="C346" s="89"/>
      <c r="D346" s="89"/>
      <c r="E346" s="89"/>
    </row>
    <row r="347" ht="15.75" customHeight="1">
      <c r="A347" s="89"/>
      <c r="B347" s="89"/>
      <c r="C347" s="89"/>
      <c r="D347" s="89"/>
      <c r="E347" s="89"/>
    </row>
    <row r="348" ht="15.75" customHeight="1">
      <c r="A348" s="89"/>
      <c r="B348" s="89"/>
      <c r="C348" s="89"/>
      <c r="D348" s="89"/>
      <c r="E348" s="89"/>
    </row>
    <row r="349" ht="15.75" customHeight="1">
      <c r="A349" s="89"/>
      <c r="B349" s="89"/>
      <c r="C349" s="89"/>
      <c r="D349" s="89"/>
      <c r="E349" s="89"/>
    </row>
    <row r="350" ht="15.75" customHeight="1">
      <c r="A350" s="89"/>
      <c r="B350" s="89"/>
      <c r="C350" s="89"/>
      <c r="D350" s="89"/>
      <c r="E350" s="89"/>
    </row>
    <row r="351" ht="15.75" customHeight="1">
      <c r="A351" s="89"/>
      <c r="B351" s="89"/>
      <c r="C351" s="89"/>
      <c r="D351" s="89"/>
      <c r="E351" s="89"/>
    </row>
    <row r="352" ht="15.75" customHeight="1">
      <c r="A352" s="89"/>
      <c r="B352" s="89"/>
      <c r="C352" s="89"/>
      <c r="D352" s="89"/>
      <c r="E352" s="89"/>
    </row>
    <row r="353" ht="15.75" customHeight="1">
      <c r="A353" s="89"/>
      <c r="B353" s="89"/>
      <c r="C353" s="89"/>
      <c r="D353" s="89"/>
      <c r="E353" s="89"/>
    </row>
    <row r="354" ht="15.75" customHeight="1">
      <c r="A354" s="89"/>
      <c r="B354" s="89"/>
      <c r="C354" s="89"/>
      <c r="D354" s="89"/>
      <c r="E354" s="89"/>
    </row>
    <row r="355" ht="15.75" customHeight="1">
      <c r="A355" s="89"/>
      <c r="B355" s="89"/>
      <c r="C355" s="89"/>
      <c r="D355" s="89"/>
      <c r="E355" s="89"/>
    </row>
    <row r="356" ht="15.75" customHeight="1">
      <c r="A356" s="89"/>
      <c r="B356" s="89"/>
      <c r="C356" s="89"/>
      <c r="D356" s="89"/>
      <c r="E356" s="89"/>
    </row>
    <row r="357" ht="15.75" customHeight="1">
      <c r="A357" s="89"/>
      <c r="B357" s="89"/>
      <c r="C357" s="89"/>
      <c r="D357" s="89"/>
      <c r="E357" s="89"/>
    </row>
    <row r="358" ht="15.75" customHeight="1">
      <c r="A358" s="89"/>
      <c r="B358" s="89"/>
      <c r="C358" s="89"/>
      <c r="D358" s="89"/>
      <c r="E358" s="89"/>
    </row>
    <row r="359" ht="15.75" customHeight="1">
      <c r="A359" s="89"/>
      <c r="B359" s="89"/>
      <c r="C359" s="89"/>
      <c r="D359" s="89"/>
      <c r="E359" s="89"/>
    </row>
    <row r="360" ht="15.75" customHeight="1">
      <c r="A360" s="89"/>
      <c r="B360" s="89"/>
      <c r="C360" s="89"/>
      <c r="D360" s="89"/>
      <c r="E360" s="89"/>
    </row>
    <row r="361" ht="15.75" customHeight="1">
      <c r="A361" s="89"/>
      <c r="B361" s="89"/>
      <c r="C361" s="89"/>
      <c r="D361" s="89"/>
      <c r="E361" s="89"/>
    </row>
    <row r="362" ht="15.75" customHeight="1">
      <c r="A362" s="89"/>
      <c r="B362" s="89"/>
      <c r="C362" s="89"/>
      <c r="D362" s="89"/>
      <c r="E362" s="89"/>
    </row>
    <row r="363" ht="15.75" customHeight="1">
      <c r="A363" s="89"/>
      <c r="B363" s="89"/>
      <c r="C363" s="89"/>
      <c r="D363" s="89"/>
      <c r="E363" s="89"/>
    </row>
    <row r="364" ht="15.75" customHeight="1">
      <c r="A364" s="89"/>
      <c r="B364" s="89"/>
      <c r="C364" s="89"/>
      <c r="D364" s="89"/>
      <c r="E364" s="89"/>
    </row>
    <row r="365" ht="15.75" customHeight="1">
      <c r="A365" s="89"/>
      <c r="B365" s="89"/>
      <c r="C365" s="89"/>
      <c r="D365" s="89"/>
      <c r="E365" s="89"/>
    </row>
    <row r="366" ht="15.75" customHeight="1">
      <c r="A366" s="89"/>
      <c r="B366" s="89"/>
      <c r="C366" s="89"/>
      <c r="D366" s="89"/>
      <c r="E366" s="89"/>
    </row>
    <row r="367" ht="15.75" customHeight="1">
      <c r="A367" s="89"/>
      <c r="B367" s="89"/>
      <c r="C367" s="89"/>
      <c r="D367" s="89"/>
      <c r="E367" s="89"/>
    </row>
    <row r="368" ht="15.75" customHeight="1">
      <c r="A368" s="89"/>
      <c r="B368" s="89"/>
      <c r="C368" s="89"/>
      <c r="D368" s="89"/>
      <c r="E368" s="89"/>
    </row>
    <row r="369" ht="15.75" customHeight="1">
      <c r="A369" s="89"/>
      <c r="B369" s="89"/>
      <c r="C369" s="89"/>
      <c r="D369" s="89"/>
      <c r="E369" s="89"/>
    </row>
    <row r="370" ht="15.75" customHeight="1">
      <c r="A370" s="89"/>
      <c r="B370" s="89"/>
      <c r="C370" s="89"/>
      <c r="D370" s="89"/>
      <c r="E370" s="89"/>
    </row>
    <row r="371" ht="15.75" customHeight="1">
      <c r="A371" s="89"/>
      <c r="B371" s="89"/>
      <c r="C371" s="89"/>
      <c r="D371" s="89"/>
      <c r="E371" s="89"/>
    </row>
    <row r="372" ht="15.75" customHeight="1">
      <c r="A372" s="89"/>
      <c r="B372" s="89"/>
      <c r="C372" s="89"/>
      <c r="D372" s="89"/>
      <c r="E372" s="89"/>
    </row>
    <row r="373" ht="15.75" customHeight="1">
      <c r="A373" s="89"/>
      <c r="B373" s="89"/>
      <c r="C373" s="89"/>
      <c r="D373" s="89"/>
      <c r="E373" s="89"/>
    </row>
    <row r="374" ht="15.75" customHeight="1">
      <c r="A374" s="89"/>
      <c r="B374" s="89"/>
      <c r="C374" s="89"/>
      <c r="D374" s="89"/>
      <c r="E374" s="89"/>
    </row>
    <row r="375" ht="15.75" customHeight="1">
      <c r="A375" s="89"/>
      <c r="B375" s="89"/>
      <c r="C375" s="89"/>
      <c r="D375" s="89"/>
      <c r="E375" s="89"/>
    </row>
    <row r="376" ht="15.75" customHeight="1">
      <c r="A376" s="89"/>
      <c r="B376" s="89"/>
      <c r="C376" s="89"/>
      <c r="D376" s="89"/>
      <c r="E376" s="89"/>
    </row>
    <row r="377" ht="15.75" customHeight="1">
      <c r="A377" s="89"/>
      <c r="B377" s="89"/>
      <c r="C377" s="89"/>
      <c r="D377" s="89"/>
      <c r="E377" s="89"/>
    </row>
    <row r="378" ht="15.75" customHeight="1">
      <c r="A378" s="89"/>
      <c r="B378" s="89"/>
      <c r="C378" s="89"/>
      <c r="D378" s="89"/>
      <c r="E378" s="89"/>
    </row>
    <row r="379" ht="15.75" customHeight="1">
      <c r="A379" s="89"/>
      <c r="B379" s="89"/>
      <c r="C379" s="89"/>
      <c r="D379" s="89"/>
      <c r="E379" s="89"/>
    </row>
    <row r="380" ht="15.75" customHeight="1">
      <c r="A380" s="89"/>
      <c r="B380" s="89"/>
      <c r="C380" s="89"/>
      <c r="D380" s="89"/>
      <c r="E380" s="89"/>
    </row>
    <row r="381" ht="15.75" customHeight="1">
      <c r="A381" s="89"/>
      <c r="B381" s="89"/>
      <c r="C381" s="89"/>
      <c r="D381" s="89"/>
      <c r="E381" s="89"/>
    </row>
    <row r="382" ht="15.75" customHeight="1">
      <c r="A382" s="89"/>
      <c r="B382" s="89"/>
      <c r="C382" s="89"/>
      <c r="D382" s="89"/>
      <c r="E382" s="89"/>
    </row>
    <row r="383" ht="15.75" customHeight="1">
      <c r="A383" s="89"/>
      <c r="B383" s="89"/>
      <c r="C383" s="89"/>
      <c r="D383" s="89"/>
      <c r="E383" s="89"/>
    </row>
    <row r="384" ht="15.75" customHeight="1">
      <c r="A384" s="89"/>
      <c r="B384" s="89"/>
      <c r="C384" s="89"/>
      <c r="D384" s="89"/>
      <c r="E384" s="89"/>
    </row>
    <row r="385" ht="15.75" customHeight="1">
      <c r="A385" s="89"/>
      <c r="B385" s="89"/>
      <c r="C385" s="89"/>
      <c r="D385" s="89"/>
      <c r="E385" s="89"/>
    </row>
    <row r="386" ht="15.75" customHeight="1">
      <c r="A386" s="89"/>
      <c r="B386" s="89"/>
      <c r="C386" s="89"/>
      <c r="D386" s="89"/>
      <c r="E386" s="89"/>
    </row>
    <row r="387" ht="15.75" customHeight="1">
      <c r="A387" s="89"/>
      <c r="B387" s="89"/>
      <c r="C387" s="89"/>
      <c r="D387" s="89"/>
      <c r="E387" s="89"/>
    </row>
    <row r="388" ht="15.75" customHeight="1">
      <c r="A388" s="89"/>
      <c r="B388" s="89"/>
      <c r="C388" s="89"/>
      <c r="D388" s="89"/>
      <c r="E388" s="89"/>
    </row>
    <row r="389" ht="15.75" customHeight="1">
      <c r="A389" s="89"/>
      <c r="B389" s="89"/>
      <c r="C389" s="89"/>
      <c r="D389" s="89"/>
      <c r="E389" s="89"/>
    </row>
    <row r="390" ht="15.75" customHeight="1">
      <c r="A390" s="89"/>
      <c r="B390" s="89"/>
      <c r="C390" s="89"/>
      <c r="D390" s="89"/>
      <c r="E390" s="89"/>
    </row>
    <row r="391" ht="15.75" customHeight="1">
      <c r="A391" s="89"/>
      <c r="B391" s="89"/>
      <c r="C391" s="89"/>
      <c r="D391" s="89"/>
      <c r="E391" s="89"/>
    </row>
    <row r="392" ht="15.75" customHeight="1">
      <c r="A392" s="89"/>
      <c r="B392" s="89"/>
      <c r="C392" s="89"/>
      <c r="D392" s="89"/>
      <c r="E392" s="89"/>
    </row>
    <row r="393" ht="15.75" customHeight="1">
      <c r="A393" s="89"/>
      <c r="B393" s="89"/>
      <c r="C393" s="89"/>
      <c r="D393" s="89"/>
      <c r="E393" s="89"/>
    </row>
    <row r="394" ht="15.75" customHeight="1">
      <c r="A394" s="89"/>
      <c r="B394" s="89"/>
      <c r="C394" s="89"/>
      <c r="D394" s="89"/>
      <c r="E394" s="89"/>
    </row>
    <row r="395" ht="15.75" customHeight="1">
      <c r="A395" s="89"/>
      <c r="B395" s="89"/>
      <c r="C395" s="89"/>
      <c r="D395" s="89"/>
      <c r="E395" s="89"/>
    </row>
    <row r="396" ht="15.75" customHeight="1">
      <c r="A396" s="89"/>
      <c r="B396" s="89"/>
      <c r="C396" s="89"/>
      <c r="D396" s="89"/>
      <c r="E396" s="89"/>
    </row>
    <row r="397" ht="15.75" customHeight="1">
      <c r="A397" s="89"/>
      <c r="B397" s="89"/>
      <c r="C397" s="89"/>
      <c r="D397" s="89"/>
      <c r="E397" s="89"/>
    </row>
    <row r="398" ht="15.75" customHeight="1">
      <c r="A398" s="89"/>
      <c r="B398" s="89"/>
      <c r="C398" s="89"/>
      <c r="D398" s="89"/>
      <c r="E398" s="89"/>
    </row>
    <row r="399" ht="15.75" customHeight="1">
      <c r="A399" s="89"/>
      <c r="B399" s="89"/>
      <c r="C399" s="89"/>
      <c r="D399" s="89"/>
      <c r="E399" s="89"/>
    </row>
    <row r="400" ht="15.75" customHeight="1">
      <c r="A400" s="89"/>
      <c r="B400" s="89"/>
      <c r="C400" s="89"/>
      <c r="D400" s="89"/>
      <c r="E400" s="89"/>
    </row>
    <row r="401" ht="15.75" customHeight="1">
      <c r="A401" s="89"/>
      <c r="B401" s="89"/>
      <c r="C401" s="89"/>
      <c r="D401" s="89"/>
      <c r="E401" s="89"/>
    </row>
    <row r="402" ht="15.75" customHeight="1">
      <c r="A402" s="89"/>
      <c r="B402" s="89"/>
      <c r="C402" s="89"/>
      <c r="D402" s="89"/>
      <c r="E402" s="89"/>
    </row>
    <row r="403" ht="15.75" customHeight="1">
      <c r="A403" s="89"/>
      <c r="B403" s="89"/>
      <c r="C403" s="89"/>
      <c r="D403" s="89"/>
      <c r="E403" s="89"/>
    </row>
    <row r="404" ht="15.75" customHeight="1">
      <c r="A404" s="89"/>
      <c r="B404" s="89"/>
      <c r="C404" s="89"/>
      <c r="D404" s="89"/>
      <c r="E404" s="89"/>
    </row>
    <row r="405" ht="15.75" customHeight="1">
      <c r="A405" s="89"/>
      <c r="B405" s="89"/>
      <c r="C405" s="89"/>
      <c r="D405" s="89"/>
      <c r="E405" s="89"/>
    </row>
    <row r="406" ht="15.75" customHeight="1">
      <c r="A406" s="89"/>
      <c r="B406" s="89"/>
      <c r="C406" s="89"/>
      <c r="D406" s="89"/>
      <c r="E406" s="89"/>
    </row>
    <row r="407" ht="15.75" customHeight="1">
      <c r="A407" s="89"/>
      <c r="B407" s="89"/>
      <c r="C407" s="89"/>
      <c r="D407" s="89"/>
      <c r="E407" s="89"/>
    </row>
    <row r="408" ht="15.75" customHeight="1">
      <c r="A408" s="89"/>
      <c r="B408" s="89"/>
      <c r="C408" s="89"/>
      <c r="D408" s="89"/>
      <c r="E408" s="89"/>
    </row>
    <row r="409" ht="15.75" customHeight="1">
      <c r="A409" s="89"/>
      <c r="B409" s="89"/>
      <c r="C409" s="89"/>
      <c r="D409" s="89"/>
      <c r="E409" s="89"/>
    </row>
    <row r="410" ht="15.75" customHeight="1">
      <c r="A410" s="89"/>
      <c r="B410" s="89"/>
      <c r="C410" s="89"/>
      <c r="D410" s="89"/>
      <c r="E410" s="89"/>
    </row>
    <row r="411" ht="15.75" customHeight="1">
      <c r="A411" s="89"/>
      <c r="B411" s="89"/>
      <c r="C411" s="89"/>
      <c r="D411" s="89"/>
      <c r="E411" s="89"/>
    </row>
    <row r="412" ht="15.75" customHeight="1">
      <c r="A412" s="89"/>
      <c r="B412" s="89"/>
      <c r="C412" s="89"/>
      <c r="D412" s="89"/>
      <c r="E412" s="89"/>
    </row>
    <row r="413" ht="15.75" customHeight="1">
      <c r="A413" s="89"/>
      <c r="B413" s="89"/>
      <c r="C413" s="89"/>
      <c r="D413" s="89"/>
      <c r="E413" s="89"/>
    </row>
    <row r="414" ht="15.75" customHeight="1">
      <c r="A414" s="89"/>
      <c r="B414" s="89"/>
      <c r="C414" s="89"/>
      <c r="D414" s="89"/>
      <c r="E414" s="89"/>
    </row>
    <row r="415" ht="15.75" customHeight="1">
      <c r="A415" s="89"/>
      <c r="B415" s="89"/>
      <c r="C415" s="89"/>
      <c r="D415" s="89"/>
      <c r="E415" s="89"/>
    </row>
    <row r="416" ht="15.75" customHeight="1">
      <c r="A416" s="89"/>
      <c r="B416" s="89"/>
      <c r="C416" s="89"/>
      <c r="D416" s="89"/>
      <c r="E416" s="89"/>
    </row>
    <row r="417" ht="15.75" customHeight="1">
      <c r="A417" s="89"/>
      <c r="B417" s="89"/>
      <c r="C417" s="89"/>
      <c r="D417" s="89"/>
      <c r="E417" s="89"/>
    </row>
    <row r="418" ht="15.75" customHeight="1">
      <c r="A418" s="89"/>
      <c r="B418" s="89"/>
      <c r="C418" s="89"/>
      <c r="D418" s="89"/>
      <c r="E418" s="89"/>
    </row>
    <row r="419" ht="15.75" customHeight="1">
      <c r="A419" s="89"/>
      <c r="B419" s="89"/>
      <c r="C419" s="89"/>
      <c r="D419" s="89"/>
      <c r="E419" s="89"/>
    </row>
    <row r="420" ht="15.75" customHeight="1">
      <c r="A420" s="89"/>
      <c r="B420" s="89"/>
      <c r="C420" s="89"/>
      <c r="D420" s="89"/>
      <c r="E420" s="89"/>
    </row>
    <row r="421" ht="15.75" customHeight="1">
      <c r="A421" s="89"/>
      <c r="B421" s="89"/>
      <c r="C421" s="89"/>
      <c r="D421" s="89"/>
      <c r="E421" s="89"/>
    </row>
    <row r="422" ht="15.75" customHeight="1">
      <c r="A422" s="89"/>
      <c r="B422" s="89"/>
      <c r="C422" s="89"/>
      <c r="D422" s="89"/>
      <c r="E422" s="89"/>
    </row>
    <row r="423" ht="15.75" customHeight="1">
      <c r="A423" s="89"/>
      <c r="B423" s="89"/>
      <c r="C423" s="89"/>
      <c r="D423" s="89"/>
      <c r="E423" s="89"/>
    </row>
    <row r="424" ht="15.75" customHeight="1">
      <c r="A424" s="89"/>
      <c r="B424" s="89"/>
      <c r="C424" s="89"/>
      <c r="D424" s="89"/>
      <c r="E424" s="89"/>
    </row>
    <row r="425" ht="15.75" customHeight="1">
      <c r="A425" s="89"/>
      <c r="B425" s="89"/>
      <c r="C425" s="89"/>
      <c r="D425" s="89"/>
      <c r="E425" s="89"/>
    </row>
    <row r="426" ht="15.75" customHeight="1">
      <c r="A426" s="89"/>
      <c r="B426" s="89"/>
      <c r="C426" s="89"/>
      <c r="D426" s="89"/>
      <c r="E426" s="89"/>
    </row>
    <row r="427" ht="15.75" customHeight="1">
      <c r="A427" s="89"/>
      <c r="B427" s="89"/>
      <c r="C427" s="89"/>
      <c r="D427" s="89"/>
      <c r="E427" s="89"/>
    </row>
    <row r="428" ht="15.75" customHeight="1">
      <c r="A428" s="89"/>
      <c r="B428" s="89"/>
      <c r="C428" s="89"/>
      <c r="D428" s="89"/>
      <c r="E428" s="89"/>
    </row>
    <row r="429" ht="15.75" customHeight="1">
      <c r="A429" s="89"/>
      <c r="B429" s="89"/>
      <c r="C429" s="89"/>
      <c r="D429" s="89"/>
      <c r="E429" s="89"/>
    </row>
    <row r="430" ht="15.75" customHeight="1">
      <c r="A430" s="89"/>
      <c r="B430" s="89"/>
      <c r="C430" s="89"/>
      <c r="D430" s="89"/>
      <c r="E430" s="89"/>
    </row>
    <row r="431" ht="15.75" customHeight="1">
      <c r="A431" s="89"/>
      <c r="B431" s="89"/>
      <c r="C431" s="89"/>
      <c r="D431" s="89"/>
      <c r="E431" s="89"/>
    </row>
    <row r="432" ht="15.75" customHeight="1">
      <c r="A432" s="89"/>
      <c r="B432" s="89"/>
      <c r="C432" s="89"/>
      <c r="D432" s="89"/>
      <c r="E432" s="89"/>
    </row>
    <row r="433" ht="15.75" customHeight="1">
      <c r="A433" s="89"/>
      <c r="B433" s="89"/>
      <c r="C433" s="89"/>
      <c r="D433" s="89"/>
      <c r="E433" s="89"/>
    </row>
    <row r="434" ht="15.75" customHeight="1">
      <c r="A434" s="89"/>
      <c r="B434" s="89"/>
      <c r="C434" s="89"/>
      <c r="D434" s="89"/>
      <c r="E434" s="89"/>
    </row>
    <row r="435" ht="15.75" customHeight="1">
      <c r="A435" s="89"/>
      <c r="B435" s="89"/>
      <c r="C435" s="89"/>
      <c r="D435" s="89"/>
      <c r="E435" s="89"/>
    </row>
    <row r="436" ht="15.75" customHeight="1">
      <c r="A436" s="89"/>
      <c r="B436" s="89"/>
      <c r="C436" s="89"/>
      <c r="D436" s="89"/>
      <c r="E436" s="89"/>
    </row>
    <row r="437" ht="15.75" customHeight="1">
      <c r="A437" s="89"/>
      <c r="B437" s="89"/>
      <c r="C437" s="89"/>
      <c r="D437" s="89"/>
      <c r="E437" s="89"/>
    </row>
    <row r="438" ht="15.75" customHeight="1">
      <c r="A438" s="89"/>
      <c r="B438" s="89"/>
      <c r="C438" s="89"/>
      <c r="D438" s="89"/>
      <c r="E438" s="89"/>
    </row>
    <row r="439" ht="15.75" customHeight="1">
      <c r="A439" s="89"/>
      <c r="B439" s="89"/>
      <c r="C439" s="89"/>
      <c r="D439" s="89"/>
      <c r="E439" s="89"/>
    </row>
    <row r="440" ht="15.75" customHeight="1">
      <c r="A440" s="89"/>
      <c r="B440" s="89"/>
      <c r="C440" s="89"/>
      <c r="D440" s="89"/>
      <c r="E440" s="89"/>
    </row>
    <row r="441" ht="15.75" customHeight="1">
      <c r="A441" s="89"/>
      <c r="B441" s="89"/>
      <c r="C441" s="89"/>
      <c r="D441" s="89"/>
      <c r="E441" s="89"/>
    </row>
    <row r="442" ht="15.75" customHeight="1">
      <c r="A442" s="89"/>
      <c r="B442" s="89"/>
      <c r="C442" s="89"/>
      <c r="D442" s="89"/>
      <c r="E442" s="89"/>
    </row>
    <row r="443" ht="15.75" customHeight="1">
      <c r="A443" s="89"/>
      <c r="B443" s="89"/>
      <c r="C443" s="89"/>
      <c r="D443" s="89"/>
      <c r="E443" s="89"/>
    </row>
    <row r="444" ht="15.75" customHeight="1">
      <c r="A444" s="89"/>
      <c r="B444" s="89"/>
      <c r="C444" s="89"/>
      <c r="D444" s="89"/>
      <c r="E444" s="89"/>
    </row>
    <row r="445" ht="15.75" customHeight="1">
      <c r="A445" s="89"/>
      <c r="B445" s="89"/>
      <c r="C445" s="89"/>
      <c r="D445" s="89"/>
      <c r="E445" s="89"/>
    </row>
    <row r="446" ht="15.75" customHeight="1">
      <c r="A446" s="89"/>
      <c r="B446" s="89"/>
      <c r="C446" s="89"/>
      <c r="D446" s="89"/>
      <c r="E446" s="89"/>
    </row>
    <row r="447" ht="15.75" customHeight="1">
      <c r="A447" s="89"/>
      <c r="B447" s="89"/>
      <c r="C447" s="89"/>
      <c r="D447" s="89"/>
      <c r="E447" s="89"/>
    </row>
    <row r="448" ht="15.75" customHeight="1">
      <c r="A448" s="89"/>
      <c r="B448" s="89"/>
      <c r="C448" s="89"/>
      <c r="D448" s="89"/>
      <c r="E448" s="89"/>
    </row>
    <row r="449" ht="15.75" customHeight="1">
      <c r="A449" s="89"/>
      <c r="B449" s="89"/>
      <c r="C449" s="89"/>
      <c r="D449" s="89"/>
      <c r="E449" s="89"/>
    </row>
    <row r="450" ht="15.75" customHeight="1">
      <c r="A450" s="89"/>
      <c r="B450" s="89"/>
      <c r="C450" s="89"/>
      <c r="D450" s="89"/>
      <c r="E450" s="89"/>
    </row>
    <row r="451" ht="15.75" customHeight="1">
      <c r="A451" s="89"/>
      <c r="B451" s="89"/>
      <c r="C451" s="89"/>
      <c r="D451" s="89"/>
      <c r="E451" s="89"/>
    </row>
    <row r="452" ht="15.75" customHeight="1">
      <c r="A452" s="89"/>
      <c r="B452" s="89"/>
      <c r="C452" s="89"/>
      <c r="D452" s="89"/>
      <c r="E452" s="89"/>
    </row>
    <row r="453" ht="15.75" customHeight="1">
      <c r="A453" s="89"/>
      <c r="B453" s="89"/>
      <c r="C453" s="89"/>
      <c r="D453" s="89"/>
      <c r="E453" s="89"/>
    </row>
    <row r="454" ht="15.75" customHeight="1">
      <c r="A454" s="89"/>
      <c r="B454" s="89"/>
      <c r="C454" s="89"/>
      <c r="D454" s="89"/>
      <c r="E454" s="89"/>
    </row>
    <row r="455" ht="15.75" customHeight="1">
      <c r="A455" s="89"/>
      <c r="B455" s="89"/>
      <c r="C455" s="89"/>
      <c r="D455" s="89"/>
      <c r="E455" s="89"/>
    </row>
    <row r="456" ht="15.75" customHeight="1">
      <c r="A456" s="89"/>
      <c r="B456" s="89"/>
      <c r="C456" s="89"/>
      <c r="D456" s="89"/>
      <c r="E456" s="89"/>
    </row>
    <row r="457" ht="15.75" customHeight="1">
      <c r="A457" s="89"/>
      <c r="B457" s="89"/>
      <c r="C457" s="89"/>
      <c r="D457" s="89"/>
      <c r="E457" s="89"/>
    </row>
    <row r="458" ht="15.75" customHeight="1">
      <c r="A458" s="89"/>
      <c r="B458" s="89"/>
      <c r="C458" s="89"/>
      <c r="D458" s="89"/>
      <c r="E458" s="89"/>
    </row>
    <row r="459" ht="15.75" customHeight="1">
      <c r="A459" s="89"/>
      <c r="B459" s="89"/>
      <c r="C459" s="89"/>
      <c r="D459" s="89"/>
      <c r="E459" s="89"/>
    </row>
    <row r="460" ht="15.75" customHeight="1">
      <c r="A460" s="89"/>
      <c r="B460" s="89"/>
      <c r="C460" s="89"/>
      <c r="D460" s="89"/>
      <c r="E460" s="89"/>
    </row>
    <row r="461" ht="15.75" customHeight="1">
      <c r="A461" s="89"/>
      <c r="B461" s="89"/>
      <c r="C461" s="89"/>
      <c r="D461" s="89"/>
      <c r="E461" s="89"/>
    </row>
    <row r="462" ht="15.75" customHeight="1">
      <c r="A462" s="89"/>
      <c r="B462" s="89"/>
      <c r="C462" s="89"/>
      <c r="D462" s="89"/>
      <c r="E462" s="89"/>
    </row>
    <row r="463" ht="15.75" customHeight="1">
      <c r="A463" s="89"/>
      <c r="B463" s="89"/>
      <c r="C463" s="89"/>
      <c r="D463" s="89"/>
      <c r="E463" s="89"/>
    </row>
    <row r="464" ht="15.75" customHeight="1">
      <c r="A464" s="89"/>
      <c r="B464" s="89"/>
      <c r="C464" s="89"/>
      <c r="D464" s="89"/>
      <c r="E464" s="89"/>
    </row>
    <row r="465" ht="15.75" customHeight="1">
      <c r="A465" s="89"/>
      <c r="B465" s="89"/>
      <c r="C465" s="89"/>
      <c r="D465" s="89"/>
      <c r="E465" s="89"/>
    </row>
    <row r="466" ht="15.75" customHeight="1">
      <c r="A466" s="89"/>
      <c r="B466" s="89"/>
      <c r="C466" s="89"/>
      <c r="D466" s="89"/>
      <c r="E466" s="89"/>
    </row>
    <row r="467" ht="15.75" customHeight="1">
      <c r="A467" s="89"/>
      <c r="B467" s="89"/>
      <c r="C467" s="89"/>
      <c r="D467" s="89"/>
      <c r="E467" s="89"/>
    </row>
    <row r="468" ht="15.75" customHeight="1">
      <c r="A468" s="89"/>
      <c r="B468" s="89"/>
      <c r="C468" s="89"/>
      <c r="D468" s="89"/>
      <c r="E468" s="89"/>
    </row>
    <row r="469" ht="15.75" customHeight="1">
      <c r="A469" s="89"/>
      <c r="B469" s="89"/>
      <c r="C469" s="89"/>
      <c r="D469" s="89"/>
      <c r="E469" s="89"/>
    </row>
    <row r="470" ht="15.75" customHeight="1">
      <c r="A470" s="89"/>
      <c r="B470" s="89"/>
      <c r="C470" s="89"/>
      <c r="D470" s="89"/>
      <c r="E470" s="89"/>
    </row>
    <row r="471" ht="15.75" customHeight="1">
      <c r="A471" s="89"/>
      <c r="B471" s="89"/>
      <c r="C471" s="89"/>
      <c r="D471" s="89"/>
      <c r="E471" s="89"/>
    </row>
    <row r="472" ht="15.75" customHeight="1">
      <c r="A472" s="89"/>
      <c r="B472" s="89"/>
      <c r="C472" s="89"/>
      <c r="D472" s="89"/>
      <c r="E472" s="89"/>
    </row>
    <row r="473" ht="15.75" customHeight="1">
      <c r="A473" s="89"/>
      <c r="B473" s="89"/>
      <c r="C473" s="89"/>
      <c r="D473" s="89"/>
      <c r="E473" s="89"/>
    </row>
    <row r="474" ht="15.75" customHeight="1">
      <c r="A474" s="89"/>
      <c r="B474" s="89"/>
      <c r="C474" s="89"/>
      <c r="D474" s="89"/>
      <c r="E474" s="89"/>
    </row>
    <row r="475" ht="15.75" customHeight="1">
      <c r="A475" s="89"/>
      <c r="B475" s="89"/>
      <c r="C475" s="89"/>
      <c r="D475" s="89"/>
      <c r="E475" s="89"/>
    </row>
    <row r="476" ht="15.75" customHeight="1">
      <c r="A476" s="89"/>
      <c r="B476" s="89"/>
      <c r="C476" s="89"/>
      <c r="D476" s="89"/>
      <c r="E476" s="89"/>
    </row>
    <row r="477" ht="15.75" customHeight="1">
      <c r="A477" s="89"/>
      <c r="B477" s="89"/>
      <c r="C477" s="89"/>
      <c r="D477" s="89"/>
      <c r="E477" s="89"/>
    </row>
    <row r="478" ht="15.75" customHeight="1">
      <c r="A478" s="89"/>
      <c r="B478" s="89"/>
      <c r="C478" s="89"/>
      <c r="D478" s="89"/>
      <c r="E478" s="89"/>
    </row>
    <row r="479" ht="15.75" customHeight="1">
      <c r="A479" s="89"/>
      <c r="B479" s="89"/>
      <c r="C479" s="89"/>
      <c r="D479" s="89"/>
      <c r="E479" s="89"/>
    </row>
    <row r="480" ht="15.75" customHeight="1">
      <c r="A480" s="89"/>
      <c r="B480" s="89"/>
      <c r="C480" s="89"/>
      <c r="D480" s="89"/>
      <c r="E480" s="89"/>
    </row>
    <row r="481" ht="15.75" customHeight="1">
      <c r="A481" s="89"/>
      <c r="B481" s="89"/>
      <c r="C481" s="89"/>
      <c r="D481" s="89"/>
      <c r="E481" s="89"/>
    </row>
    <row r="482" ht="15.75" customHeight="1">
      <c r="A482" s="89"/>
      <c r="B482" s="89"/>
      <c r="C482" s="89"/>
      <c r="D482" s="89"/>
      <c r="E482" s="89"/>
    </row>
    <row r="483" ht="15.75" customHeight="1">
      <c r="A483" s="89"/>
      <c r="B483" s="89"/>
      <c r="C483" s="89"/>
      <c r="D483" s="89"/>
      <c r="E483" s="89"/>
    </row>
    <row r="484" ht="15.75" customHeight="1">
      <c r="A484" s="89"/>
      <c r="B484" s="89"/>
      <c r="C484" s="89"/>
      <c r="D484" s="89"/>
      <c r="E484" s="89"/>
    </row>
    <row r="485" ht="15.75" customHeight="1">
      <c r="A485" s="89"/>
      <c r="B485" s="89"/>
      <c r="C485" s="89"/>
      <c r="D485" s="89"/>
      <c r="E485" s="89"/>
    </row>
    <row r="486" ht="15.75" customHeight="1">
      <c r="A486" s="89"/>
      <c r="B486" s="89"/>
      <c r="C486" s="89"/>
      <c r="D486" s="89"/>
      <c r="E486" s="89"/>
    </row>
    <row r="487" ht="15.75" customHeight="1">
      <c r="A487" s="89"/>
      <c r="B487" s="89"/>
      <c r="C487" s="89"/>
      <c r="D487" s="89"/>
      <c r="E487" s="89"/>
    </row>
    <row r="488" ht="15.75" customHeight="1">
      <c r="A488" s="89"/>
      <c r="B488" s="89"/>
      <c r="C488" s="89"/>
      <c r="D488" s="89"/>
      <c r="E488" s="89"/>
    </row>
    <row r="489" ht="15.75" customHeight="1">
      <c r="A489" s="89"/>
      <c r="B489" s="89"/>
      <c r="C489" s="89"/>
      <c r="D489" s="89"/>
      <c r="E489" s="89"/>
    </row>
    <row r="490" ht="15.75" customHeight="1">
      <c r="A490" s="89"/>
      <c r="B490" s="89"/>
      <c r="C490" s="89"/>
      <c r="D490" s="89"/>
      <c r="E490" s="89"/>
    </row>
    <row r="491" ht="15.75" customHeight="1">
      <c r="A491" s="89"/>
      <c r="B491" s="89"/>
      <c r="C491" s="89"/>
      <c r="D491" s="89"/>
      <c r="E491" s="89"/>
    </row>
    <row r="492" ht="15.75" customHeight="1">
      <c r="A492" s="89"/>
      <c r="B492" s="89"/>
      <c r="C492" s="89"/>
      <c r="D492" s="89"/>
      <c r="E492" s="89"/>
    </row>
    <row r="493" ht="15.75" customHeight="1">
      <c r="A493" s="89"/>
      <c r="B493" s="89"/>
      <c r="C493" s="89"/>
      <c r="D493" s="89"/>
      <c r="E493" s="89"/>
    </row>
    <row r="494" ht="15.75" customHeight="1">
      <c r="A494" s="89"/>
      <c r="B494" s="89"/>
      <c r="C494" s="89"/>
      <c r="D494" s="89"/>
      <c r="E494" s="89"/>
    </row>
    <row r="495" ht="15.75" customHeight="1">
      <c r="A495" s="89"/>
      <c r="B495" s="89"/>
      <c r="C495" s="89"/>
      <c r="D495" s="89"/>
      <c r="E495" s="89"/>
    </row>
    <row r="496" ht="15.75" customHeight="1">
      <c r="A496" s="89"/>
      <c r="B496" s="89"/>
      <c r="C496" s="89"/>
      <c r="D496" s="89"/>
      <c r="E496" s="89"/>
    </row>
    <row r="497" ht="15.75" customHeight="1">
      <c r="A497" s="89"/>
      <c r="B497" s="89"/>
      <c r="C497" s="89"/>
      <c r="D497" s="89"/>
      <c r="E497" s="89"/>
    </row>
    <row r="498" ht="15.75" customHeight="1">
      <c r="A498" s="89"/>
      <c r="B498" s="89"/>
      <c r="C498" s="89"/>
      <c r="D498" s="89"/>
      <c r="E498" s="89"/>
    </row>
    <row r="499" ht="15.75" customHeight="1">
      <c r="A499" s="89"/>
      <c r="B499" s="89"/>
      <c r="C499" s="89"/>
      <c r="D499" s="89"/>
      <c r="E499" s="89"/>
    </row>
    <row r="500" ht="15.75" customHeight="1">
      <c r="A500" s="89"/>
      <c r="B500" s="89"/>
      <c r="C500" s="89"/>
      <c r="D500" s="89"/>
      <c r="E500" s="89"/>
    </row>
    <row r="501" ht="15.75" customHeight="1">
      <c r="A501" s="89"/>
      <c r="B501" s="89"/>
      <c r="C501" s="89"/>
      <c r="D501" s="89"/>
      <c r="E501" s="89"/>
    </row>
    <row r="502" ht="15.75" customHeight="1">
      <c r="A502" s="89"/>
      <c r="B502" s="89"/>
      <c r="C502" s="89"/>
      <c r="D502" s="89"/>
      <c r="E502" s="89"/>
    </row>
    <row r="503" ht="15.75" customHeight="1">
      <c r="A503" s="89"/>
      <c r="B503" s="89"/>
      <c r="C503" s="89"/>
      <c r="D503" s="89"/>
      <c r="E503" s="89"/>
    </row>
    <row r="504" ht="15.75" customHeight="1">
      <c r="A504" s="89"/>
      <c r="B504" s="89"/>
      <c r="C504" s="89"/>
      <c r="D504" s="89"/>
      <c r="E504" s="89"/>
    </row>
    <row r="505" ht="15.75" customHeight="1">
      <c r="A505" s="89"/>
      <c r="B505" s="89"/>
      <c r="C505" s="89"/>
      <c r="D505" s="89"/>
      <c r="E505" s="89"/>
    </row>
    <row r="506" ht="15.75" customHeight="1">
      <c r="A506" s="89"/>
      <c r="B506" s="89"/>
      <c r="C506" s="89"/>
      <c r="D506" s="89"/>
      <c r="E506" s="89"/>
    </row>
    <row r="507" ht="15.75" customHeight="1">
      <c r="A507" s="89"/>
      <c r="B507" s="89"/>
      <c r="C507" s="89"/>
      <c r="D507" s="89"/>
      <c r="E507" s="89"/>
    </row>
    <row r="508" ht="15.75" customHeight="1">
      <c r="A508" s="89"/>
      <c r="B508" s="89"/>
      <c r="C508" s="89"/>
      <c r="D508" s="89"/>
      <c r="E508" s="89"/>
    </row>
    <row r="509" ht="15.75" customHeight="1">
      <c r="A509" s="89"/>
      <c r="B509" s="89"/>
      <c r="C509" s="89"/>
      <c r="D509" s="89"/>
      <c r="E509" s="89"/>
    </row>
    <row r="510" ht="15.75" customHeight="1">
      <c r="A510" s="89"/>
      <c r="B510" s="89"/>
      <c r="C510" s="89"/>
      <c r="D510" s="89"/>
      <c r="E510" s="89"/>
    </row>
    <row r="511" ht="15.75" customHeight="1">
      <c r="A511" s="89"/>
      <c r="B511" s="89"/>
      <c r="C511" s="89"/>
      <c r="D511" s="89"/>
      <c r="E511" s="89"/>
    </row>
    <row r="512" ht="15.75" customHeight="1">
      <c r="A512" s="89"/>
      <c r="B512" s="89"/>
      <c r="C512" s="89"/>
      <c r="D512" s="89"/>
      <c r="E512" s="89"/>
    </row>
    <row r="513" ht="15.75" customHeight="1">
      <c r="A513" s="89"/>
      <c r="B513" s="89"/>
      <c r="C513" s="89"/>
      <c r="D513" s="89"/>
      <c r="E513" s="89"/>
    </row>
    <row r="514" ht="15.75" customHeight="1">
      <c r="A514" s="89"/>
      <c r="B514" s="89"/>
      <c r="C514" s="89"/>
      <c r="D514" s="89"/>
      <c r="E514" s="89"/>
    </row>
    <row r="515" ht="15.75" customHeight="1">
      <c r="A515" s="89"/>
      <c r="B515" s="89"/>
      <c r="C515" s="89"/>
      <c r="D515" s="89"/>
      <c r="E515" s="89"/>
    </row>
    <row r="516" ht="15.75" customHeight="1">
      <c r="A516" s="89"/>
      <c r="B516" s="89"/>
      <c r="C516" s="89"/>
      <c r="D516" s="89"/>
      <c r="E516" s="89"/>
    </row>
    <row r="517" ht="15.75" customHeight="1">
      <c r="A517" s="89"/>
      <c r="B517" s="89"/>
      <c r="C517" s="89"/>
      <c r="D517" s="89"/>
      <c r="E517" s="89"/>
    </row>
    <row r="518" ht="15.75" customHeight="1">
      <c r="A518" s="89"/>
      <c r="B518" s="89"/>
      <c r="C518" s="89"/>
      <c r="D518" s="89"/>
      <c r="E518" s="89"/>
    </row>
    <row r="519" ht="15.75" customHeight="1">
      <c r="A519" s="89"/>
      <c r="B519" s="89"/>
      <c r="C519" s="89"/>
      <c r="D519" s="89"/>
      <c r="E519" s="89"/>
    </row>
    <row r="520" ht="15.75" customHeight="1">
      <c r="A520" s="89"/>
      <c r="B520" s="89"/>
      <c r="C520" s="89"/>
      <c r="D520" s="89"/>
      <c r="E520" s="89"/>
    </row>
    <row r="521" ht="15.75" customHeight="1">
      <c r="A521" s="89"/>
      <c r="B521" s="89"/>
      <c r="C521" s="89"/>
      <c r="D521" s="89"/>
      <c r="E521" s="89"/>
    </row>
    <row r="522" ht="15.75" customHeight="1">
      <c r="A522" s="89"/>
      <c r="B522" s="89"/>
      <c r="C522" s="89"/>
      <c r="D522" s="89"/>
      <c r="E522" s="89"/>
    </row>
    <row r="523" ht="15.75" customHeight="1">
      <c r="A523" s="89"/>
      <c r="B523" s="89"/>
      <c r="C523" s="89"/>
      <c r="D523" s="89"/>
      <c r="E523" s="89"/>
    </row>
    <row r="524" ht="15.75" customHeight="1">
      <c r="A524" s="89"/>
      <c r="B524" s="89"/>
      <c r="C524" s="89"/>
      <c r="D524" s="89"/>
      <c r="E524" s="89"/>
    </row>
    <row r="525" ht="15.75" customHeight="1">
      <c r="A525" s="89"/>
      <c r="B525" s="89"/>
      <c r="C525" s="89"/>
      <c r="D525" s="89"/>
      <c r="E525" s="89"/>
    </row>
    <row r="526" ht="15.75" customHeight="1">
      <c r="A526" s="89"/>
      <c r="B526" s="89"/>
      <c r="C526" s="89"/>
      <c r="D526" s="89"/>
      <c r="E526" s="89"/>
    </row>
    <row r="527" ht="15.75" customHeight="1">
      <c r="A527" s="89"/>
      <c r="B527" s="89"/>
      <c r="C527" s="89"/>
      <c r="D527" s="89"/>
      <c r="E527" s="89"/>
    </row>
    <row r="528" ht="15.75" customHeight="1">
      <c r="A528" s="89"/>
      <c r="B528" s="89"/>
      <c r="C528" s="89"/>
      <c r="D528" s="89"/>
      <c r="E528" s="89"/>
    </row>
    <row r="529" ht="15.75" customHeight="1">
      <c r="A529" s="89"/>
      <c r="B529" s="89"/>
      <c r="C529" s="89"/>
      <c r="D529" s="89"/>
      <c r="E529" s="89"/>
    </row>
    <row r="530" ht="15.75" customHeight="1">
      <c r="A530" s="89"/>
      <c r="B530" s="89"/>
      <c r="C530" s="89"/>
      <c r="D530" s="89"/>
      <c r="E530" s="89"/>
    </row>
    <row r="531" ht="15.75" customHeight="1">
      <c r="A531" s="89"/>
      <c r="B531" s="89"/>
      <c r="C531" s="89"/>
      <c r="D531" s="89"/>
      <c r="E531" s="89"/>
    </row>
    <row r="532" ht="15.75" customHeight="1">
      <c r="A532" s="89"/>
      <c r="B532" s="89"/>
      <c r="C532" s="89"/>
      <c r="D532" s="89"/>
      <c r="E532" s="89"/>
    </row>
    <row r="533" ht="15.75" customHeight="1">
      <c r="A533" s="89"/>
      <c r="B533" s="89"/>
      <c r="C533" s="89"/>
      <c r="D533" s="89"/>
      <c r="E533" s="89"/>
    </row>
    <row r="534" ht="15.75" customHeight="1">
      <c r="A534" s="89"/>
      <c r="B534" s="89"/>
      <c r="C534" s="89"/>
      <c r="D534" s="89"/>
      <c r="E534" s="89"/>
    </row>
    <row r="535" ht="15.75" customHeight="1">
      <c r="A535" s="89"/>
      <c r="B535" s="89"/>
      <c r="C535" s="89"/>
      <c r="D535" s="89"/>
      <c r="E535" s="89"/>
    </row>
    <row r="536" ht="15.75" customHeight="1">
      <c r="A536" s="89"/>
      <c r="B536" s="89"/>
      <c r="C536" s="89"/>
      <c r="D536" s="89"/>
      <c r="E536" s="89"/>
    </row>
    <row r="537" ht="15.75" customHeight="1">
      <c r="A537" s="89"/>
      <c r="B537" s="89"/>
      <c r="C537" s="89"/>
      <c r="D537" s="89"/>
      <c r="E537" s="89"/>
    </row>
    <row r="538" ht="15.75" customHeight="1">
      <c r="A538" s="89"/>
      <c r="B538" s="89"/>
      <c r="C538" s="89"/>
      <c r="D538" s="89"/>
      <c r="E538" s="89"/>
    </row>
    <row r="539" ht="15.75" customHeight="1">
      <c r="A539" s="89"/>
      <c r="B539" s="89"/>
      <c r="C539" s="89"/>
      <c r="D539" s="89"/>
      <c r="E539" s="89"/>
    </row>
    <row r="540" ht="15.75" customHeight="1">
      <c r="A540" s="89"/>
      <c r="B540" s="89"/>
      <c r="C540" s="89"/>
      <c r="D540" s="89"/>
      <c r="E540" s="89"/>
    </row>
    <row r="541" ht="15.75" customHeight="1">
      <c r="A541" s="89"/>
      <c r="B541" s="89"/>
      <c r="C541" s="89"/>
      <c r="D541" s="89"/>
      <c r="E541" s="89"/>
    </row>
    <row r="542" ht="15.75" customHeight="1">
      <c r="A542" s="89"/>
      <c r="B542" s="89"/>
      <c r="C542" s="89"/>
      <c r="D542" s="89"/>
      <c r="E542" s="89"/>
    </row>
    <row r="543" ht="15.75" customHeight="1">
      <c r="A543" s="89"/>
      <c r="B543" s="89"/>
      <c r="C543" s="89"/>
      <c r="D543" s="89"/>
      <c r="E543" s="89"/>
    </row>
    <row r="544" ht="15.75" customHeight="1">
      <c r="A544" s="89"/>
      <c r="B544" s="89"/>
      <c r="C544" s="89"/>
      <c r="D544" s="89"/>
      <c r="E544" s="89"/>
    </row>
    <row r="545" ht="15.75" customHeight="1">
      <c r="A545" s="89"/>
      <c r="B545" s="89"/>
      <c r="C545" s="89"/>
      <c r="D545" s="89"/>
      <c r="E545" s="89"/>
    </row>
    <row r="546" ht="15.75" customHeight="1">
      <c r="A546" s="89"/>
      <c r="B546" s="89"/>
      <c r="C546" s="89"/>
      <c r="D546" s="89"/>
      <c r="E546" s="89"/>
    </row>
    <row r="547" ht="15.75" customHeight="1">
      <c r="A547" s="89"/>
      <c r="B547" s="89"/>
      <c r="C547" s="89"/>
      <c r="D547" s="89"/>
      <c r="E547" s="89"/>
    </row>
    <row r="548" ht="15.75" customHeight="1">
      <c r="A548" s="89"/>
      <c r="B548" s="89"/>
      <c r="C548" s="89"/>
      <c r="D548" s="89"/>
      <c r="E548" s="89"/>
    </row>
    <row r="549" ht="15.75" customHeight="1">
      <c r="A549" s="89"/>
      <c r="B549" s="89"/>
      <c r="C549" s="89"/>
      <c r="D549" s="89"/>
      <c r="E549" s="89"/>
    </row>
    <row r="550" ht="15.75" customHeight="1">
      <c r="A550" s="89"/>
      <c r="B550" s="89"/>
      <c r="C550" s="89"/>
      <c r="D550" s="89"/>
      <c r="E550" s="89"/>
    </row>
    <row r="551" ht="15.75" customHeight="1">
      <c r="A551" s="89"/>
      <c r="B551" s="89"/>
      <c r="C551" s="89"/>
      <c r="D551" s="89"/>
      <c r="E551" s="89"/>
    </row>
    <row r="552" ht="15.75" customHeight="1">
      <c r="A552" s="89"/>
      <c r="B552" s="89"/>
      <c r="C552" s="89"/>
      <c r="D552" s="89"/>
      <c r="E552" s="89"/>
    </row>
    <row r="553" ht="15.75" customHeight="1">
      <c r="A553" s="89"/>
      <c r="B553" s="89"/>
      <c r="C553" s="89"/>
      <c r="D553" s="89"/>
      <c r="E553" s="89"/>
    </row>
    <row r="554" ht="15.75" customHeight="1">
      <c r="A554" s="89"/>
      <c r="B554" s="89"/>
      <c r="C554" s="89"/>
      <c r="D554" s="89"/>
      <c r="E554" s="89"/>
    </row>
    <row r="555" ht="15.75" customHeight="1">
      <c r="A555" s="89"/>
      <c r="B555" s="89"/>
      <c r="C555" s="89"/>
      <c r="D555" s="89"/>
      <c r="E555" s="89"/>
    </row>
    <row r="556" ht="15.75" customHeight="1">
      <c r="A556" s="89"/>
      <c r="B556" s="89"/>
      <c r="C556" s="89"/>
      <c r="D556" s="89"/>
      <c r="E556" s="89"/>
    </row>
    <row r="557" ht="15.75" customHeight="1">
      <c r="A557" s="89"/>
      <c r="B557" s="89"/>
      <c r="C557" s="89"/>
      <c r="D557" s="89"/>
      <c r="E557" s="89"/>
    </row>
    <row r="558" ht="15.75" customHeight="1">
      <c r="A558" s="89"/>
      <c r="B558" s="89"/>
      <c r="C558" s="89"/>
      <c r="D558" s="89"/>
      <c r="E558" s="89"/>
    </row>
    <row r="559" ht="15.75" customHeight="1">
      <c r="A559" s="89"/>
      <c r="B559" s="89"/>
      <c r="C559" s="89"/>
      <c r="D559" s="89"/>
      <c r="E559" s="89"/>
    </row>
    <row r="560" ht="15.75" customHeight="1">
      <c r="A560" s="89"/>
      <c r="B560" s="89"/>
      <c r="C560" s="89"/>
      <c r="D560" s="89"/>
      <c r="E560" s="89"/>
    </row>
    <row r="561" ht="15.75" customHeight="1">
      <c r="A561" s="89"/>
      <c r="B561" s="89"/>
      <c r="C561" s="89"/>
      <c r="D561" s="89"/>
      <c r="E561" s="89"/>
    </row>
    <row r="562" ht="15.75" customHeight="1">
      <c r="A562" s="89"/>
      <c r="B562" s="89"/>
      <c r="C562" s="89"/>
      <c r="D562" s="89"/>
      <c r="E562" s="89"/>
    </row>
    <row r="563" ht="15.75" customHeight="1">
      <c r="A563" s="89"/>
      <c r="B563" s="89"/>
      <c r="C563" s="89"/>
      <c r="D563" s="89"/>
      <c r="E563" s="89"/>
    </row>
    <row r="564" ht="15.75" customHeight="1">
      <c r="A564" s="89"/>
      <c r="B564" s="89"/>
      <c r="C564" s="89"/>
      <c r="D564" s="89"/>
      <c r="E564" s="89"/>
    </row>
    <row r="565" ht="15.75" customHeight="1">
      <c r="A565" s="89"/>
      <c r="B565" s="89"/>
      <c r="C565" s="89"/>
      <c r="D565" s="89"/>
      <c r="E565" s="89"/>
    </row>
    <row r="566" ht="15.75" customHeight="1">
      <c r="A566" s="89"/>
      <c r="B566" s="89"/>
      <c r="C566" s="89"/>
      <c r="D566" s="89"/>
      <c r="E566" s="89"/>
    </row>
    <row r="567" ht="15.75" customHeight="1">
      <c r="A567" s="89"/>
      <c r="B567" s="89"/>
      <c r="C567" s="89"/>
      <c r="D567" s="89"/>
      <c r="E567" s="89"/>
    </row>
    <row r="568" ht="15.75" customHeight="1">
      <c r="A568" s="89"/>
      <c r="B568" s="89"/>
      <c r="C568" s="89"/>
      <c r="D568" s="89"/>
      <c r="E568" s="89"/>
    </row>
    <row r="569" ht="15.75" customHeight="1">
      <c r="A569" s="89"/>
      <c r="B569" s="89"/>
      <c r="C569" s="89"/>
      <c r="D569" s="89"/>
      <c r="E569" s="89"/>
    </row>
    <row r="570" ht="15.75" customHeight="1">
      <c r="A570" s="89"/>
      <c r="B570" s="89"/>
      <c r="C570" s="89"/>
      <c r="D570" s="89"/>
      <c r="E570" s="89"/>
    </row>
    <row r="571" ht="15.75" customHeight="1">
      <c r="A571" s="89"/>
      <c r="B571" s="89"/>
      <c r="C571" s="89"/>
      <c r="D571" s="89"/>
      <c r="E571" s="89"/>
    </row>
    <row r="572" ht="15.75" customHeight="1">
      <c r="A572" s="89"/>
      <c r="B572" s="89"/>
      <c r="C572" s="89"/>
      <c r="D572" s="89"/>
      <c r="E572" s="89"/>
    </row>
    <row r="573" ht="15.75" customHeight="1">
      <c r="A573" s="89"/>
      <c r="B573" s="89"/>
      <c r="C573" s="89"/>
      <c r="D573" s="89"/>
      <c r="E573" s="89"/>
    </row>
    <row r="574" ht="15.75" customHeight="1">
      <c r="A574" s="89"/>
      <c r="B574" s="89"/>
      <c r="C574" s="89"/>
      <c r="D574" s="89"/>
      <c r="E574" s="89"/>
    </row>
    <row r="575" ht="15.75" customHeight="1">
      <c r="A575" s="89"/>
      <c r="B575" s="89"/>
      <c r="C575" s="89"/>
      <c r="D575" s="89"/>
      <c r="E575" s="89"/>
    </row>
    <row r="576" ht="15.75" customHeight="1">
      <c r="A576" s="89"/>
      <c r="B576" s="89"/>
      <c r="C576" s="89"/>
      <c r="D576" s="89"/>
      <c r="E576" s="89"/>
    </row>
    <row r="577" ht="15.75" customHeight="1">
      <c r="A577" s="89"/>
      <c r="B577" s="89"/>
      <c r="C577" s="89"/>
      <c r="D577" s="89"/>
      <c r="E577" s="89"/>
    </row>
    <row r="578" ht="15.75" customHeight="1">
      <c r="A578" s="89"/>
      <c r="B578" s="89"/>
      <c r="C578" s="89"/>
      <c r="D578" s="89"/>
      <c r="E578" s="89"/>
    </row>
    <row r="579" ht="15.75" customHeight="1">
      <c r="A579" s="89"/>
      <c r="B579" s="89"/>
      <c r="C579" s="89"/>
      <c r="D579" s="89"/>
      <c r="E579" s="89"/>
    </row>
    <row r="580" ht="15.75" customHeight="1">
      <c r="A580" s="89"/>
      <c r="B580" s="89"/>
      <c r="C580" s="89"/>
      <c r="D580" s="89"/>
      <c r="E580" s="89"/>
    </row>
    <row r="581" ht="15.75" customHeight="1">
      <c r="A581" s="89"/>
      <c r="B581" s="89"/>
      <c r="C581" s="89"/>
      <c r="D581" s="89"/>
      <c r="E581" s="89"/>
    </row>
    <row r="582" ht="15.75" customHeight="1">
      <c r="A582" s="89"/>
      <c r="B582" s="89"/>
      <c r="C582" s="89"/>
      <c r="D582" s="89"/>
      <c r="E582" s="89"/>
    </row>
    <row r="583" ht="15.75" customHeight="1">
      <c r="A583" s="89"/>
      <c r="B583" s="89"/>
      <c r="C583" s="89"/>
      <c r="D583" s="89"/>
      <c r="E583" s="89"/>
    </row>
    <row r="584" ht="15.75" customHeight="1">
      <c r="A584" s="89"/>
      <c r="B584" s="89"/>
      <c r="C584" s="89"/>
      <c r="D584" s="89"/>
      <c r="E584" s="89"/>
    </row>
    <row r="585" ht="15.75" customHeight="1">
      <c r="A585" s="89"/>
      <c r="B585" s="89"/>
      <c r="C585" s="89"/>
      <c r="D585" s="89"/>
      <c r="E585" s="89"/>
    </row>
    <row r="586" ht="15.75" customHeight="1">
      <c r="A586" s="89"/>
      <c r="B586" s="89"/>
      <c r="C586" s="89"/>
      <c r="D586" s="89"/>
      <c r="E586" s="89"/>
    </row>
    <row r="587" ht="15.75" customHeight="1">
      <c r="A587" s="89"/>
      <c r="B587" s="89"/>
      <c r="C587" s="89"/>
      <c r="D587" s="89"/>
      <c r="E587" s="89"/>
    </row>
    <row r="588" ht="15.75" customHeight="1">
      <c r="A588" s="89"/>
      <c r="B588" s="89"/>
      <c r="C588" s="89"/>
      <c r="D588" s="89"/>
      <c r="E588" s="89"/>
    </row>
    <row r="589" ht="15.75" customHeight="1">
      <c r="A589" s="89"/>
      <c r="B589" s="89"/>
      <c r="C589" s="89"/>
      <c r="D589" s="89"/>
      <c r="E589" s="89"/>
    </row>
    <row r="590" ht="15.75" customHeight="1">
      <c r="A590" s="89"/>
      <c r="B590" s="89"/>
      <c r="C590" s="89"/>
      <c r="D590" s="89"/>
      <c r="E590" s="89"/>
    </row>
    <row r="591" ht="15.75" customHeight="1">
      <c r="A591" s="89"/>
      <c r="B591" s="89"/>
      <c r="C591" s="89"/>
      <c r="D591" s="89"/>
      <c r="E591" s="89"/>
    </row>
    <row r="592" ht="15.75" customHeight="1">
      <c r="A592" s="89"/>
      <c r="B592" s="89"/>
      <c r="C592" s="89"/>
      <c r="D592" s="89"/>
      <c r="E592" s="89"/>
    </row>
    <row r="593" ht="15.75" customHeight="1">
      <c r="A593" s="89"/>
      <c r="B593" s="89"/>
      <c r="C593" s="89"/>
      <c r="D593" s="89"/>
      <c r="E593" s="89"/>
    </row>
    <row r="594" ht="15.75" customHeight="1">
      <c r="A594" s="89"/>
      <c r="B594" s="89"/>
      <c r="C594" s="89"/>
      <c r="D594" s="89"/>
      <c r="E594" s="89"/>
    </row>
    <row r="595" ht="15.75" customHeight="1">
      <c r="A595" s="89"/>
      <c r="B595" s="89"/>
      <c r="C595" s="89"/>
      <c r="D595" s="89"/>
      <c r="E595" s="89"/>
    </row>
    <row r="596" ht="15.75" customHeight="1">
      <c r="A596" s="89"/>
      <c r="B596" s="89"/>
      <c r="C596" s="89"/>
      <c r="D596" s="89"/>
      <c r="E596" s="89"/>
    </row>
    <row r="597" ht="15.75" customHeight="1">
      <c r="A597" s="89"/>
      <c r="B597" s="89"/>
      <c r="C597" s="89"/>
      <c r="D597" s="89"/>
      <c r="E597" s="89"/>
    </row>
    <row r="598" ht="15.75" customHeight="1">
      <c r="A598" s="89"/>
      <c r="B598" s="89"/>
      <c r="C598" s="89"/>
      <c r="D598" s="89"/>
      <c r="E598" s="89"/>
    </row>
    <row r="599" ht="15.75" customHeight="1">
      <c r="A599" s="89"/>
      <c r="B599" s="89"/>
      <c r="C599" s="89"/>
      <c r="D599" s="89"/>
      <c r="E599" s="89"/>
    </row>
    <row r="600" ht="15.75" customHeight="1">
      <c r="A600" s="89"/>
      <c r="B600" s="89"/>
      <c r="C600" s="89"/>
      <c r="D600" s="89"/>
      <c r="E600" s="89"/>
    </row>
    <row r="601" ht="15.75" customHeight="1">
      <c r="A601" s="89"/>
      <c r="B601" s="89"/>
      <c r="C601" s="89"/>
      <c r="D601" s="89"/>
      <c r="E601" s="89"/>
    </row>
    <row r="602" ht="15.75" customHeight="1">
      <c r="A602" s="89"/>
      <c r="B602" s="89"/>
      <c r="C602" s="89"/>
      <c r="D602" s="89"/>
      <c r="E602" s="89"/>
    </row>
    <row r="603" ht="15.75" customHeight="1">
      <c r="A603" s="89"/>
      <c r="B603" s="89"/>
      <c r="C603" s="89"/>
      <c r="D603" s="89"/>
      <c r="E603" s="89"/>
    </row>
    <row r="604" ht="15.75" customHeight="1">
      <c r="A604" s="89"/>
      <c r="B604" s="89"/>
      <c r="C604" s="89"/>
      <c r="D604" s="89"/>
      <c r="E604" s="89"/>
    </row>
    <row r="605" ht="15.75" customHeight="1">
      <c r="A605" s="89"/>
      <c r="B605" s="89"/>
      <c r="C605" s="89"/>
      <c r="D605" s="89"/>
      <c r="E605" s="89"/>
    </row>
    <row r="606" ht="15.75" customHeight="1">
      <c r="A606" s="89"/>
      <c r="B606" s="89"/>
      <c r="C606" s="89"/>
      <c r="D606" s="89"/>
      <c r="E606" s="89"/>
    </row>
    <row r="607" ht="15.75" customHeight="1">
      <c r="A607" s="89"/>
      <c r="B607" s="89"/>
      <c r="C607" s="89"/>
      <c r="D607" s="89"/>
      <c r="E607" s="89"/>
    </row>
    <row r="608" ht="15.75" customHeight="1">
      <c r="A608" s="89"/>
      <c r="B608" s="89"/>
      <c r="C608" s="89"/>
      <c r="D608" s="89"/>
      <c r="E608" s="89"/>
    </row>
    <row r="609" ht="15.75" customHeight="1">
      <c r="A609" s="89"/>
      <c r="B609" s="89"/>
      <c r="C609" s="89"/>
      <c r="D609" s="89"/>
      <c r="E609" s="89"/>
    </row>
    <row r="610" ht="15.75" customHeight="1">
      <c r="A610" s="89"/>
      <c r="B610" s="89"/>
      <c r="C610" s="89"/>
      <c r="D610" s="89"/>
      <c r="E610" s="89"/>
    </row>
    <row r="611" ht="15.75" customHeight="1">
      <c r="A611" s="89"/>
      <c r="B611" s="89"/>
      <c r="C611" s="89"/>
      <c r="D611" s="89"/>
      <c r="E611" s="89"/>
    </row>
    <row r="612" ht="15.75" customHeight="1">
      <c r="A612" s="89"/>
      <c r="B612" s="89"/>
      <c r="C612" s="89"/>
      <c r="D612" s="89"/>
      <c r="E612" s="89"/>
    </row>
    <row r="613" ht="15.75" customHeight="1">
      <c r="A613" s="89"/>
      <c r="B613" s="89"/>
      <c r="C613" s="89"/>
      <c r="D613" s="89"/>
      <c r="E613" s="89"/>
    </row>
    <row r="614" ht="15.75" customHeight="1">
      <c r="A614" s="89"/>
      <c r="B614" s="89"/>
      <c r="C614" s="89"/>
      <c r="D614" s="89"/>
      <c r="E614" s="89"/>
    </row>
    <row r="615" ht="15.75" customHeight="1">
      <c r="A615" s="89"/>
      <c r="B615" s="89"/>
      <c r="C615" s="89"/>
      <c r="D615" s="89"/>
      <c r="E615" s="89"/>
    </row>
    <row r="616" ht="15.75" customHeight="1">
      <c r="A616" s="89"/>
      <c r="B616" s="89"/>
      <c r="C616" s="89"/>
      <c r="D616" s="89"/>
      <c r="E616" s="89"/>
    </row>
    <row r="617" ht="15.75" customHeight="1">
      <c r="A617" s="89"/>
      <c r="B617" s="89"/>
      <c r="C617" s="89"/>
      <c r="D617" s="89"/>
      <c r="E617" s="89"/>
    </row>
    <row r="618" ht="15.75" customHeight="1">
      <c r="A618" s="89"/>
      <c r="B618" s="89"/>
      <c r="C618" s="89"/>
      <c r="D618" s="89"/>
      <c r="E618" s="89"/>
    </row>
    <row r="619" ht="15.75" customHeight="1">
      <c r="A619" s="89"/>
      <c r="B619" s="89"/>
      <c r="C619" s="89"/>
      <c r="D619" s="89"/>
      <c r="E619" s="89"/>
    </row>
    <row r="620" ht="15.75" customHeight="1">
      <c r="A620" s="89"/>
      <c r="B620" s="89"/>
      <c r="C620" s="89"/>
      <c r="D620" s="89"/>
      <c r="E620" s="89"/>
    </row>
    <row r="621" ht="15.75" customHeight="1">
      <c r="A621" s="89"/>
      <c r="B621" s="89"/>
      <c r="C621" s="89"/>
      <c r="D621" s="89"/>
      <c r="E621" s="89"/>
    </row>
    <row r="622" ht="15.75" customHeight="1">
      <c r="A622" s="89"/>
      <c r="B622" s="89"/>
      <c r="C622" s="89"/>
      <c r="D622" s="89"/>
      <c r="E622" s="89"/>
    </row>
    <row r="623" ht="15.75" customHeight="1">
      <c r="A623" s="89"/>
      <c r="B623" s="89"/>
      <c r="C623" s="89"/>
      <c r="D623" s="89"/>
      <c r="E623" s="89"/>
    </row>
    <row r="624" ht="15.75" customHeight="1">
      <c r="A624" s="89"/>
      <c r="B624" s="89"/>
      <c r="C624" s="89"/>
      <c r="D624" s="89"/>
      <c r="E624" s="89"/>
    </row>
    <row r="625" ht="15.75" customHeight="1">
      <c r="A625" s="89"/>
      <c r="B625" s="89"/>
      <c r="C625" s="89"/>
      <c r="D625" s="89"/>
      <c r="E625" s="89"/>
    </row>
    <row r="626" ht="15.75" customHeight="1">
      <c r="A626" s="89"/>
      <c r="B626" s="89"/>
      <c r="C626" s="89"/>
      <c r="D626" s="89"/>
      <c r="E626" s="89"/>
    </row>
    <row r="627" ht="15.75" customHeight="1">
      <c r="A627" s="89"/>
      <c r="B627" s="89"/>
      <c r="C627" s="89"/>
      <c r="D627" s="89"/>
      <c r="E627" s="89"/>
    </row>
    <row r="628" ht="15.75" customHeight="1">
      <c r="A628" s="89"/>
      <c r="B628" s="89"/>
      <c r="C628" s="89"/>
      <c r="D628" s="89"/>
      <c r="E628" s="89"/>
    </row>
    <row r="629" ht="15.75" customHeight="1">
      <c r="A629" s="89"/>
      <c r="B629" s="89"/>
      <c r="C629" s="89"/>
      <c r="D629" s="89"/>
      <c r="E629" s="89"/>
    </row>
    <row r="630" ht="15.75" customHeight="1">
      <c r="A630" s="89"/>
      <c r="B630" s="89"/>
      <c r="C630" s="89"/>
      <c r="D630" s="89"/>
      <c r="E630" s="89"/>
    </row>
    <row r="631" ht="15.75" customHeight="1">
      <c r="A631" s="89"/>
      <c r="B631" s="89"/>
      <c r="C631" s="89"/>
      <c r="D631" s="89"/>
      <c r="E631" s="89"/>
    </row>
    <row r="632" ht="15.75" customHeight="1">
      <c r="A632" s="89"/>
      <c r="B632" s="89"/>
      <c r="C632" s="89"/>
      <c r="D632" s="89"/>
      <c r="E632" s="89"/>
    </row>
    <row r="633" ht="15.75" customHeight="1">
      <c r="A633" s="89"/>
      <c r="B633" s="89"/>
      <c r="C633" s="89"/>
      <c r="D633" s="89"/>
      <c r="E633" s="89"/>
    </row>
    <row r="634" ht="15.75" customHeight="1">
      <c r="A634" s="89"/>
      <c r="B634" s="89"/>
      <c r="C634" s="89"/>
      <c r="D634" s="89"/>
      <c r="E634" s="89"/>
    </row>
    <row r="635" ht="15.75" customHeight="1">
      <c r="A635" s="89"/>
      <c r="B635" s="89"/>
      <c r="C635" s="89"/>
      <c r="D635" s="89"/>
      <c r="E635" s="89"/>
    </row>
    <row r="636" ht="15.75" customHeight="1">
      <c r="A636" s="89"/>
      <c r="B636" s="89"/>
      <c r="C636" s="89"/>
      <c r="D636" s="89"/>
      <c r="E636" s="89"/>
    </row>
    <row r="637" ht="15.75" customHeight="1">
      <c r="A637" s="89"/>
      <c r="B637" s="89"/>
      <c r="C637" s="89"/>
      <c r="D637" s="89"/>
      <c r="E637" s="89"/>
    </row>
    <row r="638" ht="15.75" customHeight="1">
      <c r="A638" s="89"/>
      <c r="B638" s="89"/>
      <c r="C638" s="89"/>
      <c r="D638" s="89"/>
      <c r="E638" s="89"/>
    </row>
    <row r="639" ht="15.75" customHeight="1">
      <c r="A639" s="89"/>
      <c r="B639" s="89"/>
      <c r="C639" s="89"/>
      <c r="D639" s="89"/>
      <c r="E639" s="89"/>
    </row>
    <row r="640" ht="15.75" customHeight="1">
      <c r="A640" s="89"/>
      <c r="B640" s="89"/>
      <c r="C640" s="89"/>
      <c r="D640" s="89"/>
      <c r="E640" s="89"/>
    </row>
    <row r="641" ht="15.75" customHeight="1">
      <c r="A641" s="89"/>
      <c r="B641" s="89"/>
      <c r="C641" s="89"/>
      <c r="D641" s="89"/>
      <c r="E641" s="89"/>
    </row>
    <row r="642" ht="15.75" customHeight="1">
      <c r="A642" s="89"/>
      <c r="B642" s="89"/>
      <c r="C642" s="89"/>
      <c r="D642" s="89"/>
      <c r="E642" s="89"/>
    </row>
    <row r="643" ht="15.75" customHeight="1">
      <c r="A643" s="89"/>
      <c r="B643" s="89"/>
      <c r="C643" s="89"/>
      <c r="D643" s="89"/>
      <c r="E643" s="89"/>
    </row>
    <row r="644" ht="15.75" customHeight="1">
      <c r="A644" s="89"/>
      <c r="B644" s="89"/>
      <c r="C644" s="89"/>
      <c r="D644" s="89"/>
      <c r="E644" s="89"/>
    </row>
    <row r="645" ht="15.75" customHeight="1">
      <c r="A645" s="89"/>
      <c r="B645" s="89"/>
      <c r="C645" s="89"/>
      <c r="D645" s="89"/>
      <c r="E645" s="89"/>
    </row>
    <row r="646" ht="15.75" customHeight="1">
      <c r="A646" s="89"/>
      <c r="B646" s="89"/>
      <c r="C646" s="89"/>
      <c r="D646" s="89"/>
      <c r="E646" s="89"/>
    </row>
    <row r="647" ht="15.75" customHeight="1">
      <c r="A647" s="89"/>
      <c r="B647" s="89"/>
      <c r="C647" s="89"/>
      <c r="D647" s="89"/>
      <c r="E647" s="89"/>
    </row>
    <row r="648" ht="15.75" customHeight="1">
      <c r="A648" s="89"/>
      <c r="B648" s="89"/>
      <c r="C648" s="89"/>
      <c r="D648" s="89"/>
      <c r="E648" s="89"/>
    </row>
    <row r="649" ht="15.75" customHeight="1">
      <c r="A649" s="89"/>
      <c r="B649" s="89"/>
      <c r="C649" s="89"/>
      <c r="D649" s="89"/>
      <c r="E649" s="89"/>
    </row>
    <row r="650" ht="15.75" customHeight="1">
      <c r="A650" s="89"/>
      <c r="B650" s="89"/>
      <c r="C650" s="89"/>
      <c r="D650" s="89"/>
      <c r="E650" s="89"/>
    </row>
    <row r="651" ht="15.75" customHeight="1">
      <c r="A651" s="89"/>
      <c r="B651" s="89"/>
      <c r="C651" s="89"/>
      <c r="D651" s="89"/>
      <c r="E651" s="89"/>
    </row>
    <row r="652" ht="15.75" customHeight="1">
      <c r="A652" s="89"/>
      <c r="B652" s="89"/>
      <c r="C652" s="89"/>
      <c r="D652" s="89"/>
      <c r="E652" s="89"/>
    </row>
    <row r="653" ht="15.75" customHeight="1">
      <c r="A653" s="89"/>
      <c r="B653" s="89"/>
      <c r="C653" s="89"/>
      <c r="D653" s="89"/>
      <c r="E653" s="89"/>
    </row>
    <row r="654" ht="15.75" customHeight="1">
      <c r="A654" s="89"/>
      <c r="B654" s="89"/>
      <c r="C654" s="89"/>
      <c r="D654" s="89"/>
      <c r="E654" s="89"/>
    </row>
    <row r="655" ht="15.75" customHeight="1">
      <c r="A655" s="89"/>
      <c r="B655" s="89"/>
      <c r="C655" s="89"/>
      <c r="D655" s="89"/>
      <c r="E655" s="89"/>
    </row>
    <row r="656" ht="15.75" customHeight="1">
      <c r="A656" s="89"/>
      <c r="B656" s="89"/>
      <c r="C656" s="89"/>
      <c r="D656" s="89"/>
      <c r="E656" s="89"/>
    </row>
    <row r="657" ht="15.75" customHeight="1">
      <c r="A657" s="89"/>
      <c r="B657" s="89"/>
      <c r="C657" s="89"/>
      <c r="D657" s="89"/>
      <c r="E657" s="89"/>
    </row>
    <row r="658" ht="15.75" customHeight="1">
      <c r="A658" s="89"/>
      <c r="B658" s="89"/>
      <c r="C658" s="89"/>
      <c r="D658" s="89"/>
      <c r="E658" s="89"/>
    </row>
    <row r="659" ht="15.75" customHeight="1">
      <c r="A659" s="89"/>
      <c r="B659" s="89"/>
      <c r="C659" s="89"/>
      <c r="D659" s="89"/>
      <c r="E659" s="89"/>
    </row>
    <row r="660" ht="15.75" customHeight="1">
      <c r="A660" s="89"/>
      <c r="B660" s="89"/>
      <c r="C660" s="89"/>
      <c r="D660" s="89"/>
      <c r="E660" s="89"/>
    </row>
    <row r="661" ht="15.75" customHeight="1">
      <c r="A661" s="89"/>
      <c r="B661" s="89"/>
      <c r="C661" s="89"/>
      <c r="D661" s="89"/>
      <c r="E661" s="89"/>
    </row>
    <row r="662" ht="15.75" customHeight="1">
      <c r="A662" s="89"/>
      <c r="B662" s="89"/>
      <c r="C662" s="89"/>
      <c r="D662" s="89"/>
      <c r="E662" s="89"/>
    </row>
    <row r="663" ht="15.75" customHeight="1">
      <c r="A663" s="89"/>
      <c r="B663" s="89"/>
      <c r="C663" s="89"/>
      <c r="D663" s="89"/>
      <c r="E663" s="89"/>
    </row>
    <row r="664" ht="15.75" customHeight="1">
      <c r="A664" s="89"/>
      <c r="B664" s="89"/>
      <c r="C664" s="89"/>
      <c r="D664" s="89"/>
      <c r="E664" s="89"/>
    </row>
    <row r="665" ht="15.75" customHeight="1">
      <c r="A665" s="89"/>
      <c r="B665" s="89"/>
      <c r="C665" s="89"/>
      <c r="D665" s="89"/>
      <c r="E665" s="89"/>
    </row>
    <row r="666" ht="15.75" customHeight="1">
      <c r="A666" s="89"/>
      <c r="B666" s="89"/>
      <c r="C666" s="89"/>
      <c r="D666" s="89"/>
      <c r="E666" s="89"/>
    </row>
    <row r="667" ht="15.75" customHeight="1">
      <c r="A667" s="89"/>
      <c r="B667" s="89"/>
      <c r="C667" s="89"/>
      <c r="D667" s="89"/>
      <c r="E667" s="89"/>
    </row>
    <row r="668" ht="15.75" customHeight="1">
      <c r="A668" s="89"/>
      <c r="B668" s="89"/>
      <c r="C668" s="89"/>
      <c r="D668" s="89"/>
      <c r="E668" s="89"/>
    </row>
    <row r="669" ht="15.75" customHeight="1">
      <c r="A669" s="89"/>
      <c r="B669" s="89"/>
      <c r="C669" s="89"/>
      <c r="D669" s="89"/>
      <c r="E669" s="89"/>
    </row>
    <row r="670" ht="15.75" customHeight="1">
      <c r="A670" s="89"/>
      <c r="B670" s="89"/>
      <c r="C670" s="89"/>
      <c r="D670" s="89"/>
      <c r="E670" s="89"/>
    </row>
    <row r="671" ht="15.75" customHeight="1">
      <c r="A671" s="89"/>
      <c r="B671" s="89"/>
      <c r="C671" s="89"/>
      <c r="D671" s="89"/>
      <c r="E671" s="89"/>
    </row>
    <row r="672" ht="15.75" customHeight="1">
      <c r="A672" s="89"/>
      <c r="B672" s="89"/>
      <c r="C672" s="89"/>
      <c r="D672" s="89"/>
      <c r="E672" s="89"/>
    </row>
    <row r="673" ht="15.75" customHeight="1">
      <c r="A673" s="89"/>
      <c r="B673" s="89"/>
      <c r="C673" s="89"/>
      <c r="D673" s="89"/>
      <c r="E673" s="89"/>
    </row>
    <row r="674" ht="15.75" customHeight="1">
      <c r="A674" s="89"/>
      <c r="B674" s="89"/>
      <c r="C674" s="89"/>
      <c r="D674" s="89"/>
      <c r="E674" s="89"/>
    </row>
    <row r="675" ht="15.75" customHeight="1">
      <c r="A675" s="89"/>
      <c r="B675" s="89"/>
      <c r="C675" s="89"/>
      <c r="D675" s="89"/>
      <c r="E675" s="89"/>
    </row>
    <row r="676" ht="15.75" customHeight="1">
      <c r="A676" s="89"/>
      <c r="B676" s="89"/>
      <c r="C676" s="89"/>
      <c r="D676" s="89"/>
      <c r="E676" s="89"/>
    </row>
    <row r="677" ht="15.75" customHeight="1">
      <c r="A677" s="89"/>
      <c r="B677" s="89"/>
      <c r="C677" s="89"/>
      <c r="D677" s="89"/>
      <c r="E677" s="89"/>
    </row>
    <row r="678" ht="15.75" customHeight="1">
      <c r="A678" s="89"/>
      <c r="B678" s="89"/>
      <c r="C678" s="89"/>
      <c r="D678" s="89"/>
      <c r="E678" s="89"/>
    </row>
    <row r="679" ht="15.75" customHeight="1">
      <c r="A679" s="89"/>
      <c r="B679" s="89"/>
      <c r="C679" s="89"/>
      <c r="D679" s="89"/>
      <c r="E679" s="89"/>
    </row>
    <row r="680" ht="15.75" customHeight="1">
      <c r="A680" s="89"/>
      <c r="B680" s="89"/>
      <c r="C680" s="89"/>
      <c r="D680" s="89"/>
      <c r="E680" s="89"/>
    </row>
    <row r="681" ht="15.75" customHeight="1">
      <c r="A681" s="89"/>
      <c r="B681" s="89"/>
      <c r="C681" s="89"/>
      <c r="D681" s="89"/>
      <c r="E681" s="89"/>
    </row>
    <row r="682" ht="15.75" customHeight="1">
      <c r="A682" s="89"/>
      <c r="B682" s="89"/>
      <c r="C682" s="89"/>
      <c r="D682" s="89"/>
      <c r="E682" s="89"/>
    </row>
    <row r="683" ht="15.75" customHeight="1">
      <c r="A683" s="89"/>
      <c r="B683" s="89"/>
      <c r="C683" s="89"/>
      <c r="D683" s="89"/>
      <c r="E683" s="89"/>
    </row>
    <row r="684" ht="15.75" customHeight="1">
      <c r="A684" s="89"/>
      <c r="B684" s="89"/>
      <c r="C684" s="89"/>
      <c r="D684" s="89"/>
      <c r="E684" s="89"/>
    </row>
    <row r="685" ht="15.75" customHeight="1">
      <c r="A685" s="89"/>
      <c r="B685" s="89"/>
      <c r="C685" s="89"/>
      <c r="D685" s="89"/>
      <c r="E685" s="89"/>
    </row>
    <row r="686" ht="15.75" customHeight="1">
      <c r="A686" s="89"/>
      <c r="B686" s="89"/>
      <c r="C686" s="89"/>
      <c r="D686" s="89"/>
      <c r="E686" s="89"/>
    </row>
    <row r="687" ht="15.75" customHeight="1">
      <c r="A687" s="89"/>
      <c r="B687" s="89"/>
      <c r="C687" s="89"/>
      <c r="D687" s="89"/>
      <c r="E687" s="89"/>
    </row>
    <row r="688" ht="15.75" customHeight="1">
      <c r="A688" s="89"/>
      <c r="B688" s="89"/>
      <c r="C688" s="89"/>
      <c r="D688" s="89"/>
      <c r="E688" s="89"/>
    </row>
    <row r="689" ht="15.75" customHeight="1">
      <c r="A689" s="89"/>
      <c r="B689" s="89"/>
      <c r="C689" s="89"/>
      <c r="D689" s="89"/>
      <c r="E689" s="89"/>
    </row>
    <row r="690" ht="15.75" customHeight="1">
      <c r="A690" s="89"/>
      <c r="B690" s="89"/>
      <c r="C690" s="89"/>
      <c r="D690" s="89"/>
      <c r="E690" s="89"/>
    </row>
    <row r="691" ht="15.75" customHeight="1">
      <c r="A691" s="89"/>
      <c r="B691" s="89"/>
      <c r="C691" s="89"/>
      <c r="D691" s="89"/>
      <c r="E691" s="89"/>
    </row>
    <row r="692" ht="15.75" customHeight="1">
      <c r="A692" s="89"/>
      <c r="B692" s="89"/>
      <c r="C692" s="89"/>
      <c r="D692" s="89"/>
      <c r="E692" s="89"/>
    </row>
    <row r="693" ht="15.75" customHeight="1">
      <c r="A693" s="89"/>
      <c r="B693" s="89"/>
      <c r="C693" s="89"/>
      <c r="D693" s="89"/>
      <c r="E693" s="89"/>
    </row>
    <row r="694" ht="15.75" customHeight="1">
      <c r="A694" s="89"/>
      <c r="B694" s="89"/>
      <c r="C694" s="89"/>
      <c r="D694" s="89"/>
      <c r="E694" s="89"/>
    </row>
    <row r="695" ht="15.75" customHeight="1">
      <c r="A695" s="89"/>
      <c r="B695" s="89"/>
      <c r="C695" s="89"/>
      <c r="D695" s="89"/>
      <c r="E695" s="89"/>
    </row>
    <row r="696" ht="15.75" customHeight="1">
      <c r="A696" s="89"/>
      <c r="B696" s="89"/>
      <c r="C696" s="89"/>
      <c r="D696" s="89"/>
      <c r="E696" s="89"/>
    </row>
    <row r="697" ht="15.75" customHeight="1">
      <c r="A697" s="89"/>
      <c r="B697" s="89"/>
      <c r="C697" s="89"/>
      <c r="D697" s="89"/>
      <c r="E697" s="89"/>
    </row>
    <row r="698" ht="15.75" customHeight="1">
      <c r="A698" s="89"/>
      <c r="B698" s="89"/>
      <c r="C698" s="89"/>
      <c r="D698" s="89"/>
      <c r="E698" s="89"/>
    </row>
    <row r="699" ht="15.75" customHeight="1">
      <c r="A699" s="89"/>
      <c r="B699" s="89"/>
      <c r="C699" s="89"/>
      <c r="D699" s="89"/>
      <c r="E699" s="89"/>
    </row>
    <row r="700" ht="15.75" customHeight="1">
      <c r="A700" s="89"/>
      <c r="B700" s="89"/>
      <c r="C700" s="89"/>
      <c r="D700" s="89"/>
      <c r="E700" s="89"/>
    </row>
    <row r="701" ht="15.75" customHeight="1">
      <c r="A701" s="89"/>
      <c r="B701" s="89"/>
      <c r="C701" s="89"/>
      <c r="D701" s="89"/>
      <c r="E701" s="89"/>
    </row>
    <row r="702" ht="15.75" customHeight="1">
      <c r="A702" s="89"/>
      <c r="B702" s="89"/>
      <c r="C702" s="89"/>
      <c r="D702" s="89"/>
      <c r="E702" s="89"/>
    </row>
    <row r="703" ht="15.75" customHeight="1">
      <c r="A703" s="89"/>
      <c r="B703" s="89"/>
      <c r="C703" s="89"/>
      <c r="D703" s="89"/>
      <c r="E703" s="89"/>
    </row>
    <row r="704" ht="15.75" customHeight="1">
      <c r="A704" s="89"/>
      <c r="B704" s="89"/>
      <c r="C704" s="89"/>
      <c r="D704" s="89"/>
      <c r="E704" s="89"/>
    </row>
    <row r="705" ht="15.75" customHeight="1">
      <c r="A705" s="89"/>
      <c r="B705" s="89"/>
      <c r="C705" s="89"/>
      <c r="D705" s="89"/>
      <c r="E705" s="89"/>
    </row>
    <row r="706" ht="15.75" customHeight="1">
      <c r="A706" s="89"/>
      <c r="B706" s="89"/>
      <c r="C706" s="89"/>
      <c r="D706" s="89"/>
      <c r="E706" s="89"/>
    </row>
    <row r="707" ht="15.75" customHeight="1">
      <c r="A707" s="89"/>
      <c r="B707" s="89"/>
      <c r="C707" s="89"/>
      <c r="D707" s="89"/>
      <c r="E707" s="89"/>
    </row>
    <row r="708" ht="15.75" customHeight="1">
      <c r="A708" s="89"/>
      <c r="B708" s="89"/>
      <c r="C708" s="89"/>
      <c r="D708" s="89"/>
      <c r="E708" s="89"/>
    </row>
    <row r="709" ht="15.75" customHeight="1">
      <c r="A709" s="89"/>
      <c r="B709" s="89"/>
      <c r="C709" s="89"/>
      <c r="D709" s="89"/>
      <c r="E709" s="89"/>
    </row>
    <row r="710" ht="15.75" customHeight="1">
      <c r="A710" s="89"/>
      <c r="B710" s="89"/>
      <c r="C710" s="89"/>
      <c r="D710" s="89"/>
      <c r="E710" s="89"/>
    </row>
    <row r="711" ht="15.75" customHeight="1">
      <c r="A711" s="89"/>
      <c r="B711" s="89"/>
      <c r="C711" s="89"/>
      <c r="D711" s="89"/>
      <c r="E711" s="89"/>
    </row>
    <row r="712" ht="15.75" customHeight="1">
      <c r="A712" s="89"/>
      <c r="B712" s="89"/>
      <c r="C712" s="89"/>
      <c r="D712" s="89"/>
      <c r="E712" s="89"/>
    </row>
    <row r="713" ht="15.75" customHeight="1">
      <c r="A713" s="89"/>
      <c r="B713" s="89"/>
      <c r="C713" s="89"/>
      <c r="D713" s="89"/>
      <c r="E713" s="89"/>
    </row>
    <row r="714" ht="15.75" customHeight="1">
      <c r="A714" s="89"/>
      <c r="B714" s="89"/>
      <c r="C714" s="89"/>
      <c r="D714" s="89"/>
      <c r="E714" s="89"/>
    </row>
    <row r="715" ht="15.75" customHeight="1">
      <c r="A715" s="89"/>
      <c r="B715" s="89"/>
      <c r="C715" s="89"/>
      <c r="D715" s="89"/>
      <c r="E715" s="89"/>
    </row>
    <row r="716" ht="15.75" customHeight="1">
      <c r="A716" s="89"/>
      <c r="B716" s="89"/>
      <c r="C716" s="89"/>
      <c r="D716" s="89"/>
      <c r="E716" s="89"/>
    </row>
    <row r="717" ht="15.75" customHeight="1">
      <c r="A717" s="89"/>
      <c r="B717" s="89"/>
      <c r="C717" s="89"/>
      <c r="D717" s="89"/>
      <c r="E717" s="89"/>
    </row>
    <row r="718" ht="15.75" customHeight="1">
      <c r="A718" s="89"/>
      <c r="B718" s="89"/>
      <c r="C718" s="89"/>
      <c r="D718" s="89"/>
      <c r="E718" s="89"/>
    </row>
    <row r="719" ht="15.75" customHeight="1">
      <c r="A719" s="89"/>
      <c r="B719" s="89"/>
      <c r="C719" s="89"/>
      <c r="D719" s="89"/>
      <c r="E719" s="89"/>
    </row>
    <row r="720" ht="15.75" customHeight="1">
      <c r="A720" s="89"/>
      <c r="B720" s="89"/>
      <c r="C720" s="89"/>
      <c r="D720" s="89"/>
      <c r="E720" s="89"/>
    </row>
    <row r="721" ht="15.75" customHeight="1">
      <c r="A721" s="89"/>
      <c r="B721" s="89"/>
      <c r="C721" s="89"/>
      <c r="D721" s="89"/>
      <c r="E721" s="89"/>
    </row>
    <row r="722" ht="15.75" customHeight="1">
      <c r="A722" s="89"/>
      <c r="B722" s="89"/>
      <c r="C722" s="89"/>
      <c r="D722" s="89"/>
      <c r="E722" s="89"/>
    </row>
    <row r="723" ht="15.75" customHeight="1">
      <c r="A723" s="89"/>
      <c r="B723" s="89"/>
      <c r="C723" s="89"/>
      <c r="D723" s="89"/>
      <c r="E723" s="89"/>
    </row>
    <row r="724" ht="15.75" customHeight="1">
      <c r="A724" s="89"/>
      <c r="B724" s="89"/>
      <c r="C724" s="89"/>
      <c r="D724" s="89"/>
      <c r="E724" s="89"/>
    </row>
    <row r="725" ht="15.75" customHeight="1">
      <c r="A725" s="89"/>
      <c r="B725" s="89"/>
      <c r="C725" s="89"/>
      <c r="D725" s="89"/>
      <c r="E725" s="89"/>
    </row>
    <row r="726" ht="15.75" customHeight="1">
      <c r="A726" s="89"/>
      <c r="B726" s="89"/>
      <c r="C726" s="89"/>
      <c r="D726" s="89"/>
      <c r="E726" s="89"/>
    </row>
    <row r="727" ht="15.75" customHeight="1">
      <c r="A727" s="89"/>
      <c r="B727" s="89"/>
      <c r="C727" s="89"/>
      <c r="D727" s="89"/>
      <c r="E727" s="89"/>
    </row>
    <row r="728" ht="15.75" customHeight="1">
      <c r="A728" s="89"/>
      <c r="B728" s="89"/>
      <c r="C728" s="89"/>
      <c r="D728" s="89"/>
      <c r="E728" s="89"/>
    </row>
    <row r="729" ht="15.75" customHeight="1">
      <c r="A729" s="89"/>
      <c r="B729" s="89"/>
      <c r="C729" s="89"/>
      <c r="D729" s="89"/>
      <c r="E729" s="89"/>
    </row>
    <row r="730" ht="15.75" customHeight="1">
      <c r="A730" s="89"/>
      <c r="B730" s="89"/>
      <c r="C730" s="89"/>
      <c r="D730" s="89"/>
      <c r="E730" s="89"/>
    </row>
    <row r="731" ht="15.75" customHeight="1">
      <c r="A731" s="89"/>
      <c r="B731" s="89"/>
      <c r="C731" s="89"/>
      <c r="D731" s="89"/>
      <c r="E731" s="89"/>
    </row>
    <row r="732" ht="15.75" customHeight="1">
      <c r="A732" s="89"/>
      <c r="B732" s="89"/>
      <c r="C732" s="89"/>
      <c r="D732" s="89"/>
      <c r="E732" s="89"/>
    </row>
    <row r="733" ht="15.75" customHeight="1">
      <c r="A733" s="89"/>
      <c r="B733" s="89"/>
      <c r="C733" s="89"/>
      <c r="D733" s="89"/>
      <c r="E733" s="89"/>
    </row>
    <row r="734" ht="15.75" customHeight="1">
      <c r="A734" s="89"/>
      <c r="B734" s="89"/>
      <c r="C734" s="89"/>
      <c r="D734" s="89"/>
      <c r="E734" s="89"/>
    </row>
    <row r="735" ht="15.75" customHeight="1">
      <c r="A735" s="89"/>
      <c r="B735" s="89"/>
      <c r="C735" s="89"/>
      <c r="D735" s="89"/>
      <c r="E735" s="89"/>
    </row>
    <row r="736" ht="15.75" customHeight="1">
      <c r="A736" s="89"/>
      <c r="B736" s="89"/>
      <c r="C736" s="89"/>
      <c r="D736" s="89"/>
      <c r="E736" s="89"/>
    </row>
    <row r="737" ht="15.75" customHeight="1">
      <c r="A737" s="89"/>
      <c r="B737" s="89"/>
      <c r="C737" s="89"/>
      <c r="D737" s="89"/>
      <c r="E737" s="89"/>
    </row>
    <row r="738" ht="15.75" customHeight="1">
      <c r="A738" s="89"/>
      <c r="B738" s="89"/>
      <c r="C738" s="89"/>
      <c r="D738" s="89"/>
      <c r="E738" s="89"/>
    </row>
    <row r="739" ht="15.75" customHeight="1">
      <c r="A739" s="89"/>
      <c r="B739" s="89"/>
      <c r="C739" s="89"/>
      <c r="D739" s="89"/>
      <c r="E739" s="89"/>
    </row>
    <row r="740" ht="15.75" customHeight="1">
      <c r="A740" s="89"/>
      <c r="B740" s="89"/>
      <c r="C740" s="89"/>
      <c r="D740" s="89"/>
      <c r="E740" s="89"/>
    </row>
    <row r="741" ht="15.75" customHeight="1">
      <c r="A741" s="89"/>
      <c r="B741" s="89"/>
      <c r="C741" s="89"/>
      <c r="D741" s="89"/>
      <c r="E741" s="89"/>
    </row>
    <row r="742" ht="15.75" customHeight="1">
      <c r="A742" s="89"/>
      <c r="B742" s="89"/>
      <c r="C742" s="89"/>
      <c r="D742" s="89"/>
      <c r="E742" s="89"/>
    </row>
    <row r="743" ht="15.75" customHeight="1">
      <c r="A743" s="89"/>
      <c r="B743" s="89"/>
      <c r="C743" s="89"/>
      <c r="D743" s="89"/>
      <c r="E743" s="89"/>
    </row>
    <row r="744" ht="15.75" customHeight="1">
      <c r="A744" s="89"/>
      <c r="B744" s="89"/>
      <c r="C744" s="89"/>
      <c r="D744" s="89"/>
      <c r="E744" s="89"/>
    </row>
    <row r="745" ht="15.75" customHeight="1">
      <c r="A745" s="89"/>
      <c r="B745" s="89"/>
      <c r="C745" s="89"/>
      <c r="D745" s="89"/>
      <c r="E745" s="89"/>
    </row>
    <row r="746" ht="15.75" customHeight="1">
      <c r="A746" s="89"/>
      <c r="B746" s="89"/>
      <c r="C746" s="89"/>
      <c r="D746" s="89"/>
      <c r="E746" s="89"/>
    </row>
    <row r="747" ht="15.75" customHeight="1">
      <c r="A747" s="89"/>
      <c r="B747" s="89"/>
      <c r="C747" s="89"/>
      <c r="D747" s="89"/>
      <c r="E747" s="89"/>
    </row>
    <row r="748" ht="15.75" customHeight="1">
      <c r="A748" s="89"/>
      <c r="B748" s="89"/>
      <c r="C748" s="89"/>
      <c r="D748" s="89"/>
      <c r="E748" s="89"/>
    </row>
    <row r="749" ht="15.75" customHeight="1">
      <c r="A749" s="89"/>
      <c r="B749" s="89"/>
      <c r="C749" s="89"/>
      <c r="D749" s="89"/>
      <c r="E749" s="89"/>
    </row>
    <row r="750" ht="15.75" customHeight="1">
      <c r="A750" s="89"/>
      <c r="B750" s="89"/>
      <c r="C750" s="89"/>
      <c r="D750" s="89"/>
      <c r="E750" s="89"/>
    </row>
    <row r="751" ht="15.75" customHeight="1">
      <c r="A751" s="89"/>
      <c r="B751" s="89"/>
      <c r="C751" s="89"/>
      <c r="D751" s="89"/>
      <c r="E751" s="89"/>
    </row>
    <row r="752" ht="15.75" customHeight="1">
      <c r="A752" s="89"/>
      <c r="B752" s="89"/>
      <c r="C752" s="89"/>
      <c r="D752" s="89"/>
      <c r="E752" s="89"/>
    </row>
    <row r="753" ht="15.75" customHeight="1">
      <c r="A753" s="89"/>
      <c r="B753" s="89"/>
      <c r="C753" s="89"/>
      <c r="D753" s="89"/>
      <c r="E753" s="89"/>
    </row>
    <row r="754" ht="15.75" customHeight="1">
      <c r="A754" s="89"/>
      <c r="B754" s="89"/>
      <c r="C754" s="89"/>
      <c r="D754" s="89"/>
      <c r="E754" s="89"/>
    </row>
    <row r="755" ht="15.75" customHeight="1">
      <c r="A755" s="89"/>
      <c r="B755" s="89"/>
      <c r="C755" s="89"/>
      <c r="D755" s="89"/>
      <c r="E755" s="89"/>
    </row>
    <row r="756" ht="15.75" customHeight="1">
      <c r="A756" s="89"/>
      <c r="B756" s="89"/>
      <c r="C756" s="89"/>
      <c r="D756" s="89"/>
      <c r="E756" s="89"/>
    </row>
    <row r="757" ht="15.75" customHeight="1">
      <c r="A757" s="89"/>
      <c r="B757" s="89"/>
      <c r="C757" s="89"/>
      <c r="D757" s="89"/>
      <c r="E757" s="89"/>
    </row>
    <row r="758" ht="15.75" customHeight="1">
      <c r="A758" s="89"/>
      <c r="B758" s="89"/>
      <c r="C758" s="89"/>
      <c r="D758" s="89"/>
      <c r="E758" s="89"/>
    </row>
    <row r="759" ht="15.75" customHeight="1">
      <c r="A759" s="89"/>
      <c r="B759" s="89"/>
      <c r="C759" s="89"/>
      <c r="D759" s="89"/>
      <c r="E759" s="89"/>
    </row>
    <row r="760" ht="15.75" customHeight="1">
      <c r="A760" s="89"/>
      <c r="B760" s="89"/>
      <c r="C760" s="89"/>
      <c r="D760" s="89"/>
      <c r="E760" s="89"/>
    </row>
    <row r="761" ht="15.75" customHeight="1">
      <c r="A761" s="89"/>
      <c r="B761" s="89"/>
      <c r="C761" s="89"/>
      <c r="D761" s="89"/>
      <c r="E761" s="89"/>
    </row>
    <row r="762" ht="15.75" customHeight="1">
      <c r="A762" s="89"/>
      <c r="B762" s="89"/>
      <c r="C762" s="89"/>
      <c r="D762" s="89"/>
      <c r="E762" s="89"/>
    </row>
    <row r="763" ht="15.75" customHeight="1">
      <c r="A763" s="89"/>
      <c r="B763" s="89"/>
      <c r="C763" s="89"/>
      <c r="D763" s="89"/>
      <c r="E763" s="89"/>
    </row>
    <row r="764" ht="15.75" customHeight="1">
      <c r="A764" s="89"/>
      <c r="B764" s="89"/>
      <c r="C764" s="89"/>
      <c r="D764" s="89"/>
      <c r="E764" s="89"/>
    </row>
    <row r="765" ht="15.75" customHeight="1">
      <c r="A765" s="89"/>
      <c r="B765" s="89"/>
      <c r="C765" s="89"/>
      <c r="D765" s="89"/>
      <c r="E765" s="89"/>
    </row>
    <row r="766" ht="15.75" customHeight="1">
      <c r="A766" s="89"/>
      <c r="B766" s="89"/>
      <c r="C766" s="89"/>
      <c r="D766" s="89"/>
      <c r="E766" s="89"/>
    </row>
    <row r="767" ht="15.75" customHeight="1">
      <c r="A767" s="89"/>
      <c r="B767" s="89"/>
      <c r="C767" s="89"/>
      <c r="D767" s="89"/>
      <c r="E767" s="89"/>
    </row>
    <row r="768" ht="15.75" customHeight="1">
      <c r="A768" s="89"/>
      <c r="B768" s="89"/>
      <c r="C768" s="89"/>
      <c r="D768" s="89"/>
      <c r="E768" s="89"/>
    </row>
    <row r="769" ht="15.75" customHeight="1">
      <c r="A769" s="89"/>
      <c r="B769" s="89"/>
      <c r="C769" s="89"/>
      <c r="D769" s="89"/>
      <c r="E769" s="89"/>
    </row>
    <row r="770" ht="15.75" customHeight="1">
      <c r="A770" s="89"/>
      <c r="B770" s="89"/>
      <c r="C770" s="89"/>
      <c r="D770" s="89"/>
      <c r="E770" s="89"/>
    </row>
    <row r="771" ht="15.75" customHeight="1">
      <c r="A771" s="89"/>
      <c r="B771" s="89"/>
      <c r="C771" s="89"/>
      <c r="D771" s="89"/>
      <c r="E771" s="89"/>
    </row>
    <row r="772" ht="15.75" customHeight="1">
      <c r="A772" s="89"/>
      <c r="B772" s="89"/>
      <c r="C772" s="89"/>
      <c r="D772" s="89"/>
      <c r="E772" s="89"/>
    </row>
    <row r="773" ht="15.75" customHeight="1">
      <c r="A773" s="89"/>
      <c r="B773" s="89"/>
      <c r="C773" s="89"/>
      <c r="D773" s="89"/>
      <c r="E773" s="89"/>
    </row>
    <row r="774" ht="15.75" customHeight="1">
      <c r="A774" s="89"/>
      <c r="B774" s="89"/>
      <c r="C774" s="89"/>
      <c r="D774" s="89"/>
      <c r="E774" s="89"/>
    </row>
    <row r="775" ht="15.75" customHeight="1">
      <c r="A775" s="89"/>
      <c r="B775" s="89"/>
      <c r="C775" s="89"/>
      <c r="D775" s="89"/>
      <c r="E775" s="89"/>
    </row>
    <row r="776" ht="15.75" customHeight="1">
      <c r="A776" s="89"/>
      <c r="B776" s="89"/>
      <c r="C776" s="89"/>
      <c r="D776" s="89"/>
      <c r="E776" s="89"/>
    </row>
    <row r="777" ht="15.75" customHeight="1">
      <c r="A777" s="89"/>
      <c r="B777" s="89"/>
      <c r="C777" s="89"/>
      <c r="D777" s="89"/>
      <c r="E777" s="89"/>
    </row>
    <row r="778" ht="15.75" customHeight="1">
      <c r="A778" s="89"/>
      <c r="B778" s="89"/>
      <c r="C778" s="89"/>
      <c r="D778" s="89"/>
      <c r="E778" s="89"/>
    </row>
    <row r="779" ht="15.75" customHeight="1">
      <c r="A779" s="89"/>
      <c r="B779" s="89"/>
      <c r="C779" s="89"/>
      <c r="D779" s="89"/>
      <c r="E779" s="89"/>
    </row>
    <row r="780" ht="15.75" customHeight="1">
      <c r="A780" s="89"/>
      <c r="B780" s="89"/>
      <c r="C780" s="89"/>
      <c r="D780" s="89"/>
      <c r="E780" s="89"/>
    </row>
    <row r="781" ht="15.75" customHeight="1">
      <c r="A781" s="89"/>
      <c r="B781" s="89"/>
      <c r="C781" s="89"/>
      <c r="D781" s="89"/>
      <c r="E781" s="89"/>
    </row>
    <row r="782" ht="15.75" customHeight="1">
      <c r="A782" s="89"/>
      <c r="B782" s="89"/>
      <c r="C782" s="89"/>
      <c r="D782" s="89"/>
      <c r="E782" s="89"/>
    </row>
    <row r="783" ht="15.75" customHeight="1">
      <c r="A783" s="89"/>
      <c r="B783" s="89"/>
      <c r="C783" s="89"/>
      <c r="D783" s="89"/>
      <c r="E783" s="89"/>
    </row>
    <row r="784" ht="15.75" customHeight="1">
      <c r="A784" s="89"/>
      <c r="B784" s="89"/>
      <c r="C784" s="89"/>
      <c r="D784" s="89"/>
      <c r="E784" s="89"/>
    </row>
    <row r="785" ht="15.75" customHeight="1">
      <c r="A785" s="89"/>
      <c r="B785" s="89"/>
      <c r="C785" s="89"/>
      <c r="D785" s="89"/>
      <c r="E785" s="89"/>
    </row>
    <row r="786" ht="15.75" customHeight="1">
      <c r="A786" s="89"/>
      <c r="B786" s="89"/>
      <c r="C786" s="89"/>
      <c r="D786" s="89"/>
      <c r="E786" s="89"/>
    </row>
    <row r="787" ht="15.75" customHeight="1">
      <c r="A787" s="89"/>
      <c r="B787" s="89"/>
      <c r="C787" s="89"/>
      <c r="D787" s="89"/>
      <c r="E787" s="89"/>
    </row>
    <row r="788" ht="15.75" customHeight="1">
      <c r="A788" s="89"/>
      <c r="B788" s="89"/>
      <c r="C788" s="89"/>
      <c r="D788" s="89"/>
      <c r="E788" s="89"/>
    </row>
    <row r="789" ht="15.75" customHeight="1">
      <c r="A789" s="89"/>
      <c r="B789" s="89"/>
      <c r="C789" s="89"/>
      <c r="D789" s="89"/>
      <c r="E789" s="89"/>
    </row>
    <row r="790" ht="15.75" customHeight="1">
      <c r="A790" s="89"/>
      <c r="B790" s="89"/>
      <c r="C790" s="89"/>
      <c r="D790" s="89"/>
      <c r="E790" s="89"/>
    </row>
    <row r="791" ht="15.75" customHeight="1">
      <c r="A791" s="89"/>
      <c r="B791" s="89"/>
      <c r="C791" s="89"/>
      <c r="D791" s="89"/>
      <c r="E791" s="89"/>
    </row>
    <row r="792" ht="15.75" customHeight="1">
      <c r="A792" s="89"/>
      <c r="B792" s="89"/>
      <c r="C792" s="89"/>
      <c r="D792" s="89"/>
      <c r="E792" s="89"/>
    </row>
    <row r="793" ht="15.75" customHeight="1">
      <c r="A793" s="89"/>
      <c r="B793" s="89"/>
      <c r="C793" s="89"/>
      <c r="D793" s="89"/>
      <c r="E793" s="89"/>
    </row>
    <row r="794" ht="15.75" customHeight="1">
      <c r="A794" s="89"/>
      <c r="B794" s="89"/>
      <c r="C794" s="89"/>
      <c r="D794" s="89"/>
      <c r="E794" s="89"/>
    </row>
    <row r="795" ht="15.75" customHeight="1">
      <c r="A795" s="89"/>
      <c r="B795" s="89"/>
      <c r="C795" s="89"/>
      <c r="D795" s="89"/>
      <c r="E795" s="89"/>
    </row>
    <row r="796" ht="15.75" customHeight="1">
      <c r="A796" s="89"/>
      <c r="B796" s="89"/>
      <c r="C796" s="89"/>
      <c r="D796" s="89"/>
      <c r="E796" s="89"/>
    </row>
    <row r="797" ht="15.75" customHeight="1">
      <c r="A797" s="89"/>
      <c r="B797" s="89"/>
      <c r="C797" s="89"/>
      <c r="D797" s="89"/>
      <c r="E797" s="89"/>
    </row>
    <row r="798" ht="15.75" customHeight="1">
      <c r="A798" s="89"/>
      <c r="B798" s="89"/>
      <c r="C798" s="89"/>
      <c r="D798" s="89"/>
      <c r="E798" s="89"/>
    </row>
    <row r="799" ht="15.75" customHeight="1">
      <c r="A799" s="89"/>
      <c r="B799" s="89"/>
      <c r="C799" s="89"/>
      <c r="D799" s="89"/>
      <c r="E799" s="89"/>
    </row>
    <row r="800" ht="15.75" customHeight="1">
      <c r="A800" s="89"/>
      <c r="B800" s="89"/>
      <c r="C800" s="89"/>
      <c r="D800" s="89"/>
      <c r="E800" s="89"/>
    </row>
    <row r="801" ht="15.75" customHeight="1">
      <c r="A801" s="89"/>
      <c r="B801" s="89"/>
      <c r="C801" s="89"/>
      <c r="D801" s="89"/>
      <c r="E801" s="89"/>
    </row>
    <row r="802" ht="15.75" customHeight="1">
      <c r="A802" s="89"/>
      <c r="B802" s="89"/>
      <c r="C802" s="89"/>
      <c r="D802" s="89"/>
      <c r="E802" s="89"/>
    </row>
    <row r="803" ht="15.75" customHeight="1">
      <c r="A803" s="89"/>
      <c r="B803" s="89"/>
      <c r="C803" s="89"/>
      <c r="D803" s="89"/>
      <c r="E803" s="89"/>
    </row>
    <row r="804" ht="15.75" customHeight="1">
      <c r="A804" s="89"/>
      <c r="B804" s="89"/>
      <c r="C804" s="89"/>
      <c r="D804" s="89"/>
      <c r="E804" s="89"/>
    </row>
    <row r="805" ht="15.75" customHeight="1">
      <c r="A805" s="89"/>
      <c r="B805" s="89"/>
      <c r="C805" s="89"/>
      <c r="D805" s="89"/>
      <c r="E805" s="89"/>
    </row>
    <row r="806" ht="15.75" customHeight="1">
      <c r="A806" s="89"/>
      <c r="B806" s="89"/>
      <c r="C806" s="89"/>
      <c r="D806" s="89"/>
      <c r="E806" s="89"/>
    </row>
    <row r="807" ht="15.75" customHeight="1">
      <c r="A807" s="89"/>
      <c r="B807" s="89"/>
      <c r="C807" s="89"/>
      <c r="D807" s="89"/>
      <c r="E807" s="89"/>
    </row>
    <row r="808" ht="15.75" customHeight="1">
      <c r="A808" s="89"/>
      <c r="B808" s="89"/>
      <c r="C808" s="89"/>
      <c r="D808" s="89"/>
      <c r="E808" s="89"/>
    </row>
    <row r="809" ht="15.75" customHeight="1">
      <c r="A809" s="89"/>
      <c r="B809" s="89"/>
      <c r="C809" s="89"/>
      <c r="D809" s="89"/>
      <c r="E809" s="89"/>
    </row>
    <row r="810" ht="15.75" customHeight="1">
      <c r="A810" s="89"/>
      <c r="B810" s="89"/>
      <c r="C810" s="89"/>
      <c r="D810" s="89"/>
      <c r="E810" s="89"/>
    </row>
    <row r="811" ht="15.75" customHeight="1">
      <c r="A811" s="89"/>
      <c r="B811" s="89"/>
      <c r="C811" s="89"/>
      <c r="D811" s="89"/>
      <c r="E811" s="89"/>
    </row>
    <row r="812" ht="15.75" customHeight="1">
      <c r="A812" s="89"/>
      <c r="B812" s="89"/>
      <c r="C812" s="89"/>
      <c r="D812" s="89"/>
      <c r="E812" s="89"/>
    </row>
    <row r="813" ht="15.75" customHeight="1">
      <c r="A813" s="89"/>
      <c r="B813" s="89"/>
      <c r="C813" s="89"/>
      <c r="D813" s="89"/>
      <c r="E813" s="89"/>
    </row>
    <row r="814" ht="15.75" customHeight="1">
      <c r="A814" s="89"/>
      <c r="B814" s="89"/>
      <c r="C814" s="89"/>
      <c r="D814" s="89"/>
      <c r="E814" s="89"/>
    </row>
    <row r="815" ht="15.75" customHeight="1">
      <c r="A815" s="89"/>
      <c r="B815" s="89"/>
      <c r="C815" s="89"/>
      <c r="D815" s="89"/>
      <c r="E815" s="89"/>
    </row>
    <row r="816" ht="15.75" customHeight="1">
      <c r="A816" s="89"/>
      <c r="B816" s="89"/>
      <c r="C816" s="89"/>
      <c r="D816" s="89"/>
      <c r="E816" s="89"/>
    </row>
    <row r="817" ht="15.75" customHeight="1">
      <c r="A817" s="89"/>
      <c r="B817" s="89"/>
      <c r="C817" s="89"/>
      <c r="D817" s="89"/>
      <c r="E817" s="89"/>
    </row>
    <row r="818" ht="15.75" customHeight="1">
      <c r="A818" s="89"/>
      <c r="B818" s="89"/>
      <c r="C818" s="89"/>
      <c r="D818" s="89"/>
      <c r="E818" s="89"/>
    </row>
    <row r="819" ht="15.75" customHeight="1">
      <c r="A819" s="89"/>
      <c r="B819" s="89"/>
      <c r="C819" s="89"/>
      <c r="D819" s="89"/>
      <c r="E819" s="89"/>
    </row>
    <row r="820" ht="15.75" customHeight="1">
      <c r="A820" s="89"/>
      <c r="B820" s="89"/>
      <c r="C820" s="89"/>
      <c r="D820" s="89"/>
      <c r="E820" s="89"/>
    </row>
    <row r="821" ht="15.75" customHeight="1">
      <c r="A821" s="89"/>
      <c r="B821" s="89"/>
      <c r="C821" s="89"/>
      <c r="D821" s="89"/>
      <c r="E821" s="89"/>
    </row>
    <row r="822" ht="15.75" customHeight="1">
      <c r="A822" s="89"/>
      <c r="B822" s="89"/>
      <c r="C822" s="89"/>
      <c r="D822" s="89"/>
      <c r="E822" s="89"/>
    </row>
    <row r="823" ht="15.75" customHeight="1">
      <c r="A823" s="89"/>
      <c r="B823" s="89"/>
      <c r="C823" s="89"/>
      <c r="D823" s="89"/>
      <c r="E823" s="89"/>
    </row>
    <row r="824" ht="15.75" customHeight="1">
      <c r="A824" s="89"/>
      <c r="B824" s="89"/>
      <c r="C824" s="89"/>
      <c r="D824" s="89"/>
      <c r="E824" s="89"/>
    </row>
    <row r="825" ht="15.75" customHeight="1">
      <c r="A825" s="89"/>
      <c r="B825" s="89"/>
      <c r="C825" s="89"/>
      <c r="D825" s="89"/>
      <c r="E825" s="89"/>
    </row>
    <row r="826" ht="15.75" customHeight="1">
      <c r="A826" s="89"/>
      <c r="B826" s="89"/>
      <c r="C826" s="89"/>
      <c r="D826" s="89"/>
      <c r="E826" s="89"/>
    </row>
    <row r="827" ht="15.75" customHeight="1">
      <c r="A827" s="89"/>
      <c r="B827" s="89"/>
      <c r="C827" s="89"/>
      <c r="D827" s="89"/>
      <c r="E827" s="89"/>
    </row>
    <row r="828" ht="15.75" customHeight="1">
      <c r="A828" s="89"/>
      <c r="B828" s="89"/>
      <c r="C828" s="89"/>
      <c r="D828" s="89"/>
      <c r="E828" s="89"/>
    </row>
    <row r="829" ht="15.75" customHeight="1">
      <c r="A829" s="89"/>
      <c r="B829" s="89"/>
      <c r="C829" s="89"/>
      <c r="D829" s="89"/>
      <c r="E829" s="89"/>
    </row>
    <row r="830" ht="15.75" customHeight="1">
      <c r="A830" s="89"/>
      <c r="B830" s="89"/>
      <c r="C830" s="89"/>
      <c r="D830" s="89"/>
      <c r="E830" s="89"/>
    </row>
    <row r="831" ht="15.75" customHeight="1">
      <c r="A831" s="89"/>
      <c r="B831" s="89"/>
      <c r="C831" s="89"/>
      <c r="D831" s="89"/>
      <c r="E831" s="89"/>
    </row>
    <row r="832" ht="15.75" customHeight="1">
      <c r="A832" s="89"/>
      <c r="B832" s="89"/>
      <c r="C832" s="89"/>
      <c r="D832" s="89"/>
      <c r="E832" s="89"/>
    </row>
    <row r="833" ht="15.75" customHeight="1">
      <c r="A833" s="89"/>
      <c r="B833" s="89"/>
      <c r="C833" s="89"/>
      <c r="D833" s="89"/>
      <c r="E833" s="89"/>
    </row>
    <row r="834" ht="15.75" customHeight="1">
      <c r="A834" s="89"/>
      <c r="B834" s="89"/>
      <c r="C834" s="89"/>
      <c r="D834" s="89"/>
      <c r="E834" s="89"/>
    </row>
    <row r="835" ht="15.75" customHeight="1">
      <c r="A835" s="89"/>
      <c r="B835" s="89"/>
      <c r="C835" s="89"/>
      <c r="D835" s="89"/>
      <c r="E835" s="89"/>
    </row>
    <row r="836" ht="15.75" customHeight="1">
      <c r="A836" s="89"/>
      <c r="B836" s="89"/>
      <c r="C836" s="89"/>
      <c r="D836" s="89"/>
      <c r="E836" s="89"/>
    </row>
    <row r="837" ht="15.75" customHeight="1">
      <c r="A837" s="89"/>
      <c r="B837" s="89"/>
      <c r="C837" s="89"/>
      <c r="D837" s="89"/>
      <c r="E837" s="89"/>
    </row>
    <row r="838" ht="15.75" customHeight="1">
      <c r="A838" s="89"/>
      <c r="B838" s="89"/>
      <c r="C838" s="89"/>
      <c r="D838" s="89"/>
      <c r="E838" s="89"/>
    </row>
    <row r="839" ht="15.75" customHeight="1">
      <c r="A839" s="89"/>
      <c r="B839" s="89"/>
      <c r="C839" s="89"/>
      <c r="D839" s="89"/>
      <c r="E839" s="89"/>
    </row>
    <row r="840" ht="15.75" customHeight="1">
      <c r="A840" s="89"/>
      <c r="B840" s="89"/>
      <c r="C840" s="89"/>
      <c r="D840" s="89"/>
      <c r="E840" s="89"/>
    </row>
    <row r="841" ht="15.75" customHeight="1">
      <c r="A841" s="89"/>
      <c r="B841" s="89"/>
      <c r="C841" s="89"/>
      <c r="D841" s="89"/>
      <c r="E841" s="89"/>
    </row>
    <row r="842" ht="15.75" customHeight="1">
      <c r="A842" s="89"/>
      <c r="B842" s="89"/>
      <c r="C842" s="89"/>
      <c r="D842" s="89"/>
      <c r="E842" s="89"/>
    </row>
    <row r="843" ht="15.75" customHeight="1">
      <c r="A843" s="89"/>
      <c r="B843" s="89"/>
      <c r="C843" s="89"/>
      <c r="D843" s="89"/>
      <c r="E843" s="89"/>
    </row>
    <row r="844" ht="15.75" customHeight="1">
      <c r="A844" s="89"/>
      <c r="B844" s="89"/>
      <c r="C844" s="89"/>
      <c r="D844" s="89"/>
      <c r="E844" s="89"/>
    </row>
    <row r="845" ht="15.75" customHeight="1">
      <c r="A845" s="89"/>
      <c r="B845" s="89"/>
      <c r="C845" s="89"/>
      <c r="D845" s="89"/>
      <c r="E845" s="89"/>
    </row>
    <row r="846" ht="15.75" customHeight="1">
      <c r="A846" s="89"/>
      <c r="B846" s="89"/>
      <c r="C846" s="89"/>
      <c r="D846" s="89"/>
      <c r="E846" s="89"/>
    </row>
    <row r="847" ht="15.75" customHeight="1">
      <c r="A847" s="89"/>
      <c r="B847" s="89"/>
      <c r="C847" s="89"/>
      <c r="D847" s="89"/>
      <c r="E847" s="89"/>
    </row>
    <row r="848" ht="15.75" customHeight="1">
      <c r="A848" s="89"/>
      <c r="B848" s="89"/>
      <c r="C848" s="89"/>
      <c r="D848" s="89"/>
      <c r="E848" s="89"/>
    </row>
    <row r="849" ht="15.75" customHeight="1">
      <c r="A849" s="89"/>
      <c r="B849" s="89"/>
      <c r="C849" s="89"/>
      <c r="D849" s="89"/>
      <c r="E849" s="89"/>
    </row>
    <row r="850" ht="15.75" customHeight="1">
      <c r="A850" s="89"/>
      <c r="B850" s="89"/>
      <c r="C850" s="89"/>
      <c r="D850" s="89"/>
      <c r="E850" s="89"/>
    </row>
    <row r="851" ht="15.75" customHeight="1">
      <c r="A851" s="89"/>
      <c r="B851" s="89"/>
      <c r="C851" s="89"/>
      <c r="D851" s="89"/>
      <c r="E851" s="89"/>
    </row>
    <row r="852" ht="15.75" customHeight="1">
      <c r="A852" s="89"/>
      <c r="B852" s="89"/>
      <c r="C852" s="89"/>
      <c r="D852" s="89"/>
      <c r="E852" s="89"/>
    </row>
    <row r="853" ht="15.75" customHeight="1">
      <c r="A853" s="89"/>
      <c r="B853" s="89"/>
      <c r="C853" s="89"/>
      <c r="D853" s="89"/>
      <c r="E853" s="89"/>
    </row>
    <row r="854" ht="15.75" customHeight="1">
      <c r="A854" s="89"/>
      <c r="B854" s="89"/>
      <c r="C854" s="89"/>
      <c r="D854" s="89"/>
      <c r="E854" s="89"/>
    </row>
    <row r="855" ht="15.75" customHeight="1">
      <c r="A855" s="89"/>
      <c r="B855" s="89"/>
      <c r="C855" s="89"/>
      <c r="D855" s="89"/>
      <c r="E855" s="89"/>
    </row>
    <row r="856" ht="15.75" customHeight="1">
      <c r="A856" s="89"/>
      <c r="B856" s="89"/>
      <c r="C856" s="89"/>
      <c r="D856" s="89"/>
      <c r="E856" s="89"/>
    </row>
    <row r="857" ht="15.75" customHeight="1">
      <c r="A857" s="89"/>
      <c r="B857" s="89"/>
      <c r="C857" s="89"/>
      <c r="D857" s="89"/>
      <c r="E857" s="89"/>
    </row>
    <row r="858" ht="15.75" customHeight="1">
      <c r="A858" s="89"/>
      <c r="B858" s="89"/>
      <c r="C858" s="89"/>
      <c r="D858" s="89"/>
      <c r="E858" s="89"/>
    </row>
    <row r="859" ht="15.75" customHeight="1">
      <c r="A859" s="89"/>
      <c r="B859" s="89"/>
      <c r="C859" s="89"/>
      <c r="D859" s="89"/>
      <c r="E859" s="89"/>
    </row>
    <row r="860" ht="15.75" customHeight="1">
      <c r="A860" s="89"/>
      <c r="B860" s="89"/>
      <c r="C860" s="89"/>
      <c r="D860" s="89"/>
      <c r="E860" s="89"/>
    </row>
    <row r="861" ht="15.75" customHeight="1">
      <c r="A861" s="89"/>
      <c r="B861" s="89"/>
      <c r="C861" s="89"/>
      <c r="D861" s="89"/>
      <c r="E861" s="89"/>
    </row>
    <row r="862" ht="15.75" customHeight="1">
      <c r="A862" s="89"/>
      <c r="B862" s="89"/>
      <c r="C862" s="89"/>
      <c r="D862" s="89"/>
      <c r="E862" s="89"/>
    </row>
    <row r="863" ht="15.75" customHeight="1">
      <c r="A863" s="89"/>
      <c r="B863" s="89"/>
      <c r="C863" s="89"/>
      <c r="D863" s="89"/>
      <c r="E863" s="89"/>
    </row>
    <row r="864" ht="15.75" customHeight="1">
      <c r="A864" s="89"/>
      <c r="B864" s="89"/>
      <c r="C864" s="89"/>
      <c r="D864" s="89"/>
      <c r="E864" s="89"/>
    </row>
    <row r="865" ht="15.75" customHeight="1">
      <c r="A865" s="89"/>
      <c r="B865" s="89"/>
      <c r="C865" s="89"/>
      <c r="D865" s="89"/>
      <c r="E865" s="89"/>
    </row>
    <row r="866" ht="15.75" customHeight="1">
      <c r="A866" s="89"/>
      <c r="B866" s="89"/>
      <c r="C866" s="89"/>
      <c r="D866" s="89"/>
      <c r="E866" s="89"/>
    </row>
    <row r="867" ht="15.75" customHeight="1">
      <c r="A867" s="89"/>
      <c r="B867" s="89"/>
      <c r="C867" s="89"/>
      <c r="D867" s="89"/>
      <c r="E867" s="89"/>
    </row>
    <row r="868" ht="15.75" customHeight="1">
      <c r="A868" s="89"/>
      <c r="B868" s="89"/>
      <c r="C868" s="89"/>
      <c r="D868" s="89"/>
      <c r="E868" s="89"/>
    </row>
    <row r="869" ht="15.75" customHeight="1">
      <c r="A869" s="89"/>
      <c r="B869" s="89"/>
      <c r="C869" s="89"/>
      <c r="D869" s="89"/>
      <c r="E869" s="89"/>
    </row>
    <row r="870" ht="15.75" customHeight="1">
      <c r="A870" s="89"/>
      <c r="B870" s="89"/>
      <c r="C870" s="89"/>
      <c r="D870" s="89"/>
      <c r="E870" s="89"/>
    </row>
    <row r="871" ht="15.75" customHeight="1">
      <c r="A871" s="89"/>
      <c r="B871" s="89"/>
      <c r="C871" s="89"/>
      <c r="D871" s="89"/>
      <c r="E871" s="89"/>
    </row>
    <row r="872" ht="15.75" customHeight="1">
      <c r="A872" s="89"/>
      <c r="B872" s="89"/>
      <c r="C872" s="89"/>
      <c r="D872" s="89"/>
      <c r="E872" s="89"/>
    </row>
    <row r="873" ht="15.75" customHeight="1">
      <c r="A873" s="89"/>
      <c r="B873" s="89"/>
      <c r="C873" s="89"/>
      <c r="D873" s="89"/>
      <c r="E873" s="89"/>
    </row>
    <row r="874" ht="15.75" customHeight="1">
      <c r="A874" s="89"/>
      <c r="B874" s="89"/>
      <c r="C874" s="89"/>
      <c r="D874" s="89"/>
      <c r="E874" s="89"/>
    </row>
    <row r="875" ht="15.75" customHeight="1">
      <c r="A875" s="89"/>
      <c r="B875" s="89"/>
      <c r="C875" s="89"/>
      <c r="D875" s="89"/>
      <c r="E875" s="89"/>
    </row>
    <row r="876" ht="15.75" customHeight="1">
      <c r="A876" s="89"/>
      <c r="B876" s="89"/>
      <c r="C876" s="89"/>
      <c r="D876" s="89"/>
      <c r="E876" s="89"/>
    </row>
    <row r="877" ht="15.75" customHeight="1">
      <c r="A877" s="89"/>
      <c r="B877" s="89"/>
      <c r="C877" s="89"/>
      <c r="D877" s="89"/>
      <c r="E877" s="89"/>
    </row>
    <row r="878" ht="15.75" customHeight="1">
      <c r="A878" s="89"/>
      <c r="B878" s="89"/>
      <c r="C878" s="89"/>
      <c r="D878" s="89"/>
      <c r="E878" s="89"/>
    </row>
    <row r="879" ht="15.75" customHeight="1">
      <c r="A879" s="89"/>
      <c r="B879" s="89"/>
      <c r="C879" s="89"/>
      <c r="D879" s="89"/>
      <c r="E879" s="89"/>
    </row>
    <row r="880" ht="15.75" customHeight="1">
      <c r="A880" s="89"/>
      <c r="B880" s="89"/>
      <c r="C880" s="89"/>
      <c r="D880" s="89"/>
      <c r="E880" s="89"/>
    </row>
    <row r="881" ht="15.75" customHeight="1">
      <c r="A881" s="89"/>
      <c r="B881" s="89"/>
      <c r="C881" s="89"/>
      <c r="D881" s="89"/>
      <c r="E881" s="89"/>
    </row>
    <row r="882" ht="15.75" customHeight="1">
      <c r="A882" s="89"/>
      <c r="B882" s="89"/>
      <c r="C882" s="89"/>
      <c r="D882" s="89"/>
      <c r="E882" s="89"/>
    </row>
    <row r="883" ht="15.75" customHeight="1">
      <c r="A883" s="89"/>
      <c r="B883" s="89"/>
      <c r="C883" s="89"/>
      <c r="D883" s="89"/>
      <c r="E883" s="89"/>
    </row>
    <row r="884" ht="15.75" customHeight="1">
      <c r="A884" s="89"/>
      <c r="B884" s="89"/>
      <c r="C884" s="89"/>
      <c r="D884" s="89"/>
      <c r="E884" s="89"/>
    </row>
    <row r="885" ht="15.75" customHeight="1">
      <c r="A885" s="89"/>
      <c r="B885" s="89"/>
      <c r="C885" s="89"/>
      <c r="D885" s="89"/>
      <c r="E885" s="89"/>
    </row>
    <row r="886" ht="15.75" customHeight="1">
      <c r="A886" s="89"/>
      <c r="B886" s="89"/>
      <c r="C886" s="89"/>
      <c r="D886" s="89"/>
      <c r="E886" s="89"/>
    </row>
    <row r="887" ht="15.75" customHeight="1">
      <c r="A887" s="89"/>
      <c r="B887" s="89"/>
      <c r="C887" s="89"/>
      <c r="D887" s="89"/>
      <c r="E887" s="89"/>
    </row>
    <row r="888" ht="15.75" customHeight="1">
      <c r="A888" s="89"/>
      <c r="B888" s="89"/>
      <c r="C888" s="89"/>
      <c r="D888" s="89"/>
      <c r="E888" s="89"/>
    </row>
    <row r="889" ht="15.75" customHeight="1">
      <c r="A889" s="89"/>
      <c r="B889" s="89"/>
      <c r="C889" s="89"/>
      <c r="D889" s="89"/>
      <c r="E889" s="89"/>
    </row>
    <row r="890" ht="15.75" customHeight="1">
      <c r="A890" s="89"/>
      <c r="B890" s="89"/>
      <c r="C890" s="89"/>
      <c r="D890" s="89"/>
      <c r="E890" s="89"/>
    </row>
    <row r="891" ht="15.75" customHeight="1">
      <c r="A891" s="89"/>
      <c r="B891" s="89"/>
      <c r="C891" s="89"/>
      <c r="D891" s="89"/>
      <c r="E891" s="89"/>
    </row>
    <row r="892" ht="15.75" customHeight="1">
      <c r="A892" s="89"/>
      <c r="B892" s="89"/>
      <c r="C892" s="89"/>
      <c r="D892" s="89"/>
      <c r="E892" s="89"/>
    </row>
    <row r="893" ht="15.75" customHeight="1">
      <c r="A893" s="89"/>
      <c r="B893" s="89"/>
      <c r="C893" s="89"/>
      <c r="D893" s="89"/>
      <c r="E893" s="89"/>
    </row>
    <row r="894" ht="15.75" customHeight="1">
      <c r="A894" s="89"/>
      <c r="B894" s="89"/>
      <c r="C894" s="89"/>
      <c r="D894" s="89"/>
      <c r="E894" s="89"/>
    </row>
    <row r="895" ht="15.75" customHeight="1">
      <c r="A895" s="89"/>
      <c r="B895" s="89"/>
      <c r="C895" s="89"/>
      <c r="D895" s="89"/>
      <c r="E895" s="89"/>
    </row>
    <row r="896" ht="15.75" customHeight="1">
      <c r="A896" s="89"/>
      <c r="B896" s="89"/>
      <c r="C896" s="89"/>
      <c r="D896" s="89"/>
      <c r="E896" s="89"/>
    </row>
    <row r="897" ht="15.75" customHeight="1">
      <c r="A897" s="89"/>
      <c r="B897" s="89"/>
      <c r="C897" s="89"/>
      <c r="D897" s="89"/>
      <c r="E897" s="89"/>
    </row>
    <row r="898" ht="15.75" customHeight="1">
      <c r="A898" s="89"/>
      <c r="B898" s="89"/>
      <c r="C898" s="89"/>
      <c r="D898" s="89"/>
      <c r="E898" s="89"/>
    </row>
    <row r="899" ht="15.75" customHeight="1">
      <c r="A899" s="89"/>
      <c r="B899" s="89"/>
      <c r="C899" s="89"/>
      <c r="D899" s="89"/>
      <c r="E899" s="89"/>
    </row>
    <row r="900" ht="15.75" customHeight="1">
      <c r="A900" s="89"/>
      <c r="B900" s="89"/>
      <c r="C900" s="89"/>
      <c r="D900" s="89"/>
      <c r="E900" s="89"/>
    </row>
    <row r="901" ht="15.75" customHeight="1">
      <c r="A901" s="89"/>
      <c r="B901" s="89"/>
      <c r="C901" s="89"/>
      <c r="D901" s="89"/>
      <c r="E901" s="89"/>
    </row>
    <row r="902" ht="15.75" customHeight="1">
      <c r="A902" s="89"/>
      <c r="B902" s="89"/>
      <c r="C902" s="89"/>
      <c r="D902" s="89"/>
      <c r="E902" s="89"/>
    </row>
    <row r="903" ht="15.75" customHeight="1">
      <c r="A903" s="89"/>
      <c r="B903" s="89"/>
      <c r="C903" s="89"/>
      <c r="D903" s="89"/>
      <c r="E903" s="89"/>
    </row>
    <row r="904" ht="15.75" customHeight="1">
      <c r="A904" s="89"/>
      <c r="B904" s="89"/>
      <c r="C904" s="89"/>
      <c r="D904" s="89"/>
      <c r="E904" s="89"/>
    </row>
    <row r="905" ht="15.75" customHeight="1">
      <c r="A905" s="89"/>
      <c r="B905" s="89"/>
      <c r="C905" s="89"/>
      <c r="D905" s="89"/>
      <c r="E905" s="89"/>
    </row>
    <row r="906" ht="15.75" customHeight="1">
      <c r="A906" s="89"/>
      <c r="B906" s="89"/>
      <c r="C906" s="89"/>
      <c r="D906" s="89"/>
      <c r="E906" s="89"/>
    </row>
    <row r="907" ht="15.75" customHeight="1">
      <c r="A907" s="89"/>
      <c r="B907" s="89"/>
      <c r="C907" s="89"/>
      <c r="D907" s="89"/>
      <c r="E907" s="89"/>
    </row>
    <row r="908" ht="15.75" customHeight="1">
      <c r="A908" s="89"/>
      <c r="B908" s="89"/>
      <c r="C908" s="89"/>
      <c r="D908" s="89"/>
      <c r="E908" s="89"/>
    </row>
    <row r="909" ht="15.75" customHeight="1">
      <c r="A909" s="89"/>
      <c r="B909" s="89"/>
      <c r="C909" s="89"/>
      <c r="D909" s="89"/>
      <c r="E909" s="89"/>
    </row>
    <row r="910" ht="15.75" customHeight="1">
      <c r="A910" s="89"/>
      <c r="B910" s="89"/>
      <c r="C910" s="89"/>
      <c r="D910" s="89"/>
      <c r="E910" s="89"/>
    </row>
    <row r="911" ht="15.75" customHeight="1">
      <c r="A911" s="89"/>
      <c r="B911" s="89"/>
      <c r="C911" s="89"/>
      <c r="D911" s="89"/>
      <c r="E911" s="89"/>
    </row>
    <row r="912" ht="15.75" customHeight="1">
      <c r="A912" s="89"/>
      <c r="B912" s="89"/>
      <c r="C912" s="89"/>
      <c r="D912" s="89"/>
      <c r="E912" s="89"/>
    </row>
    <row r="913" ht="15.75" customHeight="1">
      <c r="A913" s="89"/>
      <c r="B913" s="89"/>
      <c r="C913" s="89"/>
      <c r="D913" s="89"/>
      <c r="E913" s="89"/>
    </row>
    <row r="914" ht="15.75" customHeight="1">
      <c r="A914" s="89"/>
      <c r="B914" s="89"/>
      <c r="C914" s="89"/>
      <c r="D914" s="89"/>
      <c r="E914" s="89"/>
    </row>
    <row r="915" ht="15.75" customHeight="1">
      <c r="A915" s="89"/>
      <c r="B915" s="89"/>
      <c r="C915" s="89"/>
      <c r="D915" s="89"/>
      <c r="E915" s="89"/>
    </row>
    <row r="916" ht="15.75" customHeight="1">
      <c r="A916" s="89"/>
      <c r="B916" s="89"/>
      <c r="C916" s="89"/>
      <c r="D916" s="89"/>
      <c r="E916" s="89"/>
    </row>
    <row r="917" ht="15.75" customHeight="1">
      <c r="A917" s="89"/>
      <c r="B917" s="89"/>
      <c r="C917" s="89"/>
      <c r="D917" s="89"/>
      <c r="E917" s="89"/>
    </row>
    <row r="918" ht="15.75" customHeight="1">
      <c r="A918" s="89"/>
      <c r="B918" s="89"/>
      <c r="C918" s="89"/>
      <c r="D918" s="89"/>
      <c r="E918" s="89"/>
    </row>
    <row r="919" ht="15.75" customHeight="1">
      <c r="A919" s="89"/>
      <c r="B919" s="89"/>
      <c r="C919" s="89"/>
      <c r="D919" s="89"/>
      <c r="E919" s="89"/>
    </row>
    <row r="920" ht="15.75" customHeight="1">
      <c r="A920" s="89"/>
      <c r="B920" s="89"/>
      <c r="C920" s="89"/>
      <c r="D920" s="89"/>
      <c r="E920" s="89"/>
    </row>
    <row r="921" ht="15.75" customHeight="1">
      <c r="A921" s="89"/>
      <c r="B921" s="89"/>
      <c r="C921" s="89"/>
      <c r="D921" s="89"/>
      <c r="E921" s="89"/>
    </row>
    <row r="922" ht="15.75" customHeight="1">
      <c r="A922" s="89"/>
      <c r="B922" s="89"/>
      <c r="C922" s="89"/>
      <c r="D922" s="89"/>
      <c r="E922" s="89"/>
    </row>
    <row r="923" ht="15.75" customHeight="1">
      <c r="A923" s="89"/>
      <c r="B923" s="89"/>
      <c r="C923" s="89"/>
      <c r="D923" s="89"/>
      <c r="E923" s="89"/>
    </row>
    <row r="924" ht="15.75" customHeight="1">
      <c r="A924" s="89"/>
      <c r="B924" s="89"/>
      <c r="C924" s="89"/>
      <c r="D924" s="89"/>
      <c r="E924" s="89"/>
    </row>
    <row r="925" ht="15.75" customHeight="1">
      <c r="A925" s="89"/>
      <c r="B925" s="89"/>
      <c r="C925" s="89"/>
      <c r="D925" s="89"/>
      <c r="E925" s="89"/>
    </row>
    <row r="926" ht="15.75" customHeight="1">
      <c r="A926" s="89"/>
      <c r="B926" s="89"/>
      <c r="C926" s="89"/>
      <c r="D926" s="89"/>
      <c r="E926" s="89"/>
    </row>
    <row r="927" ht="15.75" customHeight="1">
      <c r="A927" s="89"/>
      <c r="B927" s="89"/>
      <c r="C927" s="89"/>
      <c r="D927" s="89"/>
      <c r="E927" s="89"/>
    </row>
    <row r="928" ht="15.75" customHeight="1">
      <c r="A928" s="89"/>
      <c r="B928" s="89"/>
      <c r="C928" s="89"/>
      <c r="D928" s="89"/>
      <c r="E928" s="89"/>
    </row>
    <row r="929" ht="15.75" customHeight="1">
      <c r="A929" s="89"/>
      <c r="B929" s="89"/>
      <c r="C929" s="89"/>
      <c r="D929" s="89"/>
      <c r="E929" s="89"/>
    </row>
    <row r="930" ht="15.75" customHeight="1">
      <c r="A930" s="89"/>
      <c r="B930" s="89"/>
      <c r="C930" s="89"/>
      <c r="D930" s="89"/>
      <c r="E930" s="89"/>
    </row>
    <row r="931" ht="15.75" customHeight="1">
      <c r="A931" s="89"/>
      <c r="B931" s="89"/>
      <c r="C931" s="89"/>
      <c r="D931" s="89"/>
      <c r="E931" s="89"/>
    </row>
    <row r="932" ht="15.75" customHeight="1">
      <c r="A932" s="89"/>
      <c r="B932" s="89"/>
      <c r="C932" s="89"/>
      <c r="D932" s="89"/>
      <c r="E932" s="89"/>
    </row>
    <row r="933" ht="15.75" customHeight="1">
      <c r="A933" s="89"/>
      <c r="B933" s="89"/>
      <c r="C933" s="89"/>
      <c r="D933" s="89"/>
      <c r="E933" s="89"/>
    </row>
    <row r="934" ht="15.75" customHeight="1">
      <c r="A934" s="89"/>
      <c r="B934" s="89"/>
      <c r="C934" s="89"/>
      <c r="D934" s="89"/>
      <c r="E934" s="89"/>
    </row>
    <row r="935" ht="15.75" customHeight="1">
      <c r="A935" s="89"/>
      <c r="B935" s="89"/>
      <c r="C935" s="89"/>
      <c r="D935" s="89"/>
      <c r="E935" s="89"/>
    </row>
    <row r="936" ht="15.75" customHeight="1">
      <c r="A936" s="89"/>
      <c r="B936" s="89"/>
      <c r="C936" s="89"/>
      <c r="D936" s="89"/>
      <c r="E936" s="89"/>
    </row>
    <row r="937" ht="15.75" customHeight="1">
      <c r="A937" s="89"/>
      <c r="B937" s="89"/>
      <c r="C937" s="89"/>
      <c r="D937" s="89"/>
      <c r="E937" s="89"/>
    </row>
    <row r="938" ht="15.75" customHeight="1">
      <c r="A938" s="89"/>
      <c r="B938" s="89"/>
      <c r="C938" s="89"/>
      <c r="D938" s="89"/>
      <c r="E938" s="89"/>
    </row>
    <row r="939" ht="15.75" customHeight="1">
      <c r="A939" s="89"/>
      <c r="B939" s="89"/>
      <c r="C939" s="89"/>
      <c r="D939" s="89"/>
      <c r="E939" s="89"/>
    </row>
    <row r="940" ht="15.75" customHeight="1">
      <c r="A940" s="89"/>
      <c r="B940" s="89"/>
      <c r="C940" s="89"/>
      <c r="D940" s="89"/>
      <c r="E940" s="89"/>
    </row>
    <row r="941" ht="15.75" customHeight="1">
      <c r="A941" s="89"/>
      <c r="B941" s="89"/>
      <c r="C941" s="89"/>
      <c r="D941" s="89"/>
      <c r="E941" s="89"/>
    </row>
    <row r="942" ht="15.75" customHeight="1">
      <c r="A942" s="89"/>
      <c r="B942" s="89"/>
      <c r="C942" s="89"/>
      <c r="D942" s="89"/>
      <c r="E942" s="89"/>
    </row>
    <row r="943" ht="15.75" customHeight="1">
      <c r="A943" s="89"/>
      <c r="B943" s="89"/>
      <c r="C943" s="89"/>
      <c r="D943" s="89"/>
      <c r="E943" s="89"/>
    </row>
    <row r="944" ht="15.75" customHeight="1">
      <c r="A944" s="89"/>
      <c r="B944" s="89"/>
      <c r="C944" s="89"/>
      <c r="D944" s="89"/>
      <c r="E944" s="89"/>
    </row>
    <row r="945" ht="15.75" customHeight="1">
      <c r="A945" s="89"/>
      <c r="B945" s="89"/>
      <c r="C945" s="89"/>
      <c r="D945" s="89"/>
      <c r="E945" s="89"/>
    </row>
    <row r="946" ht="15.75" customHeight="1">
      <c r="A946" s="89"/>
      <c r="B946" s="89"/>
      <c r="C946" s="89"/>
      <c r="D946" s="89"/>
      <c r="E946" s="89"/>
    </row>
    <row r="947" ht="15.75" customHeight="1">
      <c r="A947" s="89"/>
      <c r="B947" s="89"/>
      <c r="C947" s="89"/>
      <c r="D947" s="89"/>
      <c r="E947" s="89"/>
    </row>
    <row r="948" ht="15.75" customHeight="1">
      <c r="A948" s="89"/>
      <c r="B948" s="89"/>
      <c r="C948" s="89"/>
      <c r="D948" s="89"/>
      <c r="E948" s="89"/>
    </row>
    <row r="949" ht="15.75" customHeight="1">
      <c r="A949" s="89"/>
      <c r="B949" s="89"/>
      <c r="C949" s="89"/>
      <c r="D949" s="89"/>
      <c r="E949" s="89"/>
    </row>
    <row r="950" ht="15.75" customHeight="1">
      <c r="A950" s="89"/>
      <c r="B950" s="89"/>
      <c r="C950" s="89"/>
      <c r="D950" s="89"/>
      <c r="E950" s="89"/>
    </row>
    <row r="951" ht="15.75" customHeight="1">
      <c r="A951" s="89"/>
      <c r="B951" s="89"/>
      <c r="C951" s="89"/>
      <c r="D951" s="89"/>
      <c r="E951" s="89"/>
    </row>
    <row r="952" ht="15.75" customHeight="1">
      <c r="A952" s="89"/>
      <c r="B952" s="89"/>
      <c r="C952" s="89"/>
      <c r="D952" s="89"/>
      <c r="E952" s="89"/>
    </row>
    <row r="953" ht="15.75" customHeight="1">
      <c r="A953" s="89"/>
      <c r="B953" s="89"/>
      <c r="C953" s="89"/>
      <c r="D953" s="89"/>
      <c r="E953" s="89"/>
    </row>
    <row r="954" ht="15.75" customHeight="1">
      <c r="A954" s="89"/>
      <c r="B954" s="89"/>
      <c r="C954" s="89"/>
      <c r="D954" s="89"/>
      <c r="E954" s="89"/>
    </row>
    <row r="955" ht="15.75" customHeight="1">
      <c r="A955" s="89"/>
      <c r="B955" s="89"/>
      <c r="C955" s="89"/>
      <c r="D955" s="89"/>
      <c r="E955" s="89"/>
    </row>
    <row r="956" ht="15.75" customHeight="1">
      <c r="A956" s="89"/>
      <c r="B956" s="89"/>
      <c r="C956" s="89"/>
      <c r="D956" s="89"/>
      <c r="E956" s="89"/>
    </row>
    <row r="957" ht="15.75" customHeight="1">
      <c r="A957" s="89"/>
      <c r="B957" s="89"/>
      <c r="C957" s="89"/>
      <c r="D957" s="89"/>
      <c r="E957" s="89"/>
    </row>
    <row r="958" ht="15.75" customHeight="1">
      <c r="A958" s="89"/>
      <c r="B958" s="89"/>
      <c r="C958" s="89"/>
      <c r="D958" s="89"/>
      <c r="E958" s="89"/>
    </row>
    <row r="959" ht="15.75" customHeight="1">
      <c r="A959" s="89"/>
      <c r="B959" s="89"/>
      <c r="C959" s="89"/>
      <c r="D959" s="89"/>
      <c r="E959" s="89"/>
    </row>
    <row r="960" ht="15.75" customHeight="1">
      <c r="A960" s="89"/>
      <c r="B960" s="89"/>
      <c r="C960" s="89"/>
      <c r="D960" s="89"/>
      <c r="E960" s="89"/>
    </row>
    <row r="961" ht="15.75" customHeight="1">
      <c r="A961" s="89"/>
      <c r="B961" s="89"/>
      <c r="C961" s="89"/>
      <c r="D961" s="89"/>
      <c r="E961" s="89"/>
    </row>
    <row r="962" ht="15.75" customHeight="1">
      <c r="A962" s="89"/>
      <c r="B962" s="89"/>
      <c r="C962" s="89"/>
      <c r="D962" s="89"/>
      <c r="E962" s="89"/>
    </row>
    <row r="963" ht="15.75" customHeight="1">
      <c r="A963" s="89"/>
      <c r="B963" s="89"/>
      <c r="C963" s="89"/>
      <c r="D963" s="89"/>
      <c r="E963" s="89"/>
    </row>
    <row r="964" ht="15.75" customHeight="1">
      <c r="A964" s="89"/>
      <c r="B964" s="89"/>
      <c r="C964" s="89"/>
      <c r="D964" s="89"/>
      <c r="E964" s="89"/>
    </row>
    <row r="965" ht="15.75" customHeight="1">
      <c r="A965" s="89"/>
      <c r="B965" s="89"/>
      <c r="C965" s="89"/>
      <c r="D965" s="89"/>
      <c r="E965" s="89"/>
    </row>
    <row r="966" ht="15.75" customHeight="1">
      <c r="A966" s="89"/>
      <c r="B966" s="89"/>
      <c r="C966" s="89"/>
      <c r="D966" s="89"/>
      <c r="E966" s="89"/>
    </row>
    <row r="967" ht="15.75" customHeight="1">
      <c r="A967" s="89"/>
      <c r="B967" s="89"/>
      <c r="C967" s="89"/>
      <c r="D967" s="89"/>
      <c r="E967" s="89"/>
    </row>
    <row r="968" ht="15.75" customHeight="1">
      <c r="A968" s="89"/>
      <c r="B968" s="89"/>
      <c r="C968" s="89"/>
      <c r="D968" s="89"/>
      <c r="E968" s="89"/>
    </row>
    <row r="969" ht="15.75" customHeight="1">
      <c r="A969" s="89"/>
      <c r="B969" s="89"/>
      <c r="C969" s="89"/>
      <c r="D969" s="89"/>
      <c r="E969" s="89"/>
    </row>
    <row r="970" ht="15.75" customHeight="1">
      <c r="A970" s="89"/>
      <c r="B970" s="89"/>
      <c r="C970" s="89"/>
      <c r="D970" s="89"/>
      <c r="E970" s="89"/>
    </row>
    <row r="971" ht="15.75" customHeight="1">
      <c r="A971" s="89"/>
      <c r="B971" s="89"/>
      <c r="C971" s="89"/>
      <c r="D971" s="89"/>
      <c r="E971" s="89"/>
    </row>
    <row r="972" ht="15.75" customHeight="1">
      <c r="A972" s="89"/>
      <c r="B972" s="89"/>
      <c r="C972" s="89"/>
      <c r="D972" s="89"/>
      <c r="E972" s="89"/>
    </row>
    <row r="973" ht="15.75" customHeight="1">
      <c r="A973" s="89"/>
      <c r="B973" s="89"/>
      <c r="C973" s="89"/>
      <c r="D973" s="89"/>
      <c r="E973" s="89"/>
    </row>
    <row r="974" ht="15.75" customHeight="1">
      <c r="A974" s="89"/>
      <c r="B974" s="89"/>
      <c r="C974" s="89"/>
      <c r="D974" s="89"/>
      <c r="E974" s="89"/>
    </row>
    <row r="975" ht="15.75" customHeight="1">
      <c r="A975" s="89"/>
      <c r="B975" s="89"/>
      <c r="C975" s="89"/>
      <c r="D975" s="89"/>
      <c r="E975" s="89"/>
    </row>
    <row r="976" ht="15.75" customHeight="1">
      <c r="A976" s="89"/>
      <c r="B976" s="89"/>
      <c r="C976" s="89"/>
      <c r="D976" s="89"/>
      <c r="E976" s="89"/>
    </row>
    <row r="977" ht="15.75" customHeight="1">
      <c r="A977" s="89"/>
      <c r="B977" s="89"/>
      <c r="C977" s="89"/>
      <c r="D977" s="89"/>
      <c r="E977" s="89"/>
    </row>
    <row r="978" ht="15.75" customHeight="1">
      <c r="A978" s="89"/>
      <c r="B978" s="89"/>
      <c r="C978" s="89"/>
      <c r="D978" s="89"/>
      <c r="E978" s="89"/>
    </row>
    <row r="979" ht="15.75" customHeight="1">
      <c r="A979" s="89"/>
      <c r="B979" s="89"/>
      <c r="C979" s="89"/>
      <c r="D979" s="89"/>
      <c r="E979" s="89"/>
    </row>
    <row r="980" ht="15.75" customHeight="1">
      <c r="A980" s="89"/>
      <c r="B980" s="89"/>
      <c r="C980" s="89"/>
      <c r="D980" s="89"/>
      <c r="E980" s="89"/>
    </row>
    <row r="981" ht="15.75" customHeight="1">
      <c r="A981" s="89"/>
      <c r="B981" s="89"/>
      <c r="C981" s="89"/>
      <c r="D981" s="89"/>
      <c r="E981" s="89"/>
    </row>
    <row r="982" ht="15.75" customHeight="1">
      <c r="A982" s="89"/>
      <c r="B982" s="89"/>
      <c r="C982" s="89"/>
      <c r="D982" s="89"/>
      <c r="E982" s="89"/>
    </row>
    <row r="983" ht="15.75" customHeight="1">
      <c r="A983" s="89"/>
      <c r="B983" s="89"/>
      <c r="C983" s="89"/>
      <c r="D983" s="89"/>
      <c r="E983" s="89"/>
    </row>
    <row r="984" ht="15.75" customHeight="1">
      <c r="A984" s="89"/>
      <c r="B984" s="89"/>
      <c r="C984" s="89"/>
      <c r="D984" s="89"/>
      <c r="E984" s="89"/>
    </row>
    <row r="985" ht="15.75" customHeight="1">
      <c r="A985" s="89"/>
      <c r="B985" s="89"/>
      <c r="C985" s="89"/>
      <c r="D985" s="89"/>
      <c r="E985" s="89"/>
    </row>
    <row r="986" ht="15.75" customHeight="1">
      <c r="A986" s="89"/>
      <c r="B986" s="89"/>
      <c r="C986" s="89"/>
      <c r="D986" s="89"/>
      <c r="E986" s="89"/>
    </row>
    <row r="987" ht="15.75" customHeight="1">
      <c r="A987" s="89"/>
      <c r="B987" s="89"/>
      <c r="C987" s="89"/>
      <c r="D987" s="89"/>
      <c r="E987" s="89"/>
    </row>
    <row r="988" ht="15.75" customHeight="1">
      <c r="A988" s="89"/>
      <c r="B988" s="89"/>
      <c r="C988" s="89"/>
      <c r="D988" s="89"/>
      <c r="E988" s="89"/>
    </row>
    <row r="989" ht="15.75" customHeight="1">
      <c r="A989" s="89"/>
      <c r="B989" s="89"/>
      <c r="C989" s="89"/>
      <c r="D989" s="89"/>
      <c r="E989" s="89"/>
    </row>
    <row r="990" ht="15.75" customHeight="1">
      <c r="A990" s="89"/>
      <c r="B990" s="89"/>
      <c r="C990" s="89"/>
      <c r="D990" s="89"/>
      <c r="E990" s="89"/>
    </row>
    <row r="991" ht="15.75" customHeight="1">
      <c r="A991" s="89"/>
      <c r="B991" s="89"/>
      <c r="C991" s="89"/>
      <c r="D991" s="89"/>
      <c r="E991" s="89"/>
    </row>
    <row r="992" ht="15.75" customHeight="1">
      <c r="A992" s="89"/>
      <c r="B992" s="89"/>
      <c r="C992" s="89"/>
      <c r="D992" s="89"/>
      <c r="E992" s="89"/>
    </row>
    <row r="993" ht="15.75" customHeight="1">
      <c r="A993" s="89"/>
      <c r="B993" s="89"/>
      <c r="C993" s="89"/>
      <c r="D993" s="89"/>
      <c r="E993" s="89"/>
    </row>
    <row r="994" ht="15.75" customHeight="1">
      <c r="A994" s="89"/>
      <c r="B994" s="89"/>
      <c r="C994" s="89"/>
      <c r="D994" s="89"/>
      <c r="E994" s="89"/>
    </row>
    <row r="995" ht="15.75" customHeight="1">
      <c r="A995" s="89"/>
      <c r="B995" s="89"/>
      <c r="C995" s="89"/>
      <c r="D995" s="89"/>
      <c r="E995" s="89"/>
    </row>
    <row r="996" ht="15.75" customHeight="1">
      <c r="A996" s="89"/>
      <c r="B996" s="89"/>
      <c r="C996" s="89"/>
      <c r="D996" s="89"/>
      <c r="E996" s="89"/>
    </row>
    <row r="997" ht="15.75" customHeight="1">
      <c r="A997" s="89"/>
      <c r="B997" s="89"/>
      <c r="C997" s="89"/>
      <c r="D997" s="89"/>
      <c r="E997" s="89"/>
    </row>
    <row r="998" ht="15.75" customHeight="1">
      <c r="A998" s="89"/>
      <c r="B998" s="89"/>
      <c r="C998" s="89"/>
      <c r="D998" s="89"/>
      <c r="E998" s="89"/>
    </row>
    <row r="999" ht="15.75" customHeight="1">
      <c r="A999" s="89"/>
      <c r="B999" s="89"/>
      <c r="C999" s="89"/>
      <c r="D999" s="89"/>
      <c r="E999" s="89"/>
    </row>
    <row r="1000" ht="15.75" customHeight="1">
      <c r="A1000" s="89"/>
      <c r="B1000" s="89"/>
      <c r="C1000" s="89"/>
      <c r="D1000" s="89"/>
      <c r="E1000" s="89"/>
    </row>
  </sheetData>
  <printOptions/>
  <pageMargins bottom="1.0" footer="0.0" header="0.0" left="0.75" right="0.75" top="1.0"/>
  <pageSetup paperSize="9" orientation="portrait"/>
  <drawing r:id="rId1"/>
</worksheet>
</file>