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01_김민준" sheetId="1" r:id="rId4"/>
  </sheets>
  <definedNames/>
  <calcPr/>
  <extLst>
    <ext uri="GoogleSheetsCustomDataVersion2">
      <go:sheetsCustomData xmlns:go="http://customooxmlschemas.google.com/" r:id="rId5" roundtripDataChecksum="4cCkeqQp0k6ZY+l3DlufuGMFOjBYGoLbSf3ZXKPMA1s="/>
    </ext>
  </extLst>
</workbook>
</file>

<file path=xl/sharedStrings.xml><?xml version="1.0" encoding="utf-8"?>
<sst xmlns="http://schemas.openxmlformats.org/spreadsheetml/2006/main" count="782" uniqueCount="483">
  <si>
    <r>
      <rPr>
        <rFont val="맑은 고딕"/>
        <b/>
        <color rgb="FF2F4A8A"/>
        <sz val="14.0"/>
      </rPr>
      <t>[</t>
    </r>
    <r>
      <rPr>
        <rFont val="Noto Sans CJK SC"/>
        <b/>
        <color rgb="FF2F4A8A"/>
        <sz val="14.0"/>
      </rPr>
      <t xml:space="preserve">샘플 </t>
    </r>
    <r>
      <rPr>
        <rFont val="맑은 고딕"/>
        <b/>
        <color rgb="FF2F4A8A"/>
        <sz val="14.0"/>
      </rPr>
      <t xml:space="preserve">S01] </t>
    </r>
    <r>
      <rPr>
        <rFont val="Noto Sans CJK SC"/>
        <b/>
        <color rgb="FF2F4A8A"/>
        <sz val="14.0"/>
      </rPr>
      <t xml:space="preserve">김민준 — 충실형 </t>
    </r>
    <r>
      <rPr>
        <rFont val="맑은 고딕"/>
        <b/>
        <color rgb="FF2F4A8A"/>
        <sz val="14.0"/>
      </rPr>
      <t>(</t>
    </r>
    <r>
      <rPr>
        <rFont val="Noto Sans CJK SC"/>
        <b/>
        <color rgb="FF2F4A8A"/>
        <sz val="14.0"/>
      </rPr>
      <t>가상 데이터</t>
    </r>
    <r>
      <rPr>
        <rFont val="맑은 고딕"/>
        <b/>
        <color rgb="FF2F4A8A"/>
        <sz val="14.0"/>
      </rPr>
      <t>)</t>
    </r>
  </si>
  <si>
    <r>
      <rPr>
        <rFont val="Noto Sans CJK SC"/>
        <color rgb="FF595959"/>
        <sz val="9.0"/>
      </rPr>
      <t>평가 테스트 포인트</t>
    </r>
    <r>
      <rPr>
        <rFont val="맑은 고딕"/>
        <color rgb="FF595959"/>
        <sz val="9.0"/>
      </rPr>
      <t xml:space="preserve">: </t>
    </r>
    <r>
      <rPr>
        <rFont val="Noto Sans CJK SC"/>
        <color rgb="FF595959"/>
        <sz val="9.0"/>
      </rPr>
      <t xml:space="preserve">대부분 값 있음 </t>
    </r>
    <r>
      <rPr>
        <rFont val="맑은 고딕"/>
        <color rgb="FF595959"/>
        <sz val="9.0"/>
      </rPr>
      <t xml:space="preserve">+ </t>
    </r>
    <r>
      <rPr>
        <rFont val="Noto Sans CJK SC"/>
        <color rgb="FF595959"/>
        <sz val="9.0"/>
      </rPr>
      <t xml:space="preserve">일부 </t>
    </r>
    <r>
      <rPr>
        <rFont val="맑은 고딕"/>
        <color rgb="FF595959"/>
        <sz val="9.0"/>
      </rPr>
      <t>'</t>
    </r>
    <r>
      <rPr>
        <rFont val="Noto Sans CJK SC"/>
        <color rgb="FF595959"/>
        <sz val="9.0"/>
      </rPr>
      <t>활동 없음</t>
    </r>
    <r>
      <rPr>
        <rFont val="맑은 고딕"/>
        <color rgb="FF595959"/>
        <sz val="9.0"/>
      </rPr>
      <t>'(</t>
    </r>
    <r>
      <rPr>
        <rFont val="Noto Sans CJK SC"/>
        <color rgb="FF595959"/>
        <sz val="9.0"/>
      </rPr>
      <t>창업</t>
    </r>
    <r>
      <rPr>
        <rFont val="맑은 고딕"/>
        <color rgb="FF595959"/>
        <sz val="9.0"/>
      </rPr>
      <t>·</t>
    </r>
    <r>
      <rPr>
        <rFont val="Noto Sans CJK SC"/>
        <color rgb="FF595959"/>
        <sz val="9.0"/>
      </rPr>
      <t>특허</t>
    </r>
    <r>
      <rPr>
        <rFont val="맑은 고딕"/>
        <color rgb="FF595959"/>
        <sz val="9.0"/>
      </rPr>
      <t>·</t>
    </r>
    <r>
      <rPr>
        <rFont val="Noto Sans CJK SC"/>
        <color rgb="FF595959"/>
        <sz val="9.0"/>
      </rPr>
      <t>해외</t>
    </r>
    <r>
      <rPr>
        <rFont val="맑은 고딕"/>
        <color rgb="FF595959"/>
        <sz val="9.0"/>
      </rPr>
      <t xml:space="preserve">) → </t>
    </r>
    <r>
      <rPr>
        <rFont val="Noto Sans CJK SC"/>
        <color rgb="FF595959"/>
        <sz val="9.0"/>
      </rPr>
      <t>높은 충족도</t>
    </r>
    <r>
      <rPr>
        <rFont val="맑은 고딕"/>
        <color rgb="FF595959"/>
        <sz val="9.0"/>
      </rPr>
      <t xml:space="preserve">, </t>
    </r>
    <r>
      <rPr>
        <rFont val="Noto Sans CJK SC"/>
        <color rgb="FF595959"/>
        <sz val="9.0"/>
      </rPr>
      <t xml:space="preserve">활동 없음은 </t>
    </r>
    <r>
      <rPr>
        <rFont val="맑은 고딕"/>
        <color rgb="FF595959"/>
        <sz val="9.0"/>
      </rPr>
      <t>0</t>
    </r>
    <r>
      <rPr>
        <rFont val="Noto Sans CJK SC"/>
        <color rgb="FF595959"/>
        <sz val="9.0"/>
      </rPr>
      <t>점 처리되는지 확인</t>
    </r>
  </si>
  <si>
    <t>범례</t>
  </si>
  <si>
    <t>입력 칸</t>
  </si>
  <si>
    <t>기존 항목</t>
  </si>
  <si>
    <r>
      <rPr>
        <rFont val="맑은 고딕"/>
        <color rgb="FF000000"/>
        <sz val="9.0"/>
      </rPr>
      <t xml:space="preserve">SKKU </t>
    </r>
    <r>
      <rPr>
        <rFont val="Noto Sans CJK SC"/>
        <color rgb="FF000000"/>
        <sz val="9.0"/>
      </rPr>
      <t>확보가능</t>
    </r>
  </si>
  <si>
    <t>추가 제안</t>
  </si>
  <si>
    <r>
      <rPr>
        <rFont val="Noto Sans CJK SC"/>
        <color rgb="FF595959"/>
        <sz val="9.0"/>
      </rPr>
      <t>데이터 상태</t>
    </r>
    <r>
      <rPr>
        <rFont val="맑은 고딕"/>
        <color rgb="FF595959"/>
        <sz val="9.0"/>
      </rPr>
      <t xml:space="preserve">: </t>
    </r>
    <r>
      <rPr>
        <rFont val="Noto Sans CJK SC"/>
        <color rgb="FF595959"/>
        <sz val="9.0"/>
      </rPr>
      <t xml:space="preserve">값 있음 </t>
    </r>
    <r>
      <rPr>
        <rFont val="맑은 고딕"/>
        <color rgb="FF595959"/>
        <sz val="9.0"/>
      </rPr>
      <t xml:space="preserve">/ </t>
    </r>
    <r>
      <rPr>
        <rFont val="Noto Sans CJK SC"/>
        <color rgb="FF595959"/>
        <sz val="9.0"/>
      </rPr>
      <t>활동 없음</t>
    </r>
    <r>
      <rPr>
        <rFont val="맑은 고딕"/>
        <color rgb="FF595959"/>
        <sz val="9.0"/>
      </rPr>
      <t>(0</t>
    </r>
    <r>
      <rPr>
        <rFont val="Noto Sans CJK SC"/>
        <color rgb="FF595959"/>
        <sz val="9.0"/>
      </rPr>
      <t>점</t>
    </r>
    <r>
      <rPr>
        <rFont val="맑은 고딕"/>
        <color rgb="FF595959"/>
        <sz val="9.0"/>
      </rPr>
      <t xml:space="preserve">) / </t>
    </r>
    <r>
      <rPr>
        <rFont val="Noto Sans CJK SC"/>
        <color rgb="FF595959"/>
        <sz val="9.0"/>
      </rPr>
      <t>미수집</t>
    </r>
    <r>
      <rPr>
        <rFont val="맑은 고딕"/>
        <color rgb="FF595959"/>
        <sz val="9.0"/>
      </rPr>
      <t>(</t>
    </r>
    <r>
      <rPr>
        <rFont val="Noto Sans CJK SC"/>
        <color rgb="FF595959"/>
        <sz val="9.0"/>
      </rPr>
      <t>계산 제외</t>
    </r>
    <r>
      <rPr>
        <rFont val="맑은 고딕"/>
        <color rgb="FF595959"/>
        <sz val="9.0"/>
      </rPr>
      <t xml:space="preserve">) / </t>
    </r>
    <r>
      <rPr>
        <rFont val="Noto Sans CJK SC"/>
        <color rgb="FF595959"/>
        <sz val="9.0"/>
      </rPr>
      <t>해당 없음</t>
    </r>
    <r>
      <rPr>
        <rFont val="맑은 고딕"/>
        <color rgb="FF595959"/>
        <sz val="9.0"/>
      </rPr>
      <t>(</t>
    </r>
    <r>
      <rPr>
        <rFont val="Noto Sans CJK SC"/>
        <color rgb="FF595959"/>
        <sz val="9.0"/>
      </rPr>
      <t>불이익 없음</t>
    </r>
    <r>
      <rPr>
        <rFont val="맑은 고딕"/>
        <color rgb="FF595959"/>
        <sz val="9.0"/>
      </rPr>
      <t xml:space="preserve">) · </t>
    </r>
    <r>
      <rPr>
        <rFont val="Noto Sans CJK SC"/>
        <color rgb="FF595959"/>
        <sz val="9.0"/>
      </rPr>
      <t xml:space="preserve">상태 미선택 </t>
    </r>
    <r>
      <rPr>
        <rFont val="맑은 고딕"/>
        <color rgb="FF595959"/>
        <sz val="9.0"/>
      </rPr>
      <t xml:space="preserve">= </t>
    </r>
    <r>
      <rPr>
        <rFont val="Noto Sans CJK SC"/>
        <color rgb="FF595959"/>
        <sz val="9.0"/>
      </rPr>
      <t>미수집 간주</t>
    </r>
  </si>
  <si>
    <r>
      <rPr>
        <rFont val="Noto Sans CJK SC"/>
        <b/>
        <color rgb="FFFFFFFF"/>
        <sz val="11.0"/>
      </rPr>
      <t xml:space="preserve">■ 학생 기본정보  </t>
    </r>
    <r>
      <rPr>
        <rFont val="맑은 고딕"/>
        <b/>
        <color rgb="FFFFFFFF"/>
        <sz val="11.0"/>
      </rPr>
      <t>(</t>
    </r>
    <r>
      <rPr>
        <rFont val="Noto Sans CJK SC"/>
        <b/>
        <color rgb="FFFFFFFF"/>
        <sz val="11.0"/>
      </rPr>
      <t>학년 보정</t>
    </r>
    <r>
      <rPr>
        <rFont val="맑은 고딕"/>
        <b/>
        <color rgb="FFFFFFFF"/>
        <sz val="11.0"/>
      </rPr>
      <t>·</t>
    </r>
    <r>
      <rPr>
        <rFont val="Noto Sans CJK SC"/>
        <b/>
        <color rgb="FFFFFFFF"/>
        <sz val="11.0"/>
      </rPr>
      <t>학적 구분</t>
    </r>
    <r>
      <rPr>
        <rFont val="맑은 고딕"/>
        <b/>
        <color rgb="FFFFFFFF"/>
        <sz val="11.0"/>
      </rPr>
      <t>·</t>
    </r>
    <r>
      <rPr>
        <rFont val="Noto Sans CJK SC"/>
        <b/>
        <color rgb="FFFFFFFF"/>
        <sz val="11.0"/>
      </rPr>
      <t>전공 특수성 판단에 사용</t>
    </r>
    <r>
      <rPr>
        <rFont val="맑은 고딕"/>
        <b/>
        <color rgb="FFFFFFFF"/>
        <sz val="11.0"/>
      </rPr>
      <t>)</t>
    </r>
  </si>
  <si>
    <t>항목</t>
  </si>
  <si>
    <t>입력값</t>
  </si>
  <si>
    <t>형식</t>
  </si>
  <si>
    <t>입력 안내</t>
  </si>
  <si>
    <t>학번</t>
  </si>
  <si>
    <t>2023310452</t>
  </si>
  <si>
    <r>
      <rPr>
        <rFont val="Noto Sans CJK SC"/>
        <color rgb="FF7F7F7F"/>
        <sz val="9.0"/>
      </rPr>
      <t xml:space="preserve">숫자 </t>
    </r>
    <r>
      <rPr>
        <rFont val="맑은 고딕"/>
        <color rgb="FF7F7F7F"/>
        <sz val="9.0"/>
      </rPr>
      <t>10</t>
    </r>
    <r>
      <rPr>
        <rFont val="Noto Sans CJK SC"/>
        <color rgb="FF7F7F7F"/>
        <sz val="9.0"/>
      </rPr>
      <t>자리</t>
    </r>
    <r>
      <rPr>
        <rFont val="맑은 고딕"/>
        <color rgb="FF7F7F7F"/>
        <sz val="9.0"/>
      </rPr>
      <t>(</t>
    </r>
    <r>
      <rPr>
        <rFont val="Noto Sans CJK SC"/>
        <color rgb="FF7F7F7F"/>
        <sz val="9.0"/>
      </rPr>
      <t>텍스트</t>
    </r>
    <r>
      <rPr>
        <rFont val="맑은 고딕"/>
        <color rgb="FF7F7F7F"/>
        <sz val="9.0"/>
      </rPr>
      <t>)</t>
    </r>
  </si>
  <si>
    <t>학사시스템 학번 그대로</t>
  </si>
  <si>
    <t>이름</t>
  </si>
  <si>
    <t>김민준</t>
  </si>
  <si>
    <t>텍스트</t>
  </si>
  <si>
    <t>소속 대학</t>
  </si>
  <si>
    <t>공과대학</t>
  </si>
  <si>
    <r>
      <rPr>
        <rFont val="Noto Sans CJK SC"/>
        <color rgb="FF7F7F7F"/>
        <sz val="9.0"/>
      </rPr>
      <t>예</t>
    </r>
    <r>
      <rPr>
        <rFont val="맑은 고딕"/>
        <color rgb="FF7F7F7F"/>
        <sz val="9.0"/>
      </rPr>
      <t xml:space="preserve">: </t>
    </r>
    <r>
      <rPr>
        <rFont val="Noto Sans CJK SC"/>
        <color rgb="FF7F7F7F"/>
        <sz val="9.0"/>
      </rPr>
      <t>공과대학</t>
    </r>
  </si>
  <si>
    <r>
      <rPr>
        <rFont val="Noto Sans CJK SC"/>
        <b/>
        <color rgb="FF000000"/>
        <sz val="10.0"/>
      </rPr>
      <t>주전공</t>
    </r>
    <r>
      <rPr>
        <rFont val="맑은 고딕"/>
        <b/>
        <color rgb="FF000000"/>
        <sz val="10.0"/>
      </rPr>
      <t>(</t>
    </r>
    <r>
      <rPr>
        <rFont val="Noto Sans CJK SC"/>
        <b/>
        <color rgb="FF000000"/>
        <sz val="10.0"/>
      </rPr>
      <t>학과</t>
    </r>
    <r>
      <rPr>
        <rFont val="맑은 고딕"/>
        <b/>
        <color rgb="FF000000"/>
        <sz val="10.0"/>
      </rPr>
      <t>)</t>
    </r>
  </si>
  <si>
    <t>기계공학부</t>
  </si>
  <si>
    <r>
      <rPr>
        <rFont val="Noto Sans CJK SC"/>
        <color rgb="FF7F7F7F"/>
        <sz val="9.0"/>
      </rPr>
      <t>예</t>
    </r>
    <r>
      <rPr>
        <rFont val="맑은 고딕"/>
        <color rgb="FF7F7F7F"/>
        <sz val="9.0"/>
      </rPr>
      <t xml:space="preserve">: </t>
    </r>
    <r>
      <rPr>
        <rFont val="Noto Sans CJK SC"/>
        <color rgb="FF7F7F7F"/>
        <sz val="9.0"/>
      </rPr>
      <t>기계공학부</t>
    </r>
  </si>
  <si>
    <t>학년</t>
  </si>
  <si>
    <r>
      <rPr>
        <rFont val="Noto Sans CJK SC"/>
        <color rgb="FF7F7F7F"/>
        <sz val="9.0"/>
      </rPr>
      <t xml:space="preserve">숫자 </t>
    </r>
    <r>
      <rPr>
        <rFont val="맑은 고딕"/>
        <color rgb="FF7F7F7F"/>
        <sz val="9.0"/>
      </rPr>
      <t>1~6</t>
    </r>
  </si>
  <si>
    <r>
      <rPr>
        <rFont val="Noto Sans CJK SC"/>
        <color rgb="FF7F7F7F"/>
        <sz val="9.0"/>
      </rPr>
      <t>학사시스템 기준 현재 학년</t>
    </r>
    <r>
      <rPr>
        <rFont val="맑은 고딕"/>
        <color rgb="FF7F7F7F"/>
        <sz val="9.0"/>
      </rPr>
      <t>(</t>
    </r>
    <r>
      <rPr>
        <rFont val="Noto Sans CJK SC"/>
        <color rgb="FF7F7F7F"/>
        <sz val="9.0"/>
      </rPr>
      <t>숫자만</t>
    </r>
    <r>
      <rPr>
        <rFont val="맑은 고딕"/>
        <color rgb="FF7F7F7F"/>
        <sz val="9.0"/>
      </rPr>
      <t>)</t>
    </r>
  </si>
  <si>
    <t>이수 완료 학기 수</t>
  </si>
  <si>
    <t>숫자</t>
  </si>
  <si>
    <r>
      <rPr>
        <rFont val="Noto Sans CJK SC"/>
        <color rgb="FF7F7F7F"/>
        <sz val="9.0"/>
      </rPr>
      <t>휴학 학기 제외</t>
    </r>
    <r>
      <rPr>
        <rFont val="맑은 고딕"/>
        <color rgb="FF7F7F7F"/>
        <sz val="9.0"/>
      </rPr>
      <t xml:space="preserve">, </t>
    </r>
    <r>
      <rPr>
        <rFont val="Noto Sans CJK SC"/>
        <color rgb="FF7F7F7F"/>
        <sz val="9.0"/>
      </rPr>
      <t>본교 기준</t>
    </r>
    <r>
      <rPr>
        <rFont val="맑은 고딕"/>
        <color rgb="FF7F7F7F"/>
        <sz val="9.0"/>
      </rPr>
      <t xml:space="preserve">. </t>
    </r>
    <r>
      <rPr>
        <rFont val="Noto Sans CJK SC"/>
        <color rgb="FF7F7F7F"/>
        <sz val="9.0"/>
      </rPr>
      <t>학년 보정에 사용</t>
    </r>
  </si>
  <si>
    <t>학적 구분</t>
  </si>
  <si>
    <t>학부</t>
  </si>
  <si>
    <t>목록</t>
  </si>
  <si>
    <t>대학원생은 별도 기준 적용</t>
  </si>
  <si>
    <t>입학 구분</t>
  </si>
  <si>
    <t>신입학</t>
  </si>
  <si>
    <t>편입생은 본교 이수 학기만 반영</t>
  </si>
  <si>
    <t>입학 연월</t>
  </si>
  <si>
    <t>2023-03</t>
  </si>
  <si>
    <t>YYYY-MM</t>
  </si>
  <si>
    <r>
      <rPr>
        <rFont val="Noto Sans CJK SC"/>
        <color rgb="FF7F7F7F"/>
        <sz val="9.0"/>
      </rPr>
      <t>예</t>
    </r>
    <r>
      <rPr>
        <rFont val="맑은 고딕"/>
        <color rgb="FF7F7F7F"/>
        <sz val="9.0"/>
      </rPr>
      <t>: 2023-03</t>
    </r>
  </si>
  <si>
    <t>학적 상태</t>
  </si>
  <si>
    <t>재학</t>
  </si>
  <si>
    <t>공학인증 대상 계열</t>
  </si>
  <si>
    <t>Y</t>
  </si>
  <si>
    <r>
      <rPr>
        <rFont val="맑은 고딕"/>
        <color rgb="FF7F7F7F"/>
        <sz val="9.0"/>
      </rPr>
      <t>N</t>
    </r>
    <r>
      <rPr>
        <rFont val="Noto Sans CJK SC"/>
        <color rgb="FF7F7F7F"/>
        <sz val="9.0"/>
      </rPr>
      <t xml:space="preserve">이면 </t>
    </r>
    <r>
      <rPr>
        <rFont val="맑은 고딕"/>
        <color rgb="FF7F7F7F"/>
        <sz val="9.0"/>
      </rPr>
      <t>4</t>
    </r>
    <r>
      <rPr>
        <rFont val="Noto Sans CJK SC"/>
        <color rgb="FF7F7F7F"/>
        <sz val="9.0"/>
      </rPr>
      <t xml:space="preserve">번 카테고리는 </t>
    </r>
    <r>
      <rPr>
        <rFont val="맑은 고딕"/>
        <color rgb="FF7F7F7F"/>
        <sz val="9.0"/>
      </rPr>
      <t>'</t>
    </r>
    <r>
      <rPr>
        <rFont val="Noto Sans CJK SC"/>
        <color rgb="FF7F7F7F"/>
        <sz val="9.0"/>
      </rPr>
      <t>해당 없음</t>
    </r>
    <r>
      <rPr>
        <rFont val="맑은 고딕"/>
        <color rgb="FF7F7F7F"/>
        <sz val="9.0"/>
      </rPr>
      <t>'</t>
    </r>
  </si>
  <si>
    <t>수집 기준일</t>
  </si>
  <si>
    <t>2026-10-01</t>
  </si>
  <si>
    <t>YYYY-MM-DD</t>
  </si>
  <si>
    <r>
      <rPr>
        <rFont val="Noto Sans CJK SC"/>
        <color rgb="FF7F7F7F"/>
        <sz val="9.0"/>
      </rPr>
      <t>데이터 추출</t>
    </r>
    <r>
      <rPr>
        <rFont val="맑은 고딕"/>
        <color rgb="FF7F7F7F"/>
        <sz val="9.0"/>
      </rPr>
      <t>(</t>
    </r>
    <r>
      <rPr>
        <rFont val="Noto Sans CJK SC"/>
        <color rgb="FF7F7F7F"/>
        <sz val="9.0"/>
      </rPr>
      <t>또는 제출</t>
    </r>
    <r>
      <rPr>
        <rFont val="맑은 고딕"/>
        <color rgb="FF7F7F7F"/>
        <sz val="9.0"/>
      </rPr>
      <t xml:space="preserve">) </t>
    </r>
    <r>
      <rPr>
        <rFont val="Noto Sans CJK SC"/>
        <color rgb="FF7F7F7F"/>
        <sz val="9.0"/>
      </rPr>
      <t>기준일</t>
    </r>
  </si>
  <si>
    <t>수집 경로</t>
  </si>
  <si>
    <t>시스템 연동</t>
  </si>
  <si>
    <r>
      <rPr>
        <rFont val="Noto Sans CJK SC"/>
        <b/>
        <color rgb="FF000000"/>
        <sz val="10.0"/>
      </rPr>
      <t>개인정보 수집</t>
    </r>
    <r>
      <rPr>
        <rFont val="맑은 고딕"/>
        <b/>
        <color rgb="FF000000"/>
        <sz val="10.0"/>
      </rPr>
      <t>·</t>
    </r>
    <r>
      <rPr>
        <rFont val="Noto Sans CJK SC"/>
        <b/>
        <color rgb="FF000000"/>
        <sz val="10.0"/>
      </rPr>
      <t>이용 동의</t>
    </r>
  </si>
  <si>
    <r>
      <rPr>
        <rFont val="맑은 고딕"/>
        <color rgb="FF7F7F7F"/>
        <sz val="9.0"/>
      </rPr>
      <t>N</t>
    </r>
    <r>
      <rPr>
        <rFont val="Noto Sans CJK SC"/>
        <color rgb="FF7F7F7F"/>
        <sz val="9.0"/>
      </rPr>
      <t>이면 평가 대상에서 제외</t>
    </r>
  </si>
  <si>
    <r>
      <rPr>
        <rFont val="Noto Sans CJK SC"/>
        <b/>
        <color rgb="FFFFFFFF"/>
        <sz val="11.0"/>
      </rPr>
      <t>■ 학업</t>
    </r>
    <r>
      <rPr>
        <rFont val="맑은 고딕"/>
        <b/>
        <color rgb="FFFFFFFF"/>
        <sz val="11.0"/>
      </rPr>
      <t>·</t>
    </r>
    <r>
      <rPr>
        <rFont val="Noto Sans CJK SC"/>
        <b/>
        <color rgb="FFFFFFFF"/>
        <sz val="11.0"/>
      </rPr>
      <t>교과</t>
    </r>
  </si>
  <si>
    <r>
      <rPr>
        <rFont val="Noto Sans CJK SC"/>
        <b/>
        <color rgb="FF000000"/>
        <sz val="11.0"/>
      </rPr>
      <t>성적데이터</t>
    </r>
    <r>
      <rPr>
        <rFont val="맑은 고딕"/>
        <b/>
        <color rgb="FF000000"/>
        <sz val="11.0"/>
      </rPr>
      <t>(</t>
    </r>
    <r>
      <rPr>
        <rFont val="Noto Sans CJK SC"/>
        <b/>
        <color rgb="FF000000"/>
        <sz val="11.0"/>
      </rPr>
      <t>전공</t>
    </r>
    <r>
      <rPr>
        <rFont val="맑은 고딕"/>
        <b/>
        <color rgb="FF000000"/>
        <sz val="11.0"/>
      </rPr>
      <t>·</t>
    </r>
    <r>
      <rPr>
        <rFont val="Noto Sans CJK SC"/>
        <b/>
        <color rgb="FF000000"/>
        <sz val="11.0"/>
      </rPr>
      <t>학기별</t>
    </r>
    <r>
      <rPr>
        <rFont val="맑은 고딕"/>
        <b/>
        <color rgb="FF000000"/>
        <sz val="11.0"/>
      </rPr>
      <t>)</t>
    </r>
  </si>
  <si>
    <t>데이터 상태 ▶</t>
  </si>
  <si>
    <t>값 있음</t>
  </si>
  <si>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성적</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[C] </t>
    </r>
    <r>
      <rPr>
        <rFont val="Noto Sans CJK SC"/>
        <i/>
        <color rgb="FF7F7F7F"/>
        <sz val="8.0"/>
      </rPr>
      <t>전공별</t>
    </r>
    <r>
      <rPr>
        <rFont val="맑은 고딕"/>
        <i/>
        <color rgb="FF7F7F7F"/>
        <sz val="8.0"/>
      </rPr>
      <t>·</t>
    </r>
    <r>
      <rPr>
        <rFont val="Noto Sans CJK SC"/>
        <i/>
        <color rgb="FF7F7F7F"/>
        <sz val="8.0"/>
      </rPr>
      <t>학기별 성적 통합</t>
    </r>
    <r>
      <rPr>
        <rFont val="맑은 고딕"/>
        <i/>
        <color rgb="FF7F7F7F"/>
        <sz val="8.0"/>
      </rPr>
      <t xml:space="preserve">. </t>
    </r>
    <r>
      <rPr>
        <rFont val="Noto Sans CJK SC"/>
        <i/>
        <color rgb="FF7F7F7F"/>
        <sz val="8.0"/>
      </rPr>
      <t xml:space="preserve">학기별 추이로 </t>
    </r>
    <r>
      <rPr>
        <rFont val="맑은 고딕"/>
        <i/>
        <color rgb="FF7F7F7F"/>
        <sz val="8.0"/>
      </rPr>
      <t>'</t>
    </r>
    <r>
      <rPr>
        <rFont val="Noto Sans CJK SC"/>
        <i/>
        <color rgb="FF7F7F7F"/>
        <sz val="8.0"/>
      </rPr>
      <t>성장</t>
    </r>
    <r>
      <rPr>
        <rFont val="맑은 고딕"/>
        <i/>
        <color rgb="FF7F7F7F"/>
        <sz val="8.0"/>
      </rPr>
      <t xml:space="preserve">' </t>
    </r>
    <r>
      <rPr>
        <rFont val="Noto Sans CJK SC"/>
        <i/>
        <color rgb="FF7F7F7F"/>
        <sz val="8.0"/>
      </rPr>
      <t>지표 추가 가능</t>
    </r>
  </si>
  <si>
    <r>
      <rPr>
        <rFont val="Noto Sans CJK SC"/>
        <b/>
        <color rgb="FF000000"/>
        <sz val="10.0"/>
      </rPr>
      <t>전체 평점</t>
    </r>
    <r>
      <rPr>
        <rFont val="맑은 고딕"/>
        <b/>
        <color rgb="FF000000"/>
        <sz val="10.0"/>
      </rPr>
      <t>(</t>
    </r>
    <r>
      <rPr>
        <rFont val="Noto Sans CJK SC"/>
        <b/>
        <color rgb="FF000000"/>
        <sz val="10.0"/>
      </rPr>
      <t>누적</t>
    </r>
    <r>
      <rPr>
        <rFont val="맑은 고딕"/>
        <b/>
        <color rgb="FF000000"/>
        <sz val="10.0"/>
      </rPr>
      <t>)</t>
    </r>
  </si>
  <si>
    <r>
      <rPr>
        <rFont val="Noto Sans CJK SC"/>
        <color rgb="FF7F7F7F"/>
        <sz val="9.0"/>
      </rPr>
      <t>숫자</t>
    </r>
    <r>
      <rPr>
        <rFont val="맑은 고딕"/>
        <color rgb="FF7F7F7F"/>
        <sz val="9.0"/>
      </rPr>
      <t>(</t>
    </r>
    <r>
      <rPr>
        <rFont val="Noto Sans CJK SC"/>
        <color rgb="FF7F7F7F"/>
        <sz val="9.0"/>
      </rPr>
      <t xml:space="preserve">소수 </t>
    </r>
    <r>
      <rPr>
        <rFont val="맑은 고딕"/>
        <color rgb="FF7F7F7F"/>
        <sz val="9.0"/>
      </rPr>
      <t>2</t>
    </r>
    <r>
      <rPr>
        <rFont val="Noto Sans CJK SC"/>
        <color rgb="FF7F7F7F"/>
        <sz val="9.0"/>
      </rPr>
      <t>자리</t>
    </r>
    <r>
      <rPr>
        <rFont val="맑은 고딕"/>
        <color rgb="FF7F7F7F"/>
        <sz val="9.0"/>
      </rPr>
      <t>)</t>
    </r>
  </si>
  <si>
    <r>
      <rPr>
        <rFont val="Noto Sans CJK SC"/>
        <color rgb="FF7F7F7F"/>
        <sz val="9.0"/>
      </rPr>
      <t>예</t>
    </r>
    <r>
      <rPr>
        <rFont val="맑은 고딕"/>
        <color rgb="FF7F7F7F"/>
        <sz val="9.0"/>
      </rPr>
      <t>: 3.85</t>
    </r>
  </si>
  <si>
    <r>
      <rPr>
        <rFont val="Noto Sans CJK SC"/>
        <b/>
        <color rgb="FF000000"/>
        <sz val="10.0"/>
      </rPr>
      <t>전공 평점</t>
    </r>
    <r>
      <rPr>
        <rFont val="맑은 고딕"/>
        <b/>
        <color rgb="FF000000"/>
        <sz val="10.0"/>
      </rPr>
      <t>(</t>
    </r>
    <r>
      <rPr>
        <rFont val="Noto Sans CJK SC"/>
        <b/>
        <color rgb="FF000000"/>
        <sz val="10.0"/>
      </rPr>
      <t>누적</t>
    </r>
    <r>
      <rPr>
        <rFont val="맑은 고딕"/>
        <b/>
        <color rgb="FF000000"/>
        <sz val="10.0"/>
      </rPr>
      <t>)</t>
    </r>
  </si>
  <si>
    <r>
      <rPr>
        <rFont val="Noto Sans CJK SC"/>
        <color rgb="FF7F7F7F"/>
        <sz val="9.0"/>
      </rPr>
      <t>숫자</t>
    </r>
    <r>
      <rPr>
        <rFont val="맑은 고딕"/>
        <color rgb="FF7F7F7F"/>
        <sz val="9.0"/>
      </rPr>
      <t>(</t>
    </r>
    <r>
      <rPr>
        <rFont val="Noto Sans CJK SC"/>
        <color rgb="FF7F7F7F"/>
        <sz val="9.0"/>
      </rPr>
      <t xml:space="preserve">소수 </t>
    </r>
    <r>
      <rPr>
        <rFont val="맑은 고딕"/>
        <color rgb="FF7F7F7F"/>
        <sz val="9.0"/>
      </rPr>
      <t>2</t>
    </r>
    <r>
      <rPr>
        <rFont val="Noto Sans CJK SC"/>
        <color rgb="FF7F7F7F"/>
        <sz val="9.0"/>
      </rPr>
      <t>자리</t>
    </r>
    <r>
      <rPr>
        <rFont val="맑은 고딕"/>
        <color rgb="FF7F7F7F"/>
        <sz val="9.0"/>
      </rPr>
      <t>)</t>
    </r>
  </si>
  <si>
    <r>
      <rPr>
        <rFont val="Noto Sans CJK SC"/>
        <color rgb="FF7F7F7F"/>
        <sz val="9.0"/>
      </rPr>
      <t>예</t>
    </r>
    <r>
      <rPr>
        <rFont val="맑은 고딕"/>
        <color rgb="FF7F7F7F"/>
        <sz val="9.0"/>
      </rPr>
      <t>: 3.92</t>
    </r>
  </si>
  <si>
    <t>평점 만점 기준</t>
  </si>
  <si>
    <r>
      <rPr>
        <rFont val="Noto Sans CJK SC"/>
        <color rgb="FF7F7F7F"/>
        <sz val="9.0"/>
      </rPr>
      <t xml:space="preserve">성균관대 </t>
    </r>
    <r>
      <rPr>
        <rFont val="맑은 고딕"/>
        <color rgb="FF7F7F7F"/>
        <sz val="9.0"/>
      </rPr>
      <t>4.5</t>
    </r>
  </si>
  <si>
    <t>No</t>
  </si>
  <si>
    <t>학기</t>
  </si>
  <si>
    <t>신청학점</t>
  </si>
  <si>
    <t>취득학점</t>
  </si>
  <si>
    <t>학기 평점</t>
  </si>
  <si>
    <t>학기 전공 평점</t>
  </si>
  <si>
    <t>비고</t>
  </si>
  <si>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</si>
  <si>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Noto Sans CJK SC"/>
        <i/>
        <color rgb="FF7F7F7F"/>
        <sz val="8.0"/>
      </rPr>
      <t>휴학</t>
    </r>
    <r>
      <rPr>
        <rFont val="맑은 고딕"/>
        <i/>
        <color rgb="FF7F7F7F"/>
        <sz val="8.0"/>
      </rPr>
      <t>·</t>
    </r>
    <r>
      <rPr>
        <rFont val="Noto Sans CJK SC"/>
        <i/>
        <color rgb="FF7F7F7F"/>
        <sz val="8.0"/>
      </rPr>
      <t>계절 등</t>
    </r>
  </si>
  <si>
    <t>2023-1</t>
  </si>
  <si>
    <t>2023-2</t>
  </si>
  <si>
    <t>2024-1</t>
  </si>
  <si>
    <t>2024-2</t>
  </si>
  <si>
    <t>2025-1</t>
  </si>
  <si>
    <t>2025-2</t>
  </si>
  <si>
    <t>2026-1</t>
  </si>
  <si>
    <t>수업유형별 성적</t>
  </si>
  <si>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과목별 성적</t>
    </r>
    <r>
      <rPr>
        <rFont val="맑은 고딕"/>
        <i/>
        <color rgb="FF7F7F7F"/>
        <sz val="8.0"/>
      </rPr>
      <t>) + LMS(</t>
    </r>
    <r>
      <rPr>
        <rFont val="Noto Sans CJK SC"/>
        <i/>
        <color rgb="FF7F7F7F"/>
        <sz val="8.0"/>
      </rPr>
      <t>과제점수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발표력 </t>
    </r>
    <r>
      <rPr>
        <rFont val="맑은 고딕"/>
        <i/>
        <color rgb="FF7F7F7F"/>
        <sz val="8.0"/>
      </rPr>
      <t xml:space="preserve">/ </t>
    </r>
    <r>
      <rPr>
        <rFont val="Noto Sans CJK SC"/>
        <i/>
        <color rgb="FF7F7F7F"/>
        <sz val="8.0"/>
      </rPr>
      <t xml:space="preserve">논리적사고 </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과목에 </t>
    </r>
    <r>
      <rPr>
        <rFont val="맑은 고딕"/>
        <i/>
        <color rgb="FF7F7F7F"/>
        <sz val="8.0"/>
      </rPr>
      <t>'</t>
    </r>
    <r>
      <rPr>
        <rFont val="Noto Sans CJK SC"/>
        <i/>
        <color rgb="FF7F7F7F"/>
        <sz val="8.0"/>
      </rPr>
      <t>발표형</t>
    </r>
    <r>
      <rPr>
        <rFont val="맑은 고딕"/>
        <i/>
        <color rgb="FF7F7F7F"/>
        <sz val="8.0"/>
      </rPr>
      <t>·</t>
    </r>
    <r>
      <rPr>
        <rFont val="Noto Sans CJK SC"/>
        <i/>
        <color rgb="FF7F7F7F"/>
        <sz val="8.0"/>
      </rPr>
      <t>토론형</t>
    </r>
    <r>
      <rPr>
        <rFont val="맑은 고딕"/>
        <i/>
        <color rgb="FF7F7F7F"/>
        <sz val="8.0"/>
      </rPr>
      <t xml:space="preserve">' </t>
    </r>
    <r>
      <rPr>
        <rFont val="Noto Sans CJK SC"/>
        <i/>
        <color rgb="FF7F7F7F"/>
        <sz val="8.0"/>
      </rPr>
      <t>태그가 있어야 자동 분류 가능</t>
    </r>
  </si>
  <si>
    <t>과목명</t>
  </si>
  <si>
    <t>수업유형</t>
  </si>
  <si>
    <t>과목 성적</t>
  </si>
  <si>
    <r>
      <rPr>
        <rFont val="Noto Sans CJK SC"/>
        <b/>
        <color rgb="FF000000"/>
        <sz val="9.0"/>
      </rPr>
      <t>과제</t>
    </r>
    <r>
      <rPr>
        <rFont val="맑은 고딕"/>
        <b/>
        <color rgb="FF000000"/>
        <sz val="9.0"/>
      </rPr>
      <t>·</t>
    </r>
    <r>
      <rPr>
        <rFont val="Noto Sans CJK SC"/>
        <b/>
        <color rgb="FF000000"/>
        <sz val="9.0"/>
      </rPr>
      <t>보고서 점수</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</si>
  <si>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</si>
  <si>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맑은 고딕"/>
        <i/>
        <color rgb="FF7F7F7F"/>
        <sz val="8.0"/>
      </rPr>
      <t>[</t>
    </r>
    <r>
      <rPr>
        <rFont val="Noto Sans CJK SC"/>
        <i/>
        <color rgb="FF7F7F7F"/>
        <sz val="8.0"/>
      </rPr>
      <t xml:space="preserve">발표형 </t>
    </r>
    <r>
      <rPr>
        <rFont val="맑은 고딕"/>
        <i/>
        <color rgb="FF7F7F7F"/>
        <sz val="8.0"/>
      </rPr>
      <t xml:space="preserve">/ </t>
    </r>
    <r>
      <rPr>
        <rFont val="Noto Sans CJK SC"/>
        <i/>
        <color rgb="FF7F7F7F"/>
        <sz val="8.0"/>
      </rPr>
      <t xml:space="preserve">토론형 </t>
    </r>
    <r>
      <rPr>
        <rFont val="맑은 고딕"/>
        <i/>
        <color rgb="FF7F7F7F"/>
        <sz val="8.0"/>
      </rPr>
      <t xml:space="preserve">/ </t>
    </r>
    <r>
      <rPr>
        <rFont val="Noto Sans CJK SC"/>
        <i/>
        <color rgb="FF7F7F7F"/>
        <sz val="8.0"/>
      </rPr>
      <t>과제</t>
    </r>
    <r>
      <rPr>
        <rFont val="맑은 고딕"/>
        <i/>
        <color rgb="FF7F7F7F"/>
        <sz val="8.0"/>
      </rPr>
      <t>·</t>
    </r>
    <r>
      <rPr>
        <rFont val="Noto Sans CJK SC"/>
        <i/>
        <color rgb="FF7F7F7F"/>
        <sz val="8.0"/>
      </rPr>
      <t xml:space="preserve">보고서형 </t>
    </r>
    <r>
      <rPr>
        <rFont val="맑은 고딕"/>
        <i/>
        <color rgb="FF7F7F7F"/>
        <sz val="8.0"/>
      </rPr>
      <t>/ PBL</t>
    </r>
    <r>
      <rPr>
        <rFont val="Noto Sans CJK SC"/>
        <i/>
        <color rgb="FF7F7F7F"/>
        <sz val="8.0"/>
      </rPr>
      <t>형</t>
    </r>
    <r>
      <rPr>
        <rFont val="맑은 고딕"/>
        <i/>
        <color rgb="FF7F7F7F"/>
        <sz val="8.0"/>
      </rPr>
      <t>]</t>
    </r>
  </si>
  <si>
    <t>[A+ / A0 / B+ / B0 / C+ / C0 / D+ / D0 / F / P]</t>
  </si>
  <si>
    <r>
      <rPr>
        <rFont val="Noto Sans CJK SC"/>
        <i/>
        <color rgb="FF7F7F7F"/>
        <sz val="8.0"/>
      </rPr>
      <t>숫자</t>
    </r>
    <r>
      <rPr>
        <rFont val="맑은 고딕"/>
        <i/>
        <color rgb="FF7F7F7F"/>
        <sz val="8.0"/>
      </rPr>
      <t>(100</t>
    </r>
    <r>
      <rPr>
        <rFont val="Noto Sans CJK SC"/>
        <i/>
        <color rgb="FF7F7F7F"/>
        <sz val="8.0"/>
      </rPr>
      <t>점</t>
    </r>
    <r>
      <rPr>
        <rFont val="맑은 고딕"/>
        <i/>
        <color rgb="FF7F7F7F"/>
        <sz val="8.0"/>
      </rPr>
      <t>)</t>
    </r>
  </si>
  <si>
    <t>공학커뮤니케이션</t>
  </si>
  <si>
    <t>발표형</t>
  </si>
  <si>
    <t>A+</t>
  </si>
  <si>
    <t>유체역학</t>
  </si>
  <si>
    <r>
      <rPr>
        <rFont val="Noto Sans CJK SC"/>
        <color rgb="FF1F3B8A"/>
        <sz val="10.0"/>
      </rPr>
      <t>과제</t>
    </r>
    <r>
      <rPr>
        <rFont val="맑은 고딕"/>
        <color rgb="FF1F3B8A"/>
        <sz val="10.0"/>
      </rPr>
      <t>·</t>
    </r>
    <r>
      <rPr>
        <rFont val="Noto Sans CJK SC"/>
        <color rgb="FF1F3B8A"/>
        <sz val="10.0"/>
      </rPr>
      <t>보고서형</t>
    </r>
  </si>
  <si>
    <t>B+</t>
  </si>
  <si>
    <t>기계설계 프로젝트</t>
  </si>
  <si>
    <r>
      <rPr>
        <rFont val="맑은 고딕"/>
        <color rgb="FF1F3B8A"/>
        <sz val="10.0"/>
      </rPr>
      <t>PBL</t>
    </r>
    <r>
      <rPr>
        <rFont val="Noto Sans CJK SC"/>
        <color rgb="FF1F3B8A"/>
        <sz val="10.0"/>
      </rPr>
      <t>형</t>
    </r>
  </si>
  <si>
    <t>A0</t>
  </si>
  <si>
    <r>
      <rPr>
        <rFont val="Noto Sans CJK SC"/>
        <b/>
        <color rgb="FF000000"/>
        <sz val="11.0"/>
      </rPr>
      <t>수강과목</t>
    </r>
    <r>
      <rPr>
        <rFont val="맑은 고딕"/>
        <b/>
        <color rgb="FF000000"/>
        <sz val="11.0"/>
      </rPr>
      <t>·</t>
    </r>
    <r>
      <rPr>
        <rFont val="Noto Sans CJK SC"/>
        <b/>
        <color rgb="FF000000"/>
        <sz val="11.0"/>
      </rPr>
      <t>심화</t>
    </r>
    <r>
      <rPr>
        <rFont val="맑은 고딕"/>
        <b/>
        <color rgb="FF000000"/>
        <sz val="11.0"/>
      </rPr>
      <t>·</t>
    </r>
    <r>
      <rPr>
        <rFont val="Noto Sans CJK SC"/>
        <b/>
        <color rgb="FF000000"/>
        <sz val="11.0"/>
      </rPr>
      <t>융합 이수</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</si>
  <si>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수강내역</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탐구력 </t>
    </r>
    <r>
      <rPr>
        <rFont val="맑은 고딕"/>
        <i/>
        <color rgb="FF7F7F7F"/>
        <sz val="8.0"/>
      </rPr>
      <t xml:space="preserve">/ </t>
    </r>
    <r>
      <rPr>
        <rFont val="Noto Sans CJK SC"/>
        <i/>
        <color rgb="FF7F7F7F"/>
        <sz val="8.0"/>
      </rPr>
      <t>종합적사고력</t>
    </r>
    <r>
      <rPr>
        <rFont val="맑은 고딕"/>
        <i/>
        <color rgb="FF7F7F7F"/>
        <sz val="8.0"/>
      </rPr>
      <t>(</t>
    </r>
    <r>
      <rPr>
        <rFont val="Noto Sans CJK SC"/>
        <i/>
        <color rgb="FF7F7F7F"/>
        <sz val="8.0"/>
      </rPr>
      <t>융합적 사고</t>
    </r>
    <r>
      <rPr>
        <rFont val="맑은 고딕"/>
        <i/>
        <color rgb="FF7F7F7F"/>
        <sz val="8.0"/>
      </rPr>
      <t xml:space="preserve">) /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마인드맵의 </t>
    </r>
    <r>
      <rPr>
        <rFont val="맑은 고딕"/>
        <i/>
        <color rgb="FF7F7F7F"/>
        <sz val="8.0"/>
      </rPr>
      <t>'</t>
    </r>
    <r>
      <rPr>
        <rFont val="Noto Sans CJK SC"/>
        <i/>
        <color rgb="FF7F7F7F"/>
        <sz val="8.0"/>
      </rPr>
      <t>융합 전공</t>
    </r>
    <r>
      <rPr>
        <rFont val="맑은 고딕"/>
        <i/>
        <color rgb="FF7F7F7F"/>
        <sz val="8.0"/>
      </rPr>
      <t>'</t>
    </r>
    <r>
      <rPr>
        <rFont val="Noto Sans CJK SC"/>
        <i/>
        <color rgb="FF7F7F7F"/>
        <sz val="8.0"/>
      </rPr>
      <t>은 기존 데이터셋에 없음 → 수강내역에서 도출</t>
    </r>
  </si>
  <si>
    <t>총 이수학점</t>
  </si>
  <si>
    <r>
      <rPr>
        <rFont val="Noto Sans CJK SC"/>
        <color rgb="FF7F7F7F"/>
        <sz val="9.0"/>
      </rPr>
      <t>예</t>
    </r>
    <r>
      <rPr>
        <rFont val="맑은 고딕"/>
        <color rgb="FF7F7F7F"/>
        <sz val="9.0"/>
      </rPr>
      <t>: 124</t>
    </r>
  </si>
  <si>
    <t>심화과목 이수 과목 수</t>
  </si>
  <si>
    <r>
      <rPr>
        <rFont val="Noto Sans CJK SC"/>
        <color rgb="FF7F7F7F"/>
        <sz val="9.0"/>
      </rPr>
      <t xml:space="preserve">없으면 </t>
    </r>
    <r>
      <rPr>
        <rFont val="맑은 고딕"/>
        <color rgb="FF7F7F7F"/>
        <sz val="9.0"/>
      </rPr>
      <t>0</t>
    </r>
  </si>
  <si>
    <t>전공 구분</t>
  </si>
  <si>
    <t>전공명</t>
  </si>
  <si>
    <t>이수 상태</t>
  </si>
  <si>
    <t>이수 학점</t>
  </si>
  <si>
    <r>
      <rPr>
        <rFont val="맑은 고딕"/>
        <i/>
        <color rgb="FF7F7F7F"/>
        <sz val="8.0"/>
      </rPr>
      <t>[</t>
    </r>
    <r>
      <rPr>
        <rFont val="Noto Sans CJK SC"/>
        <i/>
        <color rgb="FF7F7F7F"/>
        <sz val="8.0"/>
      </rPr>
      <t xml:space="preserve">주전공 </t>
    </r>
    <r>
      <rPr>
        <rFont val="맑은 고딕"/>
        <i/>
        <color rgb="FF7F7F7F"/>
        <sz val="8.0"/>
      </rPr>
      <t xml:space="preserve">/ </t>
    </r>
    <r>
      <rPr>
        <rFont val="Noto Sans CJK SC"/>
        <i/>
        <color rgb="FF7F7F7F"/>
        <sz val="8.0"/>
      </rPr>
      <t xml:space="preserve">복수전공 </t>
    </r>
    <r>
      <rPr>
        <rFont val="맑은 고딕"/>
        <i/>
        <color rgb="FF7F7F7F"/>
        <sz val="8.0"/>
      </rPr>
      <t xml:space="preserve">/ </t>
    </r>
    <r>
      <rPr>
        <rFont val="Noto Sans CJK SC"/>
        <i/>
        <color rgb="FF7F7F7F"/>
        <sz val="8.0"/>
      </rPr>
      <t xml:space="preserve">부전공 </t>
    </r>
    <r>
      <rPr>
        <rFont val="맑은 고딕"/>
        <i/>
        <color rgb="FF7F7F7F"/>
        <sz val="8.0"/>
      </rPr>
      <t xml:space="preserve">/ </t>
    </r>
    <r>
      <rPr>
        <rFont val="Noto Sans CJK SC"/>
        <i/>
        <color rgb="FF7F7F7F"/>
        <sz val="8.0"/>
      </rPr>
      <t xml:space="preserve">연계전공 </t>
    </r>
    <r>
      <rPr>
        <rFont val="맑은 고딕"/>
        <i/>
        <color rgb="FF7F7F7F"/>
        <sz val="8.0"/>
      </rPr>
      <t xml:space="preserve">/ </t>
    </r>
    <r>
      <rPr>
        <rFont val="Noto Sans CJK SC"/>
        <i/>
        <color rgb="FF7F7F7F"/>
        <sz val="8.0"/>
      </rPr>
      <t xml:space="preserve">융합전공 </t>
    </r>
    <r>
      <rPr>
        <rFont val="맑은 고딕"/>
        <i/>
        <color rgb="FF7F7F7F"/>
        <sz val="8.0"/>
      </rPr>
      <t xml:space="preserve">/ </t>
    </r>
    <r>
      <rPr>
        <rFont val="Noto Sans CJK SC"/>
        <i/>
        <color rgb="FF7F7F7F"/>
        <sz val="8.0"/>
      </rPr>
      <t>심화전공</t>
    </r>
    <r>
      <rPr>
        <rFont val="맑은 고딕"/>
        <i/>
        <color rgb="FF7F7F7F"/>
        <sz val="8.0"/>
      </rPr>
      <t>]</t>
    </r>
  </si>
  <si>
    <r>
      <rPr>
        <rFont val="맑은 고딕"/>
        <i/>
        <color rgb="FF7F7F7F"/>
        <sz val="8.0"/>
      </rPr>
      <t>[</t>
    </r>
    <r>
      <rPr>
        <rFont val="Noto Sans CJK SC"/>
        <i/>
        <color rgb="FF7F7F7F"/>
        <sz val="8.0"/>
      </rPr>
      <t xml:space="preserve">신청 </t>
    </r>
    <r>
      <rPr>
        <rFont val="맑은 고딕"/>
        <i/>
        <color rgb="FF7F7F7F"/>
        <sz val="8.0"/>
      </rPr>
      <t xml:space="preserve">/ </t>
    </r>
    <r>
      <rPr>
        <rFont val="Noto Sans CJK SC"/>
        <i/>
        <color rgb="FF7F7F7F"/>
        <sz val="8.0"/>
      </rPr>
      <t xml:space="preserve">이수중 </t>
    </r>
    <r>
      <rPr>
        <rFont val="맑은 고딕"/>
        <i/>
        <color rgb="FF7F7F7F"/>
        <sz val="8.0"/>
      </rPr>
      <t xml:space="preserve">/ </t>
    </r>
    <r>
      <rPr>
        <rFont val="Noto Sans CJK SC"/>
        <i/>
        <color rgb="FF7F7F7F"/>
        <sz val="8.0"/>
      </rPr>
      <t>이수완료</t>
    </r>
    <r>
      <rPr>
        <rFont val="맑은 고딕"/>
        <i/>
        <color rgb="FF7F7F7F"/>
        <sz val="8.0"/>
      </rPr>
      <t>]</t>
    </r>
  </si>
  <si>
    <t>주전공</t>
  </si>
  <si>
    <t>기계공학</t>
  </si>
  <si>
    <t>이수중</t>
  </si>
  <si>
    <t>연계전공</t>
  </si>
  <si>
    <t>스마트모빌리티 연계전공</t>
  </si>
  <si>
    <t>공학인증</t>
  </si>
  <si>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공학계열 한정 → 비대상 전공은 </t>
    </r>
    <r>
      <rPr>
        <rFont val="맑은 고딕"/>
        <i/>
        <color rgb="FF7F7F7F"/>
        <sz val="8.0"/>
      </rPr>
      <t>'</t>
    </r>
    <r>
      <rPr>
        <rFont val="Noto Sans CJK SC"/>
        <i/>
        <color rgb="FF7F7F7F"/>
        <sz val="8.0"/>
      </rPr>
      <t>해당 없음</t>
    </r>
    <r>
      <rPr>
        <rFont val="맑은 고딕"/>
        <i/>
        <color rgb="FF7F7F7F"/>
        <sz val="8.0"/>
      </rPr>
      <t xml:space="preserve">' </t>
    </r>
    <r>
      <rPr>
        <rFont val="Noto Sans CJK SC"/>
        <i/>
        <color rgb="FF7F7F7F"/>
        <sz val="8.0"/>
      </rPr>
      <t>처리</t>
    </r>
    <r>
      <rPr>
        <rFont val="맑은 고딕"/>
        <i/>
        <color rgb="FF7F7F7F"/>
        <sz val="8.0"/>
      </rPr>
      <t>(</t>
    </r>
    <r>
      <rPr>
        <rFont val="Noto Sans CJK SC"/>
        <i/>
        <color rgb="FF7F7F7F"/>
        <sz val="8.0"/>
      </rPr>
      <t>불이익 방지</t>
    </r>
    <r>
      <rPr>
        <rFont val="맑은 고딕"/>
        <i/>
        <color rgb="FF7F7F7F"/>
        <sz val="8.0"/>
      </rPr>
      <t>)</t>
    </r>
  </si>
  <si>
    <t>공학인증 대상 여부</t>
  </si>
  <si>
    <t>대상</t>
  </si>
  <si>
    <r>
      <rPr>
        <rFont val="Noto Sans CJK SC"/>
        <color rgb="FF7F7F7F"/>
        <sz val="9.0"/>
      </rPr>
      <t xml:space="preserve">비대상 전공이면 상태를 </t>
    </r>
    <r>
      <rPr>
        <rFont val="맑은 고딕"/>
        <color rgb="FF7F7F7F"/>
        <sz val="9.0"/>
      </rPr>
      <t>'</t>
    </r>
    <r>
      <rPr>
        <rFont val="Noto Sans CJK SC"/>
        <color rgb="FF7F7F7F"/>
        <sz val="9.0"/>
      </rPr>
      <t>해당 없음</t>
    </r>
    <r>
      <rPr>
        <rFont val="맑은 고딕"/>
        <color rgb="FF7F7F7F"/>
        <sz val="9.0"/>
      </rPr>
      <t>'</t>
    </r>
    <r>
      <rPr>
        <rFont val="Noto Sans CJK SC"/>
        <color rgb="FF7F7F7F"/>
        <sz val="9.0"/>
      </rPr>
      <t xml:space="preserve">으로  </t>
    </r>
    <r>
      <rPr>
        <rFont val="맑은 고딕"/>
        <color rgb="FF7F7F7F"/>
        <sz val="9.0"/>
      </rPr>
      <t>[</t>
    </r>
    <r>
      <rPr>
        <rFont val="Noto Sans CJK SC"/>
        <color rgb="FF7F7F7F"/>
        <sz val="9.0"/>
      </rPr>
      <t xml:space="preserve">대상 </t>
    </r>
    <r>
      <rPr>
        <rFont val="맑은 고딕"/>
        <color rgb="FF7F7F7F"/>
        <sz val="9.0"/>
      </rPr>
      <t xml:space="preserve">/ </t>
    </r>
    <r>
      <rPr>
        <rFont val="Noto Sans CJK SC"/>
        <color rgb="FF7F7F7F"/>
        <sz val="9.0"/>
      </rPr>
      <t>비대상</t>
    </r>
    <r>
      <rPr>
        <rFont val="맑은 고딕"/>
        <color rgb="FF7F7F7F"/>
        <sz val="9.0"/>
      </rPr>
      <t>]</t>
    </r>
  </si>
  <si>
    <t>인증 프로그램명</t>
  </si>
  <si>
    <t>기계공학 공학교육인증</t>
  </si>
  <si>
    <r>
      <rPr>
        <rFont val="Noto Sans CJK SC"/>
        <color rgb="FF7F7F7F"/>
        <sz val="9.0"/>
      </rPr>
      <t>예</t>
    </r>
    <r>
      <rPr>
        <rFont val="맑은 고딕"/>
        <color rgb="FF7F7F7F"/>
        <sz val="9.0"/>
      </rPr>
      <t xml:space="preserve">: </t>
    </r>
    <r>
      <rPr>
        <rFont val="Noto Sans CJK SC"/>
        <color rgb="FF7F7F7F"/>
        <sz val="9.0"/>
      </rPr>
      <t>기계공학 공학교육인증</t>
    </r>
  </si>
  <si>
    <r>
      <rPr>
        <rFont val="맑은 고딕"/>
        <color rgb="FF7F7F7F"/>
        <sz val="9.0"/>
      </rPr>
      <t>[</t>
    </r>
    <r>
      <rPr>
        <rFont val="Noto Sans CJK SC"/>
        <color rgb="FF7F7F7F"/>
        <sz val="9.0"/>
      </rPr>
      <t xml:space="preserve">이수중 </t>
    </r>
    <r>
      <rPr>
        <rFont val="맑은 고딕"/>
        <color rgb="FF7F7F7F"/>
        <sz val="9.0"/>
      </rPr>
      <t xml:space="preserve">/ </t>
    </r>
    <r>
      <rPr>
        <rFont val="Noto Sans CJK SC"/>
        <color rgb="FF7F7F7F"/>
        <sz val="9.0"/>
      </rPr>
      <t xml:space="preserve">이수완료 </t>
    </r>
    <r>
      <rPr>
        <rFont val="맑은 고딕"/>
        <color rgb="FF7F7F7F"/>
        <sz val="9.0"/>
      </rPr>
      <t xml:space="preserve">/ </t>
    </r>
    <r>
      <rPr>
        <rFont val="Noto Sans CJK SC"/>
        <color rgb="FF7F7F7F"/>
        <sz val="9.0"/>
      </rPr>
      <t xml:space="preserve">미이수 </t>
    </r>
    <r>
      <rPr>
        <rFont val="맑은 고딕"/>
        <color rgb="FF7F7F7F"/>
        <sz val="9.0"/>
      </rPr>
      <t xml:space="preserve">/ </t>
    </r>
    <r>
      <rPr>
        <rFont val="Noto Sans CJK SC"/>
        <color rgb="FF7F7F7F"/>
        <sz val="9.0"/>
      </rPr>
      <t>포기</t>
    </r>
    <r>
      <rPr>
        <rFont val="맑은 고딕"/>
        <color rgb="FF7F7F7F"/>
        <sz val="9.0"/>
      </rPr>
      <t>]</t>
    </r>
  </si>
  <si>
    <r>
      <rPr>
        <rFont val="Noto Sans CJK SC"/>
        <b/>
        <color rgb="FFFFFFFF"/>
        <sz val="11.0"/>
      </rPr>
      <t>■ 학습행동</t>
    </r>
    <r>
      <rPr>
        <rFont val="맑은 고딕"/>
        <b/>
        <color rgb="FFFFFFFF"/>
        <sz val="11.0"/>
      </rPr>
      <t>(LMS)</t>
    </r>
  </si>
  <si>
    <r>
      <rPr>
        <rFont val="맑은 고딕"/>
        <b/>
        <color rgb="FF000000"/>
        <sz val="11.0"/>
      </rPr>
      <t xml:space="preserve">LMS </t>
    </r>
    <r>
      <rPr>
        <rFont val="Noto Sans CJK SC"/>
        <b/>
        <color rgb="FF000000"/>
        <sz val="11.0"/>
      </rPr>
      <t>학습데이터</t>
    </r>
  </si>
  <si>
    <r>
      <rPr>
        <rFont val="Noto Sans CJK SC"/>
        <i/>
        <color rgb="FF7F7F7F"/>
        <sz val="8.0"/>
      </rPr>
      <t>출처</t>
    </r>
    <r>
      <rPr>
        <rFont val="맑은 고딕"/>
        <i/>
        <color rgb="FF7F7F7F"/>
        <sz val="8.0"/>
      </rPr>
      <t xml:space="preserve">: LMS(i-Campus) · </t>
    </r>
    <r>
      <rPr>
        <rFont val="Noto Sans CJK SC"/>
        <i/>
        <color rgb="FF7F7F7F"/>
        <sz val="8.0"/>
      </rPr>
      <t xml:space="preserve">출석앱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 xml:space="preserve">성실성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마인드맵 </t>
    </r>
    <r>
      <rPr>
        <rFont val="맑은 고딕"/>
        <i/>
        <color rgb="FF7F7F7F"/>
        <sz val="8.0"/>
      </rPr>
      <t>'</t>
    </r>
    <r>
      <rPr>
        <rFont val="Noto Sans CJK SC"/>
        <i/>
        <color rgb="FF7F7F7F"/>
        <sz val="8.0"/>
      </rPr>
      <t>퀴즈 생성 주기</t>
    </r>
    <r>
      <rPr>
        <rFont val="맑은 고딕"/>
        <i/>
        <color rgb="FF7F7F7F"/>
        <sz val="8.0"/>
      </rPr>
      <t xml:space="preserve">' vs </t>
    </r>
    <r>
      <rPr>
        <rFont val="Noto Sans CJK SC"/>
        <i/>
        <color rgb="FF7F7F7F"/>
        <sz val="8.0"/>
      </rPr>
      <t xml:space="preserve">데이터 </t>
    </r>
    <r>
      <rPr>
        <rFont val="맑은 고딕"/>
        <i/>
        <color rgb="FF7F7F7F"/>
        <sz val="8.0"/>
      </rPr>
      <t>'</t>
    </r>
    <r>
      <rPr>
        <rFont val="Noto Sans CJK SC"/>
        <i/>
        <color rgb="FF7F7F7F"/>
        <sz val="8.0"/>
      </rPr>
      <t>퀴즈풀이횟수</t>
    </r>
    <r>
      <rPr>
        <rFont val="맑은 고딕"/>
        <i/>
        <color rgb="FF7F7F7F"/>
        <sz val="8.0"/>
      </rPr>
      <t xml:space="preserve">' </t>
    </r>
    <r>
      <rPr>
        <rFont val="Noto Sans CJK SC"/>
        <i/>
        <color rgb="FF7F7F7F"/>
        <sz val="8.0"/>
      </rPr>
      <t>용어 통일 필요</t>
    </r>
  </si>
  <si>
    <t>집계 기간</t>
  </si>
  <si>
    <r>
      <rPr>
        <rFont val="맑은 고딕"/>
        <color rgb="FF1F3B8A"/>
        <sz val="10.0"/>
      </rPr>
      <t>2026-1</t>
    </r>
    <r>
      <rPr>
        <rFont val="Noto Sans CJK SC"/>
        <color rgb="FF1F3B8A"/>
        <sz val="10.0"/>
      </rPr>
      <t>학기</t>
    </r>
  </si>
  <si>
    <r>
      <rPr>
        <rFont val="Noto Sans CJK SC"/>
        <color rgb="FF7F7F7F"/>
        <sz val="9.0"/>
      </rPr>
      <t>예</t>
    </r>
    <r>
      <rPr>
        <rFont val="맑은 고딕"/>
        <color rgb="FF7F7F7F"/>
        <sz val="9.0"/>
      </rPr>
      <t>: 2026-1</t>
    </r>
    <r>
      <rPr>
        <rFont val="Noto Sans CJK SC"/>
        <color rgb="FF7F7F7F"/>
        <sz val="9.0"/>
      </rPr>
      <t>학기</t>
    </r>
  </si>
  <si>
    <r>
      <rPr>
        <rFont val="Noto Sans CJK SC"/>
        <b/>
        <color rgb="FF000000"/>
        <sz val="10.0"/>
      </rPr>
      <t>출석률</t>
    </r>
    <r>
      <rPr>
        <rFont val="맑은 고딕"/>
        <b/>
        <color rgb="FF000000"/>
        <sz val="10.0"/>
      </rPr>
      <t>(%)</t>
    </r>
  </si>
  <si>
    <r>
      <rPr>
        <rFont val="Noto Sans CJK SC"/>
        <color rgb="FF7F7F7F"/>
        <sz val="9.0"/>
      </rPr>
      <t xml:space="preserve">숫자 </t>
    </r>
    <r>
      <rPr>
        <rFont val="맑은 고딕"/>
        <color rgb="FF7F7F7F"/>
        <sz val="9.0"/>
      </rPr>
      <t>0~100</t>
    </r>
  </si>
  <si>
    <r>
      <rPr>
        <rFont val="맑은 고딕"/>
        <color rgb="FF7F7F7F"/>
        <sz val="9.0"/>
      </rPr>
      <t xml:space="preserve">% </t>
    </r>
    <r>
      <rPr>
        <rFont val="Noto Sans CJK SC"/>
        <color rgb="FF7F7F7F"/>
        <sz val="9.0"/>
      </rPr>
      <t>기호 없이 숫자만</t>
    </r>
  </si>
  <si>
    <r>
      <rPr>
        <rFont val="Noto Sans CJK SC"/>
        <b/>
        <color rgb="FF000000"/>
        <sz val="10.0"/>
      </rPr>
      <t>과제 기한 준수율</t>
    </r>
    <r>
      <rPr>
        <rFont val="맑은 고딕"/>
        <b/>
        <color rgb="FF000000"/>
        <sz val="10.0"/>
      </rPr>
      <t>(%)</t>
    </r>
  </si>
  <si>
    <r>
      <rPr>
        <rFont val="Noto Sans CJK SC"/>
        <color rgb="FF7F7F7F"/>
        <sz val="9.0"/>
      </rPr>
      <t xml:space="preserve">숫자 </t>
    </r>
    <r>
      <rPr>
        <rFont val="맑은 고딕"/>
        <color rgb="FF7F7F7F"/>
        <sz val="9.0"/>
      </rPr>
      <t>0~100</t>
    </r>
  </si>
  <si>
    <r>
      <rPr>
        <rFont val="맑은 고딕"/>
        <color rgb="FF7F7F7F"/>
        <sz val="9.0"/>
      </rPr>
      <t xml:space="preserve">% </t>
    </r>
    <r>
      <rPr>
        <rFont val="Noto Sans CJK SC"/>
        <color rgb="FF7F7F7F"/>
        <sz val="9.0"/>
      </rPr>
      <t>기호 없이 숫자만</t>
    </r>
  </si>
  <si>
    <t>주당 평균 로그인 횟수</t>
  </si>
  <si>
    <r>
      <rPr>
        <rFont val="Noto Sans CJK SC"/>
        <color rgb="FF7F7F7F"/>
        <sz val="9.0"/>
      </rPr>
      <t>회</t>
    </r>
    <r>
      <rPr>
        <rFont val="맑은 고딕"/>
        <color rgb="FF7F7F7F"/>
        <sz val="9.0"/>
      </rPr>
      <t>/</t>
    </r>
    <r>
      <rPr>
        <rFont val="Noto Sans CJK SC"/>
        <color rgb="FF7F7F7F"/>
        <sz val="9.0"/>
      </rPr>
      <t>주</t>
    </r>
  </si>
  <si>
    <r>
      <rPr>
        <rFont val="Noto Sans CJK SC"/>
        <b/>
        <color rgb="FF000000"/>
        <sz val="10.0"/>
      </rPr>
      <t>퀴즈 풀이 횟수</t>
    </r>
    <r>
      <rPr>
        <rFont val="맑은 고딕"/>
        <b/>
        <color rgb="FF000000"/>
        <sz val="10.0"/>
      </rPr>
      <t>(</t>
    </r>
    <r>
      <rPr>
        <rFont val="Noto Sans CJK SC"/>
        <b/>
        <color rgb="FF000000"/>
        <sz val="10.0"/>
      </rPr>
      <t>누적</t>
    </r>
    <r>
      <rPr>
        <rFont val="맑은 고딕"/>
        <b/>
        <color rgb="FF000000"/>
        <sz val="10.0"/>
      </rPr>
      <t>)</t>
    </r>
  </si>
  <si>
    <t>집계 기간 내 누적</t>
  </si>
  <si>
    <r>
      <rPr>
        <rFont val="Noto Sans CJK SC"/>
        <b/>
        <color rgb="FF000000"/>
        <sz val="10.0"/>
      </rPr>
      <t>학습계획 달성률</t>
    </r>
    <r>
      <rPr>
        <rFont val="맑은 고딕"/>
        <b/>
        <color rgb="FF000000"/>
        <sz val="10.0"/>
      </rPr>
      <t>(%)</t>
    </r>
  </si>
  <si>
    <r>
      <rPr>
        <rFont val="Noto Sans CJK SC"/>
        <color rgb="FF7F7F7F"/>
        <sz val="9.0"/>
      </rPr>
      <t xml:space="preserve">숫자 </t>
    </r>
    <r>
      <rPr>
        <rFont val="맑은 고딕"/>
        <color rgb="FF7F7F7F"/>
        <sz val="9.0"/>
      </rPr>
      <t>0~100</t>
    </r>
  </si>
  <si>
    <r>
      <rPr>
        <rFont val="Noto Sans CJK SC"/>
        <b/>
        <color rgb="FF000000"/>
        <sz val="11.0"/>
      </rPr>
      <t>교수면담</t>
    </r>
    <r>
      <rPr>
        <rFont val="맑은 고딕"/>
        <b/>
        <color rgb="FF000000"/>
        <sz val="11.0"/>
      </rPr>
      <t>·</t>
    </r>
    <r>
      <rPr>
        <rFont val="Noto Sans CJK SC"/>
        <b/>
        <color rgb="FF000000"/>
        <sz val="11.0"/>
      </rPr>
      <t>학업상담</t>
    </r>
  </si>
  <si>
    <r>
      <rPr>
        <rFont val="Noto Sans CJK SC"/>
        <i/>
        <color rgb="FF7F7F7F"/>
        <sz val="8.0"/>
      </rPr>
      <t>출처</t>
    </r>
    <r>
      <rPr>
        <rFont val="맑은 고딕"/>
        <i/>
        <color rgb="FF7F7F7F"/>
        <sz val="8.0"/>
      </rPr>
      <t xml:space="preserve">: </t>
    </r>
    <r>
      <rPr>
        <rFont val="Noto Sans CJK SC"/>
        <i/>
        <color rgb="FF7F7F7F"/>
        <sz val="8.0"/>
      </rPr>
      <t xml:space="preserve">상담 기록 시스템 </t>
    </r>
    <r>
      <rPr>
        <rFont val="맑은 고딕"/>
        <i/>
        <color rgb="FF7F7F7F"/>
        <sz val="8.0"/>
      </rPr>
      <t xml:space="preserve">· LMS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성실성</t>
    </r>
    <r>
      <rPr>
        <rFont val="맑은 고딕"/>
        <i/>
        <color rgb="FF7F7F7F"/>
        <sz val="8.0"/>
      </rPr>
      <t>(</t>
    </r>
    <r>
      <rPr>
        <rFont val="Noto Sans CJK SC"/>
        <i/>
        <color rgb="FF7F7F7F"/>
        <sz val="8.0"/>
      </rPr>
      <t>수업참여도</t>
    </r>
    <r>
      <rPr>
        <rFont val="맑은 고딕"/>
        <i/>
        <color rgb="FF7F7F7F"/>
        <sz val="8.0"/>
      </rPr>
      <t xml:space="preserve">) / </t>
    </r>
    <r>
      <rPr>
        <rFont val="Noto Sans CJK SC"/>
        <i/>
        <color rgb="FF7F7F7F"/>
        <sz val="8.0"/>
      </rPr>
      <t xml:space="preserve">소통능력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기존 데이터셋에선 </t>
    </r>
    <r>
      <rPr>
        <rFont val="맑은 고딕"/>
        <i/>
        <color rgb="FF7F7F7F"/>
        <sz val="8.0"/>
      </rPr>
      <t xml:space="preserve">LMS </t>
    </r>
    <r>
      <rPr>
        <rFont val="Noto Sans CJK SC"/>
        <i/>
        <color rgb="FF7F7F7F"/>
        <sz val="8.0"/>
      </rPr>
      <t>항목 안에 섞여 있어 분리</t>
    </r>
  </si>
  <si>
    <r>
      <rPr>
        <rFont val="Noto Sans CJK SC"/>
        <color rgb="FF1F3B8A"/>
        <sz val="10.0"/>
      </rPr>
      <t>입학</t>
    </r>
    <r>
      <rPr>
        <rFont val="맑은 고딕"/>
        <color rgb="FF1F3B8A"/>
        <sz val="10.0"/>
      </rPr>
      <t>~2026-1</t>
    </r>
  </si>
  <si>
    <r>
      <rPr>
        <rFont val="Noto Sans CJK SC"/>
        <color rgb="FF7F7F7F"/>
        <sz val="9.0"/>
      </rPr>
      <t>예</t>
    </r>
    <r>
      <rPr>
        <rFont val="맑은 고딕"/>
        <color rgb="FF7F7F7F"/>
        <sz val="9.0"/>
      </rPr>
      <t xml:space="preserve">: </t>
    </r>
    <r>
      <rPr>
        <rFont val="Noto Sans CJK SC"/>
        <color rgb="FF7F7F7F"/>
        <sz val="9.0"/>
      </rPr>
      <t>입학</t>
    </r>
    <r>
      <rPr>
        <rFont val="맑은 고딕"/>
        <color rgb="FF7F7F7F"/>
        <sz val="9.0"/>
      </rPr>
      <t>~2026-1</t>
    </r>
  </si>
  <si>
    <r>
      <rPr>
        <rFont val="Noto Sans CJK SC"/>
        <b/>
        <color rgb="FF000000"/>
        <sz val="10.0"/>
      </rPr>
      <t>교수 면담 횟수</t>
    </r>
    <r>
      <rPr>
        <rFont val="맑은 고딕"/>
        <b/>
        <color rgb="FF000000"/>
        <sz val="10.0"/>
      </rPr>
      <t>(</t>
    </r>
    <r>
      <rPr>
        <rFont val="Noto Sans CJK SC"/>
        <b/>
        <color rgb="FF000000"/>
        <sz val="10.0"/>
      </rPr>
      <t>누적</t>
    </r>
    <r>
      <rPr>
        <rFont val="맑은 고딕"/>
        <b/>
        <color rgb="FF000000"/>
        <sz val="10.0"/>
      </rPr>
      <t>)</t>
    </r>
  </si>
  <si>
    <r>
      <rPr>
        <rFont val="Noto Sans CJK SC"/>
        <b/>
        <color rgb="FF000000"/>
        <sz val="10.0"/>
      </rPr>
      <t>학업상담 횟수</t>
    </r>
    <r>
      <rPr>
        <rFont val="맑은 고딕"/>
        <b/>
        <color rgb="FF000000"/>
        <sz val="10.0"/>
      </rPr>
      <t>(</t>
    </r>
    <r>
      <rPr>
        <rFont val="Noto Sans CJK SC"/>
        <b/>
        <color rgb="FF000000"/>
        <sz val="10.0"/>
      </rPr>
      <t>누적</t>
    </r>
    <r>
      <rPr>
        <rFont val="맑은 고딕"/>
        <b/>
        <color rgb="FF000000"/>
        <sz val="10.0"/>
      </rPr>
      <t>)</t>
    </r>
  </si>
  <si>
    <t>주요 상담 주제</t>
  </si>
  <si>
    <t>대학원 진학 상담</t>
  </si>
  <si>
    <t>짧게 요약</t>
  </si>
  <si>
    <r>
      <rPr>
        <rFont val="Noto Sans CJK SC"/>
        <b/>
        <color rgb="FF000000"/>
        <sz val="11.0"/>
      </rPr>
      <t>토론</t>
    </r>
    <r>
      <rPr>
        <rFont val="맑은 고딕"/>
        <b/>
        <color rgb="FF000000"/>
        <sz val="11.0"/>
      </rPr>
      <t>·</t>
    </r>
    <r>
      <rPr>
        <rFont val="Noto Sans CJK SC"/>
        <b/>
        <color rgb="FF000000"/>
        <sz val="11.0"/>
      </rPr>
      <t>게시판 참여</t>
    </r>
  </si>
  <si>
    <r>
      <rPr>
        <rFont val="Noto Sans CJK SC"/>
        <i/>
        <color rgb="FF7F7F7F"/>
        <sz val="8.0"/>
      </rPr>
      <t>출처</t>
    </r>
    <r>
      <rPr>
        <rFont val="맑은 고딕"/>
        <i/>
        <color rgb="FF7F7F7F"/>
        <sz val="8.0"/>
      </rPr>
      <t xml:space="preserve">: LMS(i-Campus)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소통능력 </t>
    </r>
    <r>
      <rPr>
        <rFont val="맑은 고딕"/>
        <i/>
        <color rgb="FF7F7F7F"/>
        <sz val="8.0"/>
      </rPr>
      <t xml:space="preserve">/ </t>
    </r>
    <r>
      <rPr>
        <rFont val="Noto Sans CJK SC"/>
        <i/>
        <color rgb="FF7F7F7F"/>
        <sz val="8.0"/>
      </rPr>
      <t xml:space="preserve">수업참여도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교수 관심 </t>
    </r>
    <r>
      <rPr>
        <rFont val="맑은 고딕"/>
        <i/>
        <color rgb="FF7F7F7F"/>
        <sz val="8.0"/>
      </rPr>
      <t>'</t>
    </r>
    <r>
      <rPr>
        <rFont val="Noto Sans CJK SC"/>
        <i/>
        <color rgb="FF7F7F7F"/>
        <sz val="8.0"/>
      </rPr>
      <t>소통능력</t>
    </r>
    <r>
      <rPr>
        <rFont val="맑은 고딕"/>
        <i/>
        <color rgb="FF7F7F7F"/>
        <sz val="8.0"/>
      </rPr>
      <t>'</t>
    </r>
    <r>
      <rPr>
        <rFont val="Noto Sans CJK SC"/>
        <i/>
        <color rgb="FF7F7F7F"/>
        <sz val="8.0"/>
      </rPr>
      <t>의 정량 근거 보강</t>
    </r>
  </si>
  <si>
    <r>
      <rPr>
        <rFont val="맑은 고딕"/>
        <color rgb="FF1F3B8A"/>
        <sz val="10.0"/>
      </rPr>
      <t>2026-1</t>
    </r>
    <r>
      <rPr>
        <rFont val="Noto Sans CJK SC"/>
        <color rgb="FF1F3B8A"/>
        <sz val="10.0"/>
      </rPr>
      <t>학기</t>
    </r>
  </si>
  <si>
    <r>
      <rPr>
        <rFont val="Noto Sans CJK SC"/>
        <color rgb="FF7F7F7F"/>
        <sz val="9.0"/>
      </rPr>
      <t>예</t>
    </r>
    <r>
      <rPr>
        <rFont val="맑은 고딕"/>
        <color rgb="FF7F7F7F"/>
        <sz val="9.0"/>
      </rPr>
      <t>: 2026-1</t>
    </r>
    <r>
      <rPr>
        <rFont val="Noto Sans CJK SC"/>
        <color rgb="FF7F7F7F"/>
        <sz val="9.0"/>
      </rPr>
      <t>학기</t>
    </r>
  </si>
  <si>
    <t>토론방 게시글 수</t>
  </si>
  <si>
    <t>토론방 댓글 수</t>
  </si>
  <si>
    <t>질의응답 참여 횟수</t>
  </si>
  <si>
    <r>
      <rPr>
        <rFont val="Noto Sans CJK SC"/>
        <b/>
        <color rgb="FFFFFFFF"/>
        <sz val="11.0"/>
      </rPr>
      <t>■ 연구</t>
    </r>
    <r>
      <rPr>
        <rFont val="맑은 고딕"/>
        <b/>
        <color rgb="FFFFFFFF"/>
        <sz val="11.0"/>
      </rPr>
      <t>·</t>
    </r>
    <r>
      <rPr>
        <rFont val="Noto Sans CJK SC"/>
        <b/>
        <color rgb="FFFFFFFF"/>
        <sz val="11.0"/>
      </rPr>
      <t>학술</t>
    </r>
  </si>
  <si>
    <r>
      <rPr>
        <rFont val="Noto Sans CJK SC"/>
        <b/>
        <color rgb="FF000000"/>
        <sz val="11.0"/>
      </rPr>
      <t>학회</t>
    </r>
    <r>
      <rPr>
        <rFont val="맑은 고딕"/>
        <b/>
        <color rgb="FF000000"/>
        <sz val="11.0"/>
      </rPr>
      <t>·</t>
    </r>
    <r>
      <rPr>
        <rFont val="Noto Sans CJK SC"/>
        <b/>
        <color rgb="FF000000"/>
        <sz val="11.0"/>
      </rPr>
      <t>연구활동</t>
    </r>
  </si>
  <si>
    <r>
      <rPr>
        <rFont val="Noto Sans CJK SC"/>
        <i/>
        <color rgb="FF7F7F7F"/>
        <sz val="8.0"/>
      </rPr>
      <t>출처</t>
    </r>
    <r>
      <rPr>
        <rFont val="맑은 고딕"/>
        <i/>
        <color rgb="FF7F7F7F"/>
        <sz val="8.0"/>
      </rPr>
      <t xml:space="preserve">: </t>
    </r>
    <r>
      <rPr>
        <rFont val="Noto Sans CJK SC"/>
        <i/>
        <color rgb="FF7F7F7F"/>
        <sz val="8.0"/>
      </rPr>
      <t>비교과</t>
    </r>
    <r>
      <rPr>
        <rFont val="맑은 고딕"/>
        <i/>
        <color rgb="FF7F7F7F"/>
        <sz val="8.0"/>
      </rPr>
      <t>·</t>
    </r>
    <r>
      <rPr>
        <rFont val="Noto Sans CJK SC"/>
        <i/>
        <color rgb="FF7F7F7F"/>
        <sz val="8.0"/>
      </rPr>
      <t xml:space="preserve">연구지원 시스템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탐구력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비고</t>
    </r>
    <r>
      <rPr>
        <rFont val="맑은 고딕"/>
        <i/>
        <color rgb="FF7F7F7F"/>
        <sz val="8.0"/>
      </rPr>
      <t xml:space="preserve">: [B] </t>
    </r>
    <r>
      <rPr>
        <rFont val="Noto Sans CJK SC"/>
        <i/>
        <color rgb="FF7F7F7F"/>
        <sz val="8.0"/>
      </rPr>
      <t>학회</t>
    </r>
    <r>
      <rPr>
        <rFont val="맑은 고딕"/>
        <i/>
        <color rgb="FF7F7F7F"/>
        <sz val="8.0"/>
      </rPr>
      <t>·</t>
    </r>
    <r>
      <rPr>
        <rFont val="Noto Sans CJK SC"/>
        <i/>
        <color rgb="FF7F7F7F"/>
        <sz val="8.0"/>
      </rPr>
      <t xml:space="preserve">연구 </t>
    </r>
    <r>
      <rPr>
        <rFont val="맑은 고딕"/>
        <i/>
        <color rgb="FF7F7F7F"/>
        <sz val="8.0"/>
      </rPr>
      <t>+ [C] URP·</t>
    </r>
    <r>
      <rPr>
        <rFont val="Noto Sans CJK SC"/>
        <i/>
        <color rgb="FF7F7F7F"/>
        <sz val="8.0"/>
      </rPr>
      <t>팀연구프로젝트 통합</t>
    </r>
  </si>
  <si>
    <t>활동 유형</t>
  </si>
  <si>
    <r>
      <rPr>
        <rFont val="Noto Sans CJK SC"/>
        <b/>
        <color rgb="FF000000"/>
        <sz val="9.0"/>
      </rPr>
      <t>활동명</t>
    </r>
    <r>
      <rPr>
        <rFont val="맑은 고딕"/>
        <b/>
        <color rgb="FF000000"/>
        <sz val="9.0"/>
      </rPr>
      <t>·</t>
    </r>
    <r>
      <rPr>
        <rFont val="Noto Sans CJK SC"/>
        <b/>
        <color rgb="FF000000"/>
        <sz val="9.0"/>
      </rPr>
      <t>소속</t>
    </r>
  </si>
  <si>
    <t>역할</t>
  </si>
  <si>
    <t>시작</t>
  </si>
  <si>
    <t>종료</t>
  </si>
  <si>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</si>
  <si>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t>주요 성과</t>
  </si>
  <si>
    <r>
      <rPr>
        <rFont val="맑은 고딕"/>
        <i/>
        <color rgb="FF7F7F7F"/>
        <sz val="8.0"/>
      </rPr>
      <t>[</t>
    </r>
    <r>
      <rPr>
        <rFont val="Noto Sans CJK SC"/>
        <i/>
        <color rgb="FF7F7F7F"/>
        <sz val="8.0"/>
      </rPr>
      <t xml:space="preserve">학부연구생 </t>
    </r>
    <r>
      <rPr>
        <rFont val="맑은 고딕"/>
        <i/>
        <color rgb="FF7F7F7F"/>
        <sz val="8.0"/>
      </rPr>
      <t xml:space="preserve">/ URP / </t>
    </r>
    <r>
      <rPr>
        <rFont val="Noto Sans CJK SC"/>
        <i/>
        <color rgb="FF7F7F7F"/>
        <sz val="8.0"/>
      </rPr>
      <t xml:space="preserve">학회 </t>
    </r>
    <r>
      <rPr>
        <rFont val="맑은 고딕"/>
        <i/>
        <color rgb="FF7F7F7F"/>
        <sz val="8.0"/>
      </rPr>
      <t xml:space="preserve">/ </t>
    </r>
    <r>
      <rPr>
        <rFont val="Noto Sans CJK SC"/>
        <i/>
        <color rgb="FF7F7F7F"/>
        <sz val="8.0"/>
      </rPr>
      <t xml:space="preserve">연구실 인턴 </t>
    </r>
    <r>
      <rPr>
        <rFont val="맑은 고딕"/>
        <i/>
        <color rgb="FF7F7F7F"/>
        <sz val="8.0"/>
      </rPr>
      <t xml:space="preserve">/ </t>
    </r>
    <r>
      <rPr>
        <rFont val="Noto Sans CJK SC"/>
        <i/>
        <color rgb="FF7F7F7F"/>
        <sz val="8.0"/>
      </rPr>
      <t>팀연구프로젝트</t>
    </r>
    <r>
      <rPr>
        <rFont val="맑은 고딕"/>
        <i/>
        <color rgb="FF7F7F7F"/>
        <sz val="8.0"/>
      </rPr>
      <t>]</t>
    </r>
  </si>
  <si>
    <r>
      <rPr>
        <rFont val="Noto Sans CJK SC"/>
        <i/>
        <color rgb="FF7F7F7F"/>
        <sz val="8.0"/>
      </rPr>
      <t>연구실</t>
    </r>
    <r>
      <rPr>
        <rFont val="맑은 고딕"/>
        <i/>
        <color rgb="FF7F7F7F"/>
        <sz val="8.0"/>
      </rPr>
      <t>/</t>
    </r>
    <r>
      <rPr>
        <rFont val="Noto Sans CJK SC"/>
        <i/>
        <color rgb="FF7F7F7F"/>
        <sz val="8.0"/>
      </rPr>
      <t>학회명</t>
    </r>
  </si>
  <si>
    <r>
      <rPr>
        <rFont val="맑은 고딕"/>
        <i/>
        <color rgb="FF7F7F7F"/>
        <sz val="8.0"/>
      </rPr>
      <t xml:space="preserve">YYYY-MM / </t>
    </r>
    <r>
      <rPr>
        <rFont val="Noto Sans CJK SC"/>
        <i/>
        <color rgb="FF7F7F7F"/>
        <sz val="8.0"/>
      </rPr>
      <t>진행중</t>
    </r>
  </si>
  <si>
    <t>학부연구생</t>
  </si>
  <si>
    <t>로봇제어연구실</t>
  </si>
  <si>
    <r>
      <rPr>
        <rFont val="Noto Sans CJK SC"/>
        <color rgb="FF1F3B8A"/>
        <sz val="10.0"/>
      </rPr>
      <t>시뮬레이션</t>
    </r>
    <r>
      <rPr>
        <rFont val="맑은 고딕"/>
        <color rgb="FF1F3B8A"/>
        <sz val="10.0"/>
      </rPr>
      <t>·</t>
    </r>
    <r>
      <rPr>
        <rFont val="Noto Sans CJK SC"/>
        <color rgb="FF1F3B8A"/>
        <sz val="10.0"/>
      </rPr>
      <t>실험 보조</t>
    </r>
  </si>
  <si>
    <t>2025-09</t>
  </si>
  <si>
    <t>진행중</t>
  </si>
  <si>
    <t>보행 로봇 제어 시뮬레이션 코드 작성</t>
  </si>
  <si>
    <r>
      <rPr>
        <rFont val="Noto Sans CJK SC"/>
        <b/>
        <color rgb="FF000000"/>
        <sz val="11.0"/>
      </rPr>
      <t>정보탐색 결과물</t>
    </r>
    <r>
      <rPr>
        <rFont val="맑은 고딕"/>
        <b/>
        <color rgb="FF000000"/>
        <sz val="11.0"/>
      </rPr>
      <t>(</t>
    </r>
    <r>
      <rPr>
        <rFont val="Noto Sans CJK SC"/>
        <b/>
        <color rgb="FF000000"/>
        <sz val="11.0"/>
      </rPr>
      <t>논문</t>
    </r>
    <r>
      <rPr>
        <rFont val="맑은 고딕"/>
        <b/>
        <color rgb="FF000000"/>
        <sz val="11.0"/>
      </rPr>
      <t>·</t>
    </r>
    <r>
      <rPr>
        <rFont val="Noto Sans CJK SC"/>
        <b/>
        <color rgb="FF000000"/>
        <sz val="11.0"/>
      </rPr>
      <t>보고서</t>
    </r>
    <r>
      <rPr>
        <rFont val="맑은 고딕"/>
        <b/>
        <color rgb="FF000000"/>
        <sz val="11.0"/>
      </rPr>
      <t>)</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</si>
  <si>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포트폴리오</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정보기술활용</t>
    </r>
    <r>
      <rPr>
        <rFont val="맑은 고딕"/>
        <i/>
        <color rgb="FF7F7F7F"/>
        <sz val="8.0"/>
      </rPr>
      <t>(</t>
    </r>
    <r>
      <rPr>
        <rFont val="Noto Sans CJK SC"/>
        <i/>
        <color rgb="FF7F7F7F"/>
        <sz val="8.0"/>
      </rPr>
      <t>정보탐색</t>
    </r>
    <r>
      <rPr>
        <rFont val="맑은 고딕"/>
        <i/>
        <color rgb="FF7F7F7F"/>
        <sz val="8.0"/>
      </rPr>
      <t xml:space="preserve">) / </t>
    </r>
    <r>
      <rPr>
        <rFont val="Noto Sans CJK SC"/>
        <i/>
        <color rgb="FF7F7F7F"/>
        <sz val="8.0"/>
      </rPr>
      <t xml:space="preserve">논리적사고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게재 수준</t>
    </r>
    <r>
      <rPr>
        <rFont val="맑은 고딕"/>
        <i/>
        <color rgb="FF7F7F7F"/>
        <sz val="8.0"/>
      </rPr>
      <t>(</t>
    </r>
    <r>
      <rPr>
        <rFont val="Noto Sans CJK SC"/>
        <i/>
        <color rgb="FF7F7F7F"/>
        <sz val="8.0"/>
      </rPr>
      <t>학술지</t>
    </r>
    <r>
      <rPr>
        <rFont val="맑은 고딕"/>
        <i/>
        <color rgb="FF7F7F7F"/>
        <sz val="8.0"/>
      </rPr>
      <t>·</t>
    </r>
    <r>
      <rPr>
        <rFont val="Noto Sans CJK SC"/>
        <i/>
        <color rgb="FF7F7F7F"/>
        <sz val="8.0"/>
      </rPr>
      <t>학회</t>
    </r>
    <r>
      <rPr>
        <rFont val="맑은 고딕"/>
        <i/>
        <color rgb="FF7F7F7F"/>
        <sz val="8.0"/>
      </rPr>
      <t>·</t>
    </r>
    <r>
      <rPr>
        <rFont val="Noto Sans CJK SC"/>
        <i/>
        <color rgb="FF7F7F7F"/>
        <sz val="8.0"/>
      </rPr>
      <t>교내</t>
    </r>
    <r>
      <rPr>
        <rFont val="맑은 고딕"/>
        <i/>
        <color rgb="FF7F7F7F"/>
        <sz val="8.0"/>
      </rPr>
      <t xml:space="preserve">) </t>
    </r>
    <r>
      <rPr>
        <rFont val="Noto Sans CJK SC"/>
        <i/>
        <color rgb="FF7F7F7F"/>
        <sz val="8.0"/>
      </rPr>
      <t>구분 기준 필요</t>
    </r>
  </si>
  <si>
    <t>유형</t>
  </si>
  <si>
    <t>제목</t>
  </si>
  <si>
    <t>게재 수준</t>
  </si>
  <si>
    <t>진행 상태</t>
  </si>
  <si>
    <t>저자 구분</t>
  </si>
  <si>
    <r>
      <rPr>
        <rFont val="Noto Sans CJK SC"/>
        <b/>
        <color rgb="FF000000"/>
        <sz val="9.0"/>
      </rPr>
      <t>발표</t>
    </r>
    <r>
      <rPr>
        <rFont val="맑은 고딕"/>
        <b/>
        <color rgb="FF000000"/>
        <sz val="9.0"/>
      </rPr>
      <t>·</t>
    </r>
    <r>
      <rPr>
        <rFont val="Noto Sans CJK SC"/>
        <b/>
        <color rgb="FF000000"/>
        <sz val="9.0"/>
      </rPr>
      <t>게재 연월</t>
    </r>
  </si>
  <si>
    <r>
      <rPr>
        <rFont val="맑은 고딕"/>
        <i/>
        <color rgb="FF7F7F7F"/>
        <sz val="8.0"/>
      </rPr>
      <t>[</t>
    </r>
    <r>
      <rPr>
        <rFont val="Noto Sans CJK SC"/>
        <i/>
        <color rgb="FF7F7F7F"/>
        <sz val="8.0"/>
      </rPr>
      <t xml:space="preserve">논문 </t>
    </r>
    <r>
      <rPr>
        <rFont val="맑은 고딕"/>
        <i/>
        <color rgb="FF7F7F7F"/>
        <sz val="8.0"/>
      </rPr>
      <t xml:space="preserve">/ </t>
    </r>
    <r>
      <rPr>
        <rFont val="Noto Sans CJK SC"/>
        <i/>
        <color rgb="FF7F7F7F"/>
        <sz val="8.0"/>
      </rPr>
      <t xml:space="preserve">보고서 </t>
    </r>
    <r>
      <rPr>
        <rFont val="맑은 고딕"/>
        <i/>
        <color rgb="FF7F7F7F"/>
        <sz val="8.0"/>
      </rPr>
      <t xml:space="preserve">/ </t>
    </r>
    <r>
      <rPr>
        <rFont val="Noto Sans CJK SC"/>
        <i/>
        <color rgb="FF7F7F7F"/>
        <sz val="8.0"/>
      </rPr>
      <t>학술발표자료</t>
    </r>
    <r>
      <rPr>
        <rFont val="맑은 고딕"/>
        <i/>
        <color rgb="FF7F7F7F"/>
        <sz val="8.0"/>
      </rPr>
      <t>]</t>
    </r>
  </si>
  <si>
    <r>
      <rPr>
        <rFont val="맑은 고딕"/>
        <i/>
        <color rgb="FF7F7F7F"/>
        <sz val="8.0"/>
      </rPr>
      <t>[</t>
    </r>
    <r>
      <rPr>
        <rFont val="Noto Sans CJK SC"/>
        <i/>
        <color rgb="FF7F7F7F"/>
        <sz val="8.0"/>
      </rPr>
      <t xml:space="preserve">국제학술지 </t>
    </r>
    <r>
      <rPr>
        <rFont val="맑은 고딕"/>
        <i/>
        <color rgb="FF7F7F7F"/>
        <sz val="8.0"/>
      </rPr>
      <t xml:space="preserve">/ </t>
    </r>
    <r>
      <rPr>
        <rFont val="Noto Sans CJK SC"/>
        <i/>
        <color rgb="FF7F7F7F"/>
        <sz val="8.0"/>
      </rPr>
      <t xml:space="preserve">국내학술지 </t>
    </r>
    <r>
      <rPr>
        <rFont val="맑은 고딕"/>
        <i/>
        <color rgb="FF7F7F7F"/>
        <sz val="8.0"/>
      </rPr>
      <t xml:space="preserve">/ </t>
    </r>
    <r>
      <rPr>
        <rFont val="Noto Sans CJK SC"/>
        <i/>
        <color rgb="FF7F7F7F"/>
        <sz val="8.0"/>
      </rPr>
      <t xml:space="preserve">국제학술대회 </t>
    </r>
    <r>
      <rPr>
        <rFont val="맑은 고딕"/>
        <i/>
        <color rgb="FF7F7F7F"/>
        <sz val="8.0"/>
      </rPr>
      <t xml:space="preserve">/ </t>
    </r>
    <r>
      <rPr>
        <rFont val="Noto Sans CJK SC"/>
        <i/>
        <color rgb="FF7F7F7F"/>
        <sz val="8.0"/>
      </rPr>
      <t xml:space="preserve">국내학술대회 </t>
    </r>
    <r>
      <rPr>
        <rFont val="맑은 고딕"/>
        <i/>
        <color rgb="FF7F7F7F"/>
        <sz val="8.0"/>
      </rPr>
      <t xml:space="preserve">/ </t>
    </r>
    <r>
      <rPr>
        <rFont val="Noto Sans CJK SC"/>
        <i/>
        <color rgb="FF7F7F7F"/>
        <sz val="8.0"/>
      </rPr>
      <t>교내</t>
    </r>
    <r>
      <rPr>
        <rFont val="맑은 고딕"/>
        <i/>
        <color rgb="FF7F7F7F"/>
        <sz val="8.0"/>
      </rPr>
      <t>]</t>
    </r>
  </si>
  <si>
    <r>
      <rPr>
        <rFont val="맑은 고딕"/>
        <i/>
        <color rgb="FF7F7F7F"/>
        <sz val="8.0"/>
      </rPr>
      <t>[</t>
    </r>
    <r>
      <rPr>
        <rFont val="Noto Sans CJK SC"/>
        <i/>
        <color rgb="FF7F7F7F"/>
        <sz val="8.0"/>
      </rPr>
      <t xml:space="preserve">게재 </t>
    </r>
    <r>
      <rPr>
        <rFont val="맑은 고딕"/>
        <i/>
        <color rgb="FF7F7F7F"/>
        <sz val="8.0"/>
      </rPr>
      <t xml:space="preserve">/ </t>
    </r>
    <r>
      <rPr>
        <rFont val="Noto Sans CJK SC"/>
        <i/>
        <color rgb="FF7F7F7F"/>
        <sz val="8.0"/>
      </rPr>
      <t xml:space="preserve">게재승인 </t>
    </r>
    <r>
      <rPr>
        <rFont val="맑은 고딕"/>
        <i/>
        <color rgb="FF7F7F7F"/>
        <sz val="8.0"/>
      </rPr>
      <t xml:space="preserve">/ </t>
    </r>
    <r>
      <rPr>
        <rFont val="Noto Sans CJK SC"/>
        <i/>
        <color rgb="FF7F7F7F"/>
        <sz val="8.0"/>
      </rPr>
      <t xml:space="preserve">투고 </t>
    </r>
    <r>
      <rPr>
        <rFont val="맑은 고딕"/>
        <i/>
        <color rgb="FF7F7F7F"/>
        <sz val="8.0"/>
      </rPr>
      <t xml:space="preserve">/ </t>
    </r>
    <r>
      <rPr>
        <rFont val="Noto Sans CJK SC"/>
        <i/>
        <color rgb="FF7F7F7F"/>
        <sz val="8.0"/>
      </rPr>
      <t>작성중</t>
    </r>
    <r>
      <rPr>
        <rFont val="맑은 고딕"/>
        <i/>
        <color rgb="FF7F7F7F"/>
        <sz val="8.0"/>
      </rPr>
      <t>]</t>
    </r>
  </si>
  <si>
    <r>
      <rPr>
        <rFont val="맑은 고딕"/>
        <i/>
        <color rgb="FF7F7F7F"/>
        <sz val="8.0"/>
      </rPr>
      <t>[</t>
    </r>
    <r>
      <rPr>
        <rFont val="Noto Sans CJK SC"/>
        <i/>
        <color rgb="FF7F7F7F"/>
        <sz val="8.0"/>
      </rPr>
      <t xml:space="preserve">단독 </t>
    </r>
    <r>
      <rPr>
        <rFont val="맑은 고딕"/>
        <i/>
        <color rgb="FF7F7F7F"/>
        <sz val="8.0"/>
      </rPr>
      <t xml:space="preserve">/ </t>
    </r>
    <r>
      <rPr>
        <rFont val="Noto Sans CJK SC"/>
        <i/>
        <color rgb="FF7F7F7F"/>
        <sz val="8.0"/>
      </rPr>
      <t>제</t>
    </r>
    <r>
      <rPr>
        <rFont val="맑은 고딕"/>
        <i/>
        <color rgb="FF7F7F7F"/>
        <sz val="8.0"/>
      </rPr>
      <t>1</t>
    </r>
    <r>
      <rPr>
        <rFont val="Noto Sans CJK SC"/>
        <i/>
        <color rgb="FF7F7F7F"/>
        <sz val="8.0"/>
      </rPr>
      <t xml:space="preserve">저자 </t>
    </r>
    <r>
      <rPr>
        <rFont val="맑은 고딕"/>
        <i/>
        <color rgb="FF7F7F7F"/>
        <sz val="8.0"/>
      </rPr>
      <t xml:space="preserve">/ </t>
    </r>
    <r>
      <rPr>
        <rFont val="Noto Sans CJK SC"/>
        <i/>
        <color rgb="FF7F7F7F"/>
        <sz val="8.0"/>
      </rPr>
      <t>공동저자</t>
    </r>
    <r>
      <rPr>
        <rFont val="맑은 고딕"/>
        <i/>
        <color rgb="FF7F7F7F"/>
        <sz val="8.0"/>
      </rPr>
      <t>]</t>
    </r>
  </si>
  <si>
    <t>보고서</t>
  </si>
  <si>
    <r>
      <rPr>
        <rFont val="맑은 고딕"/>
        <color rgb="FF1F3B8A"/>
        <sz val="10.0"/>
      </rPr>
      <t>4</t>
    </r>
    <r>
      <rPr>
        <rFont val="Noto Sans CJK SC"/>
        <color rgb="FF1F3B8A"/>
        <sz val="10.0"/>
      </rPr>
      <t>족 보행로봇 보행 안정성 시뮬레이션</t>
    </r>
  </si>
  <si>
    <t>교내</t>
  </si>
  <si>
    <t>게재</t>
  </si>
  <si>
    <r>
      <rPr>
        <rFont val="Noto Sans CJK SC"/>
        <color rgb="FF1F3B8A"/>
        <sz val="10.0"/>
      </rPr>
      <t>제</t>
    </r>
    <r>
      <rPr>
        <rFont val="맑은 고딕"/>
        <color rgb="FF1F3B8A"/>
        <sz val="10.0"/>
      </rPr>
      <t>1</t>
    </r>
    <r>
      <rPr>
        <rFont val="Noto Sans CJK SC"/>
        <color rgb="FF1F3B8A"/>
        <sz val="10.0"/>
      </rPr>
      <t>저자</t>
    </r>
  </si>
  <si>
    <t>2026-02</t>
  </si>
  <si>
    <r>
      <rPr>
        <rFont val="맑은 고딕"/>
        <b/>
        <color rgb="FF000000"/>
        <sz val="11.0"/>
      </rPr>
      <t xml:space="preserve">TA </t>
    </r>
    <r>
      <rPr>
        <rFont val="Noto Sans CJK SC"/>
        <b/>
        <color rgb="FF000000"/>
        <sz val="11.0"/>
      </rPr>
      <t>활동</t>
    </r>
  </si>
  <si>
    <t>활동 없음</t>
  </si>
  <si>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교수학습센터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 xml:space="preserve">책임감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기존 데이터셋에 없는 신규 근거</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</si>
  <si>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</si>
  <si>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t>주요 역할</t>
  </si>
  <si>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</si>
  <si>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Noto Sans CJK SC"/>
        <b/>
        <color rgb="FFFFFFFF"/>
        <sz val="11.0"/>
      </rPr>
      <t>■ 실무</t>
    </r>
    <r>
      <rPr>
        <rFont val="맑은 고딕"/>
        <b/>
        <color rgb="FFFFFFFF"/>
        <sz val="11.0"/>
      </rPr>
      <t>·</t>
    </r>
    <r>
      <rPr>
        <rFont val="Noto Sans CJK SC"/>
        <b/>
        <color rgb="FFFFFFFF"/>
        <sz val="11.0"/>
      </rPr>
      <t>진로</t>
    </r>
  </si>
  <si>
    <r>
      <rPr>
        <rFont val="Noto Sans CJK SC"/>
        <b/>
        <color rgb="FF000000"/>
        <sz val="11.0"/>
      </rPr>
      <t>인턴</t>
    </r>
    <r>
      <rPr>
        <rFont val="맑은 고딕"/>
        <b/>
        <color rgb="FF000000"/>
        <sz val="11.0"/>
      </rPr>
      <t>·</t>
    </r>
    <r>
      <rPr>
        <rFont val="Noto Sans CJK SC"/>
        <b/>
        <color rgb="FF000000"/>
        <sz val="11.0"/>
      </rPr>
      <t>현장실습</t>
    </r>
  </si>
  <si>
    <r>
      <rPr>
        <rFont val="Noto Sans CJK SC"/>
        <i/>
        <color rgb="FF7F7F7F"/>
        <sz val="8.0"/>
      </rPr>
      <t>출처</t>
    </r>
    <r>
      <rPr>
        <rFont val="맑은 고딕"/>
        <i/>
        <color rgb="FF7F7F7F"/>
        <sz val="8.0"/>
      </rPr>
      <t xml:space="preserve">: </t>
    </r>
    <r>
      <rPr>
        <rFont val="Noto Sans CJK SC"/>
        <i/>
        <color rgb="FF7F7F7F"/>
        <sz val="8.0"/>
      </rPr>
      <t xml:space="preserve">현장실습 지원 시스템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인턴십</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커뮤니케이션</t>
    </r>
    <r>
      <rPr>
        <rFont val="맑은 고딕"/>
        <i/>
        <color rgb="FF7F7F7F"/>
        <sz val="8.0"/>
      </rPr>
      <t>(</t>
    </r>
    <r>
      <rPr>
        <rFont val="Noto Sans CJK SC"/>
        <i/>
        <color rgb="FF7F7F7F"/>
        <sz val="8.0"/>
      </rPr>
      <t>협업</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기간</t>
    </r>
    <r>
      <rPr>
        <rFont val="맑은 고딕"/>
        <i/>
        <color rgb="FF7F7F7F"/>
        <sz val="8.0"/>
      </rPr>
      <t>(</t>
    </r>
    <r>
      <rPr>
        <rFont val="Noto Sans CJK SC"/>
        <i/>
        <color rgb="FF7F7F7F"/>
        <sz val="8.0"/>
      </rPr>
      <t>개월</t>
    </r>
    <r>
      <rPr>
        <rFont val="맑은 고딕"/>
        <i/>
        <color rgb="FF7F7F7F"/>
        <sz val="8.0"/>
      </rPr>
      <t>)</t>
    </r>
    <r>
      <rPr>
        <rFont val="Noto Sans CJK SC"/>
        <i/>
        <color rgb="FF7F7F7F"/>
        <sz val="8.0"/>
      </rPr>
      <t>과 직무 관련성을 함께 추출</t>
    </r>
  </si>
  <si>
    <t>기관명</t>
  </si>
  <si>
    <r>
      <rPr>
        <rFont val="Noto Sans CJK SC"/>
        <b/>
        <color rgb="FF000000"/>
        <sz val="9.0"/>
      </rPr>
      <t>직무</t>
    </r>
    <r>
      <rPr>
        <rFont val="맑은 고딕"/>
        <b/>
        <color rgb="FF000000"/>
        <sz val="9.0"/>
      </rPr>
      <t>·</t>
    </r>
    <r>
      <rPr>
        <rFont val="Noto Sans CJK SC"/>
        <b/>
        <color rgb="FF000000"/>
        <sz val="9.0"/>
      </rPr>
      <t>부서</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</si>
  <si>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</si>
  <si>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t>전공 관련성</t>
  </si>
  <si>
    <r>
      <rPr>
        <rFont val="맑은 고딕"/>
        <b/>
        <color rgb="FF000000"/>
        <sz val="9.0"/>
      </rPr>
      <t>3</t>
    </r>
    <r>
      <rPr>
        <rFont val="Noto Sans CJK SC"/>
        <b/>
        <color rgb="FF000000"/>
        <sz val="9.0"/>
      </rPr>
      <t>품 인정</t>
    </r>
  </si>
  <si>
    <r>
      <rPr>
        <rFont val="맑은 고딕"/>
        <i/>
        <color rgb="FF7F7F7F"/>
        <sz val="8.0"/>
      </rPr>
      <t>[</t>
    </r>
    <r>
      <rPr>
        <rFont val="Noto Sans CJK SC"/>
        <i/>
        <color rgb="FF7F7F7F"/>
        <sz val="8.0"/>
      </rPr>
      <t xml:space="preserve">인턴십 </t>
    </r>
    <r>
      <rPr>
        <rFont val="맑은 고딕"/>
        <i/>
        <color rgb="FF7F7F7F"/>
        <sz val="8.0"/>
      </rPr>
      <t xml:space="preserve">/ </t>
    </r>
    <r>
      <rPr>
        <rFont val="Noto Sans CJK SC"/>
        <i/>
        <color rgb="FF7F7F7F"/>
        <sz val="8.0"/>
      </rPr>
      <t xml:space="preserve">현장실습 </t>
    </r>
    <r>
      <rPr>
        <rFont val="맑은 고딕"/>
        <i/>
        <color rgb="FF7F7F7F"/>
        <sz val="8.0"/>
      </rPr>
      <t xml:space="preserve">/ </t>
    </r>
    <r>
      <rPr>
        <rFont val="Noto Sans CJK SC"/>
        <i/>
        <color rgb="FF7F7F7F"/>
        <sz val="8.0"/>
      </rPr>
      <t xml:space="preserve">연구체험 </t>
    </r>
    <r>
      <rPr>
        <rFont val="맑은 고딕"/>
        <i/>
        <color rgb="FF7F7F7F"/>
        <sz val="8.0"/>
      </rPr>
      <t xml:space="preserve">/ </t>
    </r>
    <r>
      <rPr>
        <rFont val="Noto Sans CJK SC"/>
        <i/>
        <color rgb="FF7F7F7F"/>
        <sz val="8.0"/>
      </rPr>
      <t>문제해결프로젝트</t>
    </r>
    <r>
      <rPr>
        <rFont val="맑은 고딕"/>
        <i/>
        <color rgb="FF7F7F7F"/>
        <sz val="8.0"/>
      </rPr>
      <t>]</t>
    </r>
  </si>
  <si>
    <r>
      <rPr>
        <rFont val="맑은 고딕"/>
        <i/>
        <color rgb="FF7F7F7F"/>
        <sz val="8.0"/>
      </rPr>
      <t>[</t>
    </r>
    <r>
      <rPr>
        <rFont val="Noto Sans CJK SC"/>
        <i/>
        <color rgb="FF7F7F7F"/>
        <sz val="8.0"/>
      </rPr>
      <t xml:space="preserve">관련 </t>
    </r>
    <r>
      <rPr>
        <rFont val="맑은 고딕"/>
        <i/>
        <color rgb="FF7F7F7F"/>
        <sz val="8.0"/>
      </rPr>
      <t xml:space="preserve">/ </t>
    </r>
    <r>
      <rPr>
        <rFont val="Noto Sans CJK SC"/>
        <i/>
        <color rgb="FF7F7F7F"/>
        <sz val="8.0"/>
      </rPr>
      <t xml:space="preserve">일부 관련 </t>
    </r>
    <r>
      <rPr>
        <rFont val="맑은 고딕"/>
        <i/>
        <color rgb="FF7F7F7F"/>
        <sz val="8.0"/>
      </rPr>
      <t xml:space="preserve">/ </t>
    </r>
    <r>
      <rPr>
        <rFont val="Noto Sans CJK SC"/>
        <i/>
        <color rgb="FF7F7F7F"/>
        <sz val="8.0"/>
      </rPr>
      <t>무관</t>
    </r>
    <r>
      <rPr>
        <rFont val="맑은 고딕"/>
        <i/>
        <color rgb="FF7F7F7F"/>
        <sz val="8.0"/>
      </rPr>
      <t>]</t>
    </r>
  </si>
  <si>
    <t>[Y / N]</t>
  </si>
  <si>
    <t>현장실습</t>
  </si>
  <si>
    <r>
      <rPr>
        <rFont val="Noto Sans CJK SC"/>
        <color rgb="FF1F3B8A"/>
        <sz val="10.0"/>
      </rPr>
      <t>대성정밀</t>
    </r>
    <r>
      <rPr>
        <rFont val="맑은 고딕"/>
        <color rgb="FF1F3B8A"/>
        <sz val="10.0"/>
      </rPr>
      <t>(</t>
    </r>
    <r>
      <rPr>
        <rFont val="Noto Sans CJK SC"/>
        <color rgb="FF1F3B8A"/>
        <sz val="10.0"/>
      </rPr>
      <t>가상</t>
    </r>
    <r>
      <rPr>
        <rFont val="맑은 고딕"/>
        <color rgb="FF1F3B8A"/>
        <sz val="10.0"/>
      </rPr>
      <t>)</t>
    </r>
  </si>
  <si>
    <t>생산기술팀</t>
  </si>
  <si>
    <t>2025-01</t>
  </si>
  <si>
    <t>2025-02</t>
  </si>
  <si>
    <t>관련</t>
  </si>
  <si>
    <t>아르바이트경험</t>
  </si>
  <si>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고용보험 자격이력 등</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 xml:space="preserve">책임감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증빙 신뢰도 낮음 → 기간 위주 정량화 권장</t>
    </r>
  </si>
  <si>
    <t>업종</t>
  </si>
  <si>
    <t>직무</t>
  </si>
  <si>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</si>
  <si>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t>주당 근무시간</t>
  </si>
  <si>
    <t>증빙</t>
  </si>
  <si>
    <r>
      <rPr>
        <rFont val="맑은 고딕"/>
        <i/>
        <color rgb="FF7F7F7F"/>
        <sz val="8.0"/>
      </rPr>
      <t>[</t>
    </r>
    <r>
      <rPr>
        <rFont val="Noto Sans CJK SC"/>
        <i/>
        <color rgb="FF7F7F7F"/>
        <sz val="8.0"/>
      </rPr>
      <t xml:space="preserve">고용보험 </t>
    </r>
    <r>
      <rPr>
        <rFont val="맑은 고딕"/>
        <i/>
        <color rgb="FF7F7F7F"/>
        <sz val="8.0"/>
      </rPr>
      <t xml:space="preserve">/ </t>
    </r>
    <r>
      <rPr>
        <rFont val="Noto Sans CJK SC"/>
        <i/>
        <color rgb="FF7F7F7F"/>
        <sz val="8.0"/>
      </rPr>
      <t>재직</t>
    </r>
    <r>
      <rPr>
        <rFont val="맑은 고딕"/>
        <i/>
        <color rgb="FF7F7F7F"/>
        <sz val="8.0"/>
      </rPr>
      <t>·</t>
    </r>
    <r>
      <rPr>
        <rFont val="Noto Sans CJK SC"/>
        <i/>
        <color rgb="FF7F7F7F"/>
        <sz val="8.0"/>
      </rPr>
      <t xml:space="preserve">경력증명 </t>
    </r>
    <r>
      <rPr>
        <rFont val="맑은 고딕"/>
        <i/>
        <color rgb="FF7F7F7F"/>
        <sz val="8.0"/>
      </rPr>
      <t xml:space="preserve">/ </t>
    </r>
    <r>
      <rPr>
        <rFont val="Noto Sans CJK SC"/>
        <i/>
        <color rgb="FF7F7F7F"/>
        <sz val="8.0"/>
      </rPr>
      <t>없음</t>
    </r>
    <r>
      <rPr>
        <rFont val="맑은 고딕"/>
        <i/>
        <color rgb="FF7F7F7F"/>
        <sz val="8.0"/>
      </rPr>
      <t>]</t>
    </r>
  </si>
  <si>
    <t>물류센터</t>
  </si>
  <si>
    <t>상하차</t>
  </si>
  <si>
    <t>고용보험</t>
  </si>
  <si>
    <r>
      <rPr>
        <rFont val="Noto Sans CJK SC"/>
        <b/>
        <color rgb="FF000000"/>
        <sz val="11.0"/>
      </rPr>
      <t>진로설계</t>
    </r>
    <r>
      <rPr>
        <rFont val="맑은 고딕"/>
        <b/>
        <color rgb="FF000000"/>
        <sz val="11.0"/>
      </rPr>
      <t>·</t>
    </r>
    <r>
      <rPr>
        <rFont val="Noto Sans CJK SC"/>
        <b/>
        <color rgb="FF000000"/>
        <sz val="11.0"/>
      </rPr>
      <t>취업상담</t>
    </r>
  </si>
  <si>
    <r>
      <rPr>
        <rFont val="Noto Sans CJK SC"/>
        <i/>
        <color rgb="FF7F7F7F"/>
        <sz val="8.0"/>
      </rPr>
      <t>출처</t>
    </r>
    <r>
      <rPr>
        <rFont val="맑은 고딕"/>
        <i/>
        <color rgb="FF7F7F7F"/>
        <sz val="8.0"/>
      </rPr>
      <t xml:space="preserve">: </t>
    </r>
    <r>
      <rPr>
        <rFont val="Noto Sans CJK SC"/>
        <i/>
        <color rgb="FF7F7F7F"/>
        <sz val="8.0"/>
      </rPr>
      <t xml:space="preserve">경력개발 </t>
    </r>
    <r>
      <rPr>
        <rFont val="맑은 고딕"/>
        <i/>
        <color rgb="FF7F7F7F"/>
        <sz val="8.0"/>
      </rPr>
      <t xml:space="preserve">· </t>
    </r>
    <r>
      <rPr>
        <rFont val="Noto Sans CJK SC"/>
        <i/>
        <color rgb="FF7F7F7F"/>
        <sz val="8.0"/>
      </rPr>
      <t xml:space="preserve">상담 시스템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자기관리</t>
    </r>
    <r>
      <rPr>
        <rFont val="맑은 고딕"/>
        <i/>
        <color rgb="FF7F7F7F"/>
        <sz val="8.0"/>
      </rPr>
      <t>(</t>
    </r>
    <r>
      <rPr>
        <rFont val="Noto Sans CJK SC"/>
        <i/>
        <color rgb="FF7F7F7F"/>
        <sz val="8.0"/>
      </rPr>
      <t>계획 수립</t>
    </r>
    <r>
      <rPr>
        <rFont val="맑은 고딕"/>
        <i/>
        <color rgb="FF7F7F7F"/>
        <sz val="8.0"/>
      </rPr>
      <t xml:space="preserve">) /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t>
    </r>
    <r>
      <rPr>
        <rFont val="Noto Sans CJK SC"/>
        <i/>
        <color rgb="FF7F7F7F"/>
        <sz val="8.0"/>
      </rPr>
      <t>계획 수립 및 실행 능력</t>
    </r>
    <r>
      <rPr>
        <rFont val="맑은 고딕"/>
        <i/>
        <color rgb="FF7F7F7F"/>
        <sz val="8.0"/>
      </rPr>
      <t>'</t>
    </r>
    <r>
      <rPr>
        <rFont val="Noto Sans CJK SC"/>
        <i/>
        <color rgb="FF7F7F7F"/>
        <sz val="8.0"/>
      </rPr>
      <t xml:space="preserve">의 근거가 </t>
    </r>
    <r>
      <rPr>
        <rFont val="맑은 고딕"/>
        <i/>
        <color rgb="FF7F7F7F"/>
        <sz val="8.0"/>
      </rPr>
      <t xml:space="preserve">LMS </t>
    </r>
    <r>
      <rPr>
        <rFont val="Noto Sans CJK SC"/>
        <i/>
        <color rgb="FF7F7F7F"/>
        <sz val="8.0"/>
      </rPr>
      <t>하나뿐인 공백 보완</t>
    </r>
  </si>
  <si>
    <r>
      <rPr>
        <rFont val="Noto Sans CJK SC"/>
        <b/>
        <color rgb="FF000000"/>
        <sz val="10.0"/>
      </rPr>
      <t>진로</t>
    </r>
    <r>
      <rPr>
        <rFont val="맑은 고딕"/>
        <b/>
        <color rgb="FF000000"/>
        <sz val="10.0"/>
      </rPr>
      <t>·</t>
    </r>
    <r>
      <rPr>
        <rFont val="Noto Sans CJK SC"/>
        <b/>
        <color rgb="FF000000"/>
        <sz val="10.0"/>
      </rPr>
      <t>취업 상담 횟수</t>
    </r>
    <r>
      <rPr>
        <rFont val="맑은 고딕"/>
        <b/>
        <color rgb="FF000000"/>
        <sz val="10.0"/>
      </rPr>
      <t>(</t>
    </r>
    <r>
      <rPr>
        <rFont val="Noto Sans CJK SC"/>
        <b/>
        <color rgb="FF000000"/>
        <sz val="10.0"/>
      </rPr>
      <t>누적</t>
    </r>
    <r>
      <rPr>
        <rFont val="맑은 고딕"/>
        <b/>
        <color rgb="FF000000"/>
        <sz val="10.0"/>
      </rPr>
      <t>)</t>
    </r>
  </si>
  <si>
    <t>진로 목표 설정 여부</t>
  </si>
  <si>
    <r>
      <rPr>
        <rFont val="Noto Sans CJK SC"/>
        <b/>
        <color rgb="FF000000"/>
        <sz val="10.0"/>
      </rPr>
      <t>희망 직무</t>
    </r>
    <r>
      <rPr>
        <rFont val="맑은 고딕"/>
        <b/>
        <color rgb="FF000000"/>
        <sz val="10.0"/>
      </rPr>
      <t>·</t>
    </r>
    <r>
      <rPr>
        <rFont val="Noto Sans CJK SC"/>
        <b/>
        <color rgb="FF000000"/>
        <sz val="10.0"/>
      </rPr>
      <t>분야</t>
    </r>
  </si>
  <si>
    <r>
      <rPr>
        <rFont val="Noto Sans CJK SC"/>
        <color rgb="FF1F3B8A"/>
        <sz val="10.0"/>
      </rPr>
      <t xml:space="preserve">로봇 제어 </t>
    </r>
    <r>
      <rPr>
        <rFont val="맑은 고딕"/>
        <color rgb="FF1F3B8A"/>
        <sz val="10.0"/>
      </rPr>
      <t>R&amp;D</t>
    </r>
  </si>
  <si>
    <t>진로 목표 기록</t>
  </si>
  <si>
    <t>로봇 제어 분야 석사 진학 후 연구개발 직무로 진출</t>
  </si>
  <si>
    <t>서술</t>
  </si>
  <si>
    <r>
      <rPr>
        <rFont val="맑은 고딕"/>
        <color rgb="FF7F7F7F"/>
        <sz val="9.0"/>
      </rPr>
      <t>1~3</t>
    </r>
    <r>
      <rPr>
        <rFont val="Noto Sans CJK SC"/>
        <color rgb="FF7F7F7F"/>
        <sz val="9.0"/>
      </rPr>
      <t>문장</t>
    </r>
  </si>
  <si>
    <r>
      <rPr>
        <rFont val="Noto Sans CJK SC"/>
        <b/>
        <color rgb="FFFFFFFF"/>
        <sz val="11.0"/>
      </rPr>
      <t>■ 창의</t>
    </r>
    <r>
      <rPr>
        <rFont val="맑은 고딕"/>
        <b/>
        <color rgb="FFFFFFFF"/>
        <sz val="11.0"/>
      </rPr>
      <t>·</t>
    </r>
    <r>
      <rPr>
        <rFont val="Noto Sans CJK SC"/>
        <b/>
        <color rgb="FFFFFFFF"/>
        <sz val="11.0"/>
      </rPr>
      <t>도전</t>
    </r>
  </si>
  <si>
    <r>
      <rPr>
        <rFont val="Noto Sans CJK SC"/>
        <b/>
        <color rgb="FF000000"/>
        <sz val="11.0"/>
      </rPr>
      <t>공모전 참가</t>
    </r>
    <r>
      <rPr>
        <rFont val="맑은 고딕"/>
        <b/>
        <color rgb="FF000000"/>
        <sz val="11.0"/>
      </rPr>
      <t>·</t>
    </r>
    <r>
      <rPr>
        <rFont val="Noto Sans CJK SC"/>
        <b/>
        <color rgb="FF000000"/>
        <sz val="11.0"/>
      </rPr>
      <t>수상</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</si>
  <si>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 xml:space="preserve">종합적사고력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수상 등급 </t>
    </r>
    <r>
      <rPr>
        <rFont val="맑은 고딕"/>
        <i/>
        <color rgb="FF7F7F7F"/>
        <sz val="8.0"/>
      </rPr>
      <t xml:space="preserve">× </t>
    </r>
    <r>
      <rPr>
        <rFont val="Noto Sans CJK SC"/>
        <i/>
        <color rgb="FF7F7F7F"/>
        <sz val="8.0"/>
      </rPr>
      <t>주관 수준</t>
    </r>
    <r>
      <rPr>
        <rFont val="맑은 고딕"/>
        <i/>
        <color rgb="FF7F7F7F"/>
        <sz val="8.0"/>
      </rPr>
      <t>(</t>
    </r>
    <r>
      <rPr>
        <rFont val="Noto Sans CJK SC"/>
        <i/>
        <color rgb="FF7F7F7F"/>
        <sz val="8.0"/>
      </rPr>
      <t>교내</t>
    </r>
    <r>
      <rPr>
        <rFont val="맑은 고딕"/>
        <i/>
        <color rgb="FF7F7F7F"/>
        <sz val="8.0"/>
      </rPr>
      <t>·</t>
    </r>
    <r>
      <rPr>
        <rFont val="Noto Sans CJK SC"/>
        <i/>
        <color rgb="FF7F7F7F"/>
        <sz val="8.0"/>
      </rPr>
      <t>전국</t>
    </r>
    <r>
      <rPr>
        <rFont val="맑은 고딕"/>
        <i/>
        <color rgb="FF7F7F7F"/>
        <sz val="8.0"/>
      </rPr>
      <t>·</t>
    </r>
    <r>
      <rPr>
        <rFont val="Noto Sans CJK SC"/>
        <i/>
        <color rgb="FF7F7F7F"/>
        <sz val="8.0"/>
      </rPr>
      <t>국제</t>
    </r>
    <r>
      <rPr>
        <rFont val="맑은 고딕"/>
        <i/>
        <color rgb="FF7F7F7F"/>
        <sz val="8.0"/>
      </rPr>
      <t xml:space="preserve">) </t>
    </r>
    <r>
      <rPr>
        <rFont val="Noto Sans CJK SC"/>
        <i/>
        <color rgb="FF7F7F7F"/>
        <sz val="8.0"/>
      </rPr>
      <t>매핑 필요</t>
    </r>
  </si>
  <si>
    <t>대회명</t>
  </si>
  <si>
    <t>주관기관</t>
  </si>
  <si>
    <t>주관 수준</t>
  </si>
  <si>
    <t>결과</t>
  </si>
  <si>
    <t>참가 형태</t>
  </si>
  <si>
    <t>본인 역할</t>
  </si>
  <si>
    <t>연월</t>
  </si>
  <si>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 xml:space="preserve">지역 </t>
    </r>
    <r>
      <rPr>
        <rFont val="맑은 고딕"/>
        <i/>
        <color rgb="FF7F7F7F"/>
        <sz val="8.0"/>
      </rPr>
      <t xml:space="preserve">/ </t>
    </r>
    <r>
      <rPr>
        <rFont val="Noto Sans CJK SC"/>
        <i/>
        <color rgb="FF7F7F7F"/>
        <sz val="8.0"/>
      </rPr>
      <t xml:space="preserve">전국 </t>
    </r>
    <r>
      <rPr>
        <rFont val="맑은 고딕"/>
        <i/>
        <color rgb="FF7F7F7F"/>
        <sz val="8.0"/>
      </rPr>
      <t xml:space="preserve">/ </t>
    </r>
    <r>
      <rPr>
        <rFont val="Noto Sans CJK SC"/>
        <i/>
        <color rgb="FF7F7F7F"/>
        <sz val="8.0"/>
      </rPr>
      <t>국제</t>
    </r>
    <r>
      <rPr>
        <rFont val="맑은 고딕"/>
        <i/>
        <color rgb="FF7F7F7F"/>
        <sz val="8.0"/>
      </rPr>
      <t>]</t>
    </r>
  </si>
  <si>
    <r>
      <rPr>
        <rFont val="맑은 고딕"/>
        <i/>
        <color rgb="FF7F7F7F"/>
        <sz val="8.0"/>
      </rPr>
      <t>[</t>
    </r>
    <r>
      <rPr>
        <rFont val="Noto Sans CJK SC"/>
        <i/>
        <color rgb="FF7F7F7F"/>
        <sz val="8.0"/>
      </rPr>
      <t xml:space="preserve">참가 </t>
    </r>
    <r>
      <rPr>
        <rFont val="맑은 고딕"/>
        <i/>
        <color rgb="FF7F7F7F"/>
        <sz val="8.0"/>
      </rPr>
      <t xml:space="preserve">/ </t>
    </r>
    <r>
      <rPr>
        <rFont val="Noto Sans CJK SC"/>
        <i/>
        <color rgb="FF7F7F7F"/>
        <sz val="8.0"/>
      </rPr>
      <t xml:space="preserve">입선 </t>
    </r>
    <r>
      <rPr>
        <rFont val="맑은 고딕"/>
        <i/>
        <color rgb="FF7F7F7F"/>
        <sz val="8.0"/>
      </rPr>
      <t xml:space="preserve">/ </t>
    </r>
    <r>
      <rPr>
        <rFont val="Noto Sans CJK SC"/>
        <i/>
        <color rgb="FF7F7F7F"/>
        <sz val="8.0"/>
      </rPr>
      <t xml:space="preserve">장려 </t>
    </r>
    <r>
      <rPr>
        <rFont val="맑은 고딕"/>
        <i/>
        <color rgb="FF7F7F7F"/>
        <sz val="8.0"/>
      </rPr>
      <t xml:space="preserve">/ </t>
    </r>
    <r>
      <rPr>
        <rFont val="Noto Sans CJK SC"/>
        <i/>
        <color rgb="FF7F7F7F"/>
        <sz val="8.0"/>
      </rPr>
      <t xml:space="preserve">우수 </t>
    </r>
    <r>
      <rPr>
        <rFont val="맑은 고딕"/>
        <i/>
        <color rgb="FF7F7F7F"/>
        <sz val="8.0"/>
      </rPr>
      <t xml:space="preserve">/ </t>
    </r>
    <r>
      <rPr>
        <rFont val="Noto Sans CJK SC"/>
        <i/>
        <color rgb="FF7F7F7F"/>
        <sz val="8.0"/>
      </rPr>
      <t xml:space="preserve">최우수 </t>
    </r>
    <r>
      <rPr>
        <rFont val="맑은 고딕"/>
        <i/>
        <color rgb="FF7F7F7F"/>
        <sz val="8.0"/>
      </rPr>
      <t xml:space="preserve">/ </t>
    </r>
    <r>
      <rPr>
        <rFont val="Noto Sans CJK SC"/>
        <i/>
        <color rgb="FF7F7F7F"/>
        <sz val="8.0"/>
      </rPr>
      <t>대상</t>
    </r>
    <r>
      <rPr>
        <rFont val="맑은 고딕"/>
        <i/>
        <color rgb="FF7F7F7F"/>
        <sz val="8.0"/>
      </rPr>
      <t>]</t>
    </r>
  </si>
  <si>
    <r>
      <rPr>
        <rFont val="맑은 고딕"/>
        <i/>
        <color rgb="FF7F7F7F"/>
        <sz val="8.0"/>
      </rPr>
      <t>[</t>
    </r>
    <r>
      <rPr>
        <rFont val="Noto Sans CJK SC"/>
        <i/>
        <color rgb="FF7F7F7F"/>
        <sz val="8.0"/>
      </rPr>
      <t xml:space="preserve">개인 </t>
    </r>
    <r>
      <rPr>
        <rFont val="맑은 고딕"/>
        <i/>
        <color rgb="FF7F7F7F"/>
        <sz val="8.0"/>
      </rPr>
      <t xml:space="preserve">/ </t>
    </r>
    <r>
      <rPr>
        <rFont val="Noto Sans CJK SC"/>
        <i/>
        <color rgb="FF7F7F7F"/>
        <sz val="8.0"/>
      </rPr>
      <t>팀</t>
    </r>
    <r>
      <rPr>
        <rFont val="맑은 고딕"/>
        <i/>
        <color rgb="FF7F7F7F"/>
        <sz val="8.0"/>
      </rPr>
      <t>]</t>
    </r>
  </si>
  <si>
    <t>교내 창의설계 경진대회</t>
  </si>
  <si>
    <t>우수</t>
  </si>
  <si>
    <t>팀</t>
  </si>
  <si>
    <r>
      <rPr>
        <rFont val="Noto Sans CJK SC"/>
        <color rgb="FF1F3B8A"/>
        <sz val="10.0"/>
      </rPr>
      <t>설계</t>
    </r>
    <r>
      <rPr>
        <rFont val="맑은 고딕"/>
        <color rgb="FF1F3B8A"/>
        <sz val="10.0"/>
      </rPr>
      <t>·</t>
    </r>
    <r>
      <rPr>
        <rFont val="Noto Sans CJK SC"/>
        <color rgb="FF1F3B8A"/>
        <sz val="10.0"/>
      </rPr>
      <t>제작</t>
    </r>
  </si>
  <si>
    <t>2024-11</t>
  </si>
  <si>
    <t>전국 대학생 로봇 경진대회</t>
  </si>
  <si>
    <r>
      <rPr>
        <rFont val="Noto Sans CJK SC"/>
        <color rgb="FF1F3B8A"/>
        <sz val="10.0"/>
      </rPr>
      <t>한국로봇학회</t>
    </r>
    <r>
      <rPr>
        <rFont val="맑은 고딕"/>
        <color rgb="FF1F3B8A"/>
        <sz val="10.0"/>
      </rPr>
      <t>(</t>
    </r>
    <r>
      <rPr>
        <rFont val="Noto Sans CJK SC"/>
        <color rgb="FF1F3B8A"/>
        <sz val="10.0"/>
      </rPr>
      <t>가상</t>
    </r>
    <r>
      <rPr>
        <rFont val="맑은 고딕"/>
        <color rgb="FF1F3B8A"/>
        <sz val="10.0"/>
      </rPr>
      <t>)</t>
    </r>
  </si>
  <si>
    <t>전국</t>
  </si>
  <si>
    <t>참가</t>
  </si>
  <si>
    <r>
      <rPr>
        <rFont val="Noto Sans CJK SC"/>
        <color rgb="FF1F3B8A"/>
        <sz val="10.0"/>
      </rPr>
      <t xml:space="preserve">제어 </t>
    </r>
    <r>
      <rPr>
        <rFont val="맑은 고딕"/>
        <color rgb="FF1F3B8A"/>
        <sz val="10.0"/>
      </rPr>
      <t>SW</t>
    </r>
  </si>
  <si>
    <t>2025-08</t>
  </si>
  <si>
    <t>창업활동</t>
  </si>
  <si>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창업지원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도전정신</t>
    </r>
  </si>
  <si>
    <r>
      <rPr>
        <rFont val="Noto Sans CJK SC"/>
        <b/>
        <color rgb="FF000000"/>
        <sz val="9.0"/>
      </rPr>
      <t>명칭</t>
    </r>
    <r>
      <rPr>
        <rFont val="맑은 고딕"/>
        <b/>
        <color rgb="FF000000"/>
        <sz val="9.0"/>
      </rPr>
      <t>·</t>
    </r>
    <r>
      <rPr>
        <rFont val="Noto Sans CJK SC"/>
        <b/>
        <color rgb="FF000000"/>
        <sz val="9.0"/>
      </rPr>
      <t>내용</t>
    </r>
  </si>
  <si>
    <r>
      <rPr>
        <rFont val="맑은 고딕"/>
        <i/>
        <color rgb="FF7F7F7F"/>
        <sz val="8.0"/>
      </rPr>
      <t>[</t>
    </r>
    <r>
      <rPr>
        <rFont val="Noto Sans CJK SC"/>
        <i/>
        <color rgb="FF7F7F7F"/>
        <sz val="8.0"/>
      </rPr>
      <t xml:space="preserve">창업교과목 </t>
    </r>
    <r>
      <rPr>
        <rFont val="맑은 고딕"/>
        <i/>
        <color rgb="FF7F7F7F"/>
        <sz val="8.0"/>
      </rPr>
      <t xml:space="preserve">/ </t>
    </r>
    <r>
      <rPr>
        <rFont val="Noto Sans CJK SC"/>
        <i/>
        <color rgb="FF7F7F7F"/>
        <sz val="8.0"/>
      </rPr>
      <t xml:space="preserve">창업경진대회 </t>
    </r>
    <r>
      <rPr>
        <rFont val="맑은 고딕"/>
        <i/>
        <color rgb="FF7F7F7F"/>
        <sz val="8.0"/>
      </rPr>
      <t xml:space="preserve">/ </t>
    </r>
    <r>
      <rPr>
        <rFont val="Noto Sans CJK SC"/>
        <i/>
        <color rgb="FF7F7F7F"/>
        <sz val="8.0"/>
      </rPr>
      <t xml:space="preserve">사업자등록 </t>
    </r>
    <r>
      <rPr>
        <rFont val="맑은 고딕"/>
        <i/>
        <color rgb="FF7F7F7F"/>
        <sz val="8.0"/>
      </rPr>
      <t xml:space="preserve">/ </t>
    </r>
    <r>
      <rPr>
        <rFont val="Noto Sans CJK SC"/>
        <i/>
        <color rgb="FF7F7F7F"/>
        <sz val="8.0"/>
      </rPr>
      <t>창업동아리</t>
    </r>
    <r>
      <rPr>
        <rFont val="맑은 고딕"/>
        <i/>
        <color rgb="FF7F7F7F"/>
        <sz val="8.0"/>
      </rPr>
      <t>]</t>
    </r>
  </si>
  <si>
    <r>
      <rPr>
        <rFont val="Noto Sans CJK SC"/>
        <b/>
        <color rgb="FF000000"/>
        <sz val="11.0"/>
      </rPr>
      <t>특허출원</t>
    </r>
    <r>
      <rPr>
        <rFont val="맑은 고딕"/>
        <b/>
        <color rgb="FF000000"/>
        <sz val="11.0"/>
      </rPr>
      <t xml:space="preserve">·SW </t>
    </r>
    <r>
      <rPr>
        <rFont val="Noto Sans CJK SC"/>
        <b/>
        <color rgb="FF000000"/>
        <sz val="11.0"/>
      </rPr>
      <t>등록</t>
    </r>
  </si>
  <si>
    <r>
      <rPr>
        <rFont val="Noto Sans CJK SC"/>
        <i/>
        <color rgb="FF7F7F7F"/>
        <sz val="8.0"/>
      </rPr>
      <t>출처</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t>
    </r>
    <r>
      <rPr>
        <rFont val="Noto Sans CJK SC"/>
        <i/>
        <color rgb="FF7F7F7F"/>
        <sz val="8.0"/>
      </rPr>
      <t xml:space="preserve">인증 </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기존 데이터셋에 없는 신규 근거</t>
    </r>
  </si>
  <si>
    <t>명칭</t>
  </si>
  <si>
    <r>
      <rPr>
        <rFont val="Noto Sans CJK SC"/>
        <b/>
        <color rgb="FF000000"/>
        <sz val="9.0"/>
      </rPr>
      <t>출원</t>
    </r>
    <r>
      <rPr>
        <rFont val="맑은 고딕"/>
        <b/>
        <color rgb="FF000000"/>
        <sz val="9.0"/>
      </rPr>
      <t>·</t>
    </r>
    <r>
      <rPr>
        <rFont val="Noto Sans CJK SC"/>
        <b/>
        <color rgb="FF000000"/>
        <sz val="9.0"/>
      </rPr>
      <t>등록번호</t>
    </r>
  </si>
  <si>
    <t>권리 구분</t>
  </si>
  <si>
    <r>
      <rPr>
        <rFont val="맑은 고딕"/>
        <i/>
        <color rgb="FF7F7F7F"/>
        <sz val="8.0"/>
      </rPr>
      <t>[</t>
    </r>
    <r>
      <rPr>
        <rFont val="Noto Sans CJK SC"/>
        <i/>
        <color rgb="FF7F7F7F"/>
        <sz val="8.0"/>
      </rPr>
      <t xml:space="preserve">특허 </t>
    </r>
    <r>
      <rPr>
        <rFont val="맑은 고딕"/>
        <i/>
        <color rgb="FF7F7F7F"/>
        <sz val="8.0"/>
      </rPr>
      <t xml:space="preserve">/ </t>
    </r>
    <r>
      <rPr>
        <rFont val="Noto Sans CJK SC"/>
        <i/>
        <color rgb="FF7F7F7F"/>
        <sz val="8.0"/>
      </rPr>
      <t xml:space="preserve">실용신안 </t>
    </r>
    <r>
      <rPr>
        <rFont val="맑은 고딕"/>
        <i/>
        <color rgb="FF7F7F7F"/>
        <sz val="8.0"/>
      </rPr>
      <t xml:space="preserve">/ </t>
    </r>
    <r>
      <rPr>
        <rFont val="Noto Sans CJK SC"/>
        <i/>
        <color rgb="FF7F7F7F"/>
        <sz val="8.0"/>
      </rPr>
      <t xml:space="preserve">디자인 </t>
    </r>
    <r>
      <rPr>
        <rFont val="맑은 고딕"/>
        <i/>
        <color rgb="FF7F7F7F"/>
        <sz val="8.0"/>
      </rPr>
      <t>/ SW</t>
    </r>
    <r>
      <rPr>
        <rFont val="Noto Sans CJK SC"/>
        <i/>
        <color rgb="FF7F7F7F"/>
        <sz val="8.0"/>
      </rPr>
      <t>등록</t>
    </r>
    <r>
      <rPr>
        <rFont val="맑은 고딕"/>
        <i/>
        <color rgb="FF7F7F7F"/>
        <sz val="8.0"/>
      </rPr>
      <t>]</t>
    </r>
  </si>
  <si>
    <r>
      <rPr>
        <rFont val="맑은 고딕"/>
        <i/>
        <color rgb="FF7F7F7F"/>
        <sz val="8.0"/>
      </rPr>
      <t>[</t>
    </r>
    <r>
      <rPr>
        <rFont val="Noto Sans CJK SC"/>
        <i/>
        <color rgb="FF7F7F7F"/>
        <sz val="8.0"/>
      </rPr>
      <t xml:space="preserve">출원 </t>
    </r>
    <r>
      <rPr>
        <rFont val="맑은 고딕"/>
        <i/>
        <color rgb="FF7F7F7F"/>
        <sz val="8.0"/>
      </rPr>
      <t xml:space="preserve">/ </t>
    </r>
    <r>
      <rPr>
        <rFont val="Noto Sans CJK SC"/>
        <i/>
        <color rgb="FF7F7F7F"/>
        <sz val="8.0"/>
      </rPr>
      <t>등록</t>
    </r>
    <r>
      <rPr>
        <rFont val="맑은 고딕"/>
        <i/>
        <color rgb="FF7F7F7F"/>
        <sz val="8.0"/>
      </rPr>
      <t>]</t>
    </r>
  </si>
  <si>
    <r>
      <rPr>
        <rFont val="맑은 고딕"/>
        <i/>
        <color rgb="FF7F7F7F"/>
        <sz val="8.0"/>
      </rPr>
      <t>[</t>
    </r>
    <r>
      <rPr>
        <rFont val="Noto Sans CJK SC"/>
        <i/>
        <color rgb="FF7F7F7F"/>
        <sz val="8.0"/>
      </rPr>
      <t xml:space="preserve">단독 </t>
    </r>
    <r>
      <rPr>
        <rFont val="맑은 고딕"/>
        <i/>
        <color rgb="FF7F7F7F"/>
        <sz val="8.0"/>
      </rPr>
      <t xml:space="preserve">/ </t>
    </r>
    <r>
      <rPr>
        <rFont val="Noto Sans CJK SC"/>
        <i/>
        <color rgb="FF7F7F7F"/>
        <sz val="8.0"/>
      </rPr>
      <t>공동</t>
    </r>
    <r>
      <rPr>
        <rFont val="맑은 고딕"/>
        <i/>
        <color rgb="FF7F7F7F"/>
        <sz val="8.0"/>
      </rPr>
      <t>]</t>
    </r>
  </si>
  <si>
    <t>■ 글로벌</t>
  </si>
  <si>
    <r>
      <rPr>
        <rFont val="Noto Sans CJK SC"/>
        <b/>
        <color rgb="FF000000"/>
        <sz val="11.0"/>
      </rPr>
      <t>교환학생</t>
    </r>
    <r>
      <rPr>
        <rFont val="맑은 고딕"/>
        <b/>
        <color rgb="FF000000"/>
        <sz val="11.0"/>
      </rPr>
      <t>·</t>
    </r>
    <r>
      <rPr>
        <rFont val="Noto Sans CJK SC"/>
        <b/>
        <color rgb="FF000000"/>
        <sz val="11.0"/>
      </rPr>
      <t>해외경험</t>
    </r>
  </si>
  <si>
    <r>
      <rPr>
        <rFont val="Noto Sans CJK SC"/>
        <i/>
        <color rgb="FF7F7F7F"/>
        <sz val="8.0"/>
      </rPr>
      <t>출처</t>
    </r>
    <r>
      <rPr>
        <rFont val="맑은 고딕"/>
        <i/>
        <color rgb="FF7F7F7F"/>
        <sz val="8.0"/>
      </rPr>
      <t xml:space="preserve">: </t>
    </r>
    <r>
      <rPr>
        <rFont val="Noto Sans CJK SC"/>
        <i/>
        <color rgb="FF7F7F7F"/>
        <sz val="8.0"/>
      </rPr>
      <t xml:space="preserve">국제처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글로벌</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문화적 수용능력</t>
    </r>
    <r>
      <rPr>
        <rFont val="맑은 고딕"/>
        <i/>
        <color rgb="FF7F7F7F"/>
        <sz val="8.0"/>
      </rPr>
      <t xml:space="preserve">)   |   </t>
    </r>
    <r>
      <rPr>
        <rFont val="Noto Sans CJK SC"/>
        <i/>
        <color rgb="FF7F7F7F"/>
        <sz val="8.0"/>
      </rPr>
      <t>비고</t>
    </r>
    <r>
      <rPr>
        <rFont val="맑은 고딕"/>
        <i/>
        <color rgb="FF7F7F7F"/>
        <sz val="8.0"/>
      </rPr>
      <t xml:space="preserve">: [C] </t>
    </r>
    <r>
      <rPr>
        <rFont val="Noto Sans CJK SC"/>
        <i/>
        <color rgb="FF7F7F7F"/>
        <sz val="8.0"/>
      </rPr>
      <t>국제연구</t>
    </r>
    <r>
      <rPr>
        <rFont val="맑은 고딕"/>
        <i/>
        <color rgb="FF7F7F7F"/>
        <sz val="8.0"/>
      </rPr>
      <t>·</t>
    </r>
    <r>
      <rPr>
        <rFont val="Noto Sans CJK SC"/>
        <i/>
        <color rgb="FF7F7F7F"/>
        <sz val="8.0"/>
      </rPr>
      <t>국제문화체험 항목 추가</t>
    </r>
  </si>
  <si>
    <t>국가</t>
  </si>
  <si>
    <r>
      <rPr>
        <rFont val="Noto Sans CJK SC"/>
        <b/>
        <color rgb="FF000000"/>
        <sz val="9.0"/>
      </rPr>
      <t>기관</t>
    </r>
    <r>
      <rPr>
        <rFont val="맑은 고딕"/>
        <b/>
        <color rgb="FF000000"/>
        <sz val="9.0"/>
      </rPr>
      <t>·</t>
    </r>
    <r>
      <rPr>
        <rFont val="Noto Sans CJK SC"/>
        <b/>
        <color rgb="FF000000"/>
        <sz val="9.0"/>
      </rPr>
      <t>프로그램명</t>
    </r>
  </si>
  <si>
    <r>
      <rPr>
        <rFont val="Noto Sans CJK SC"/>
        <b/>
        <color rgb="FF000000"/>
        <sz val="9.0"/>
      </rPr>
      <t>기간</t>
    </r>
    <r>
      <rPr>
        <rFont val="맑은 고딕"/>
        <b/>
        <color rgb="FF000000"/>
        <sz val="9.0"/>
      </rPr>
      <t>(</t>
    </r>
    <r>
      <rPr>
        <rFont val="Noto Sans CJK SC"/>
        <b/>
        <color rgb="FF000000"/>
        <sz val="9.0"/>
      </rPr>
      <t>주</t>
    </r>
    <r>
      <rPr>
        <rFont val="맑은 고딕"/>
        <b/>
        <color rgb="FF000000"/>
        <sz val="9.0"/>
      </rPr>
      <t>)</t>
    </r>
  </si>
  <si>
    <t>시작 연월</t>
  </si>
  <si>
    <r>
      <rPr>
        <rFont val="맑은 고딕"/>
        <b/>
        <color rgb="FF000000"/>
        <sz val="9.0"/>
      </rPr>
      <t>3</t>
    </r>
    <r>
      <rPr>
        <rFont val="Noto Sans CJK SC"/>
        <b/>
        <color rgb="FF000000"/>
        <sz val="9.0"/>
      </rPr>
      <t>품 인정</t>
    </r>
  </si>
  <si>
    <r>
      <rPr>
        <rFont val="맑은 고딕"/>
        <i/>
        <color rgb="FF7F7F7F"/>
        <sz val="8.0"/>
      </rPr>
      <t>[</t>
    </r>
    <r>
      <rPr>
        <rFont val="Noto Sans CJK SC"/>
        <i/>
        <color rgb="FF7F7F7F"/>
        <sz val="8.0"/>
      </rPr>
      <t xml:space="preserve">교환학생 </t>
    </r>
    <r>
      <rPr>
        <rFont val="맑은 고딕"/>
        <i/>
        <color rgb="FF7F7F7F"/>
        <sz val="8.0"/>
      </rPr>
      <t xml:space="preserve">/ </t>
    </r>
    <r>
      <rPr>
        <rFont val="Noto Sans CJK SC"/>
        <i/>
        <color rgb="FF7F7F7F"/>
        <sz val="8.0"/>
      </rPr>
      <t xml:space="preserve">어학연수 </t>
    </r>
    <r>
      <rPr>
        <rFont val="맑은 고딕"/>
        <i/>
        <color rgb="FF7F7F7F"/>
        <sz val="8.0"/>
      </rPr>
      <t xml:space="preserve">/ </t>
    </r>
    <r>
      <rPr>
        <rFont val="Noto Sans CJK SC"/>
        <i/>
        <color rgb="FF7F7F7F"/>
        <sz val="8.0"/>
      </rPr>
      <t xml:space="preserve">해외봉사 </t>
    </r>
    <r>
      <rPr>
        <rFont val="맑은 고딕"/>
        <i/>
        <color rgb="FF7F7F7F"/>
        <sz val="8.0"/>
      </rPr>
      <t xml:space="preserve">/ </t>
    </r>
    <r>
      <rPr>
        <rFont val="Noto Sans CJK SC"/>
        <i/>
        <color rgb="FF7F7F7F"/>
        <sz val="8.0"/>
      </rPr>
      <t xml:space="preserve">국제연구 </t>
    </r>
    <r>
      <rPr>
        <rFont val="맑은 고딕"/>
        <i/>
        <color rgb="FF7F7F7F"/>
        <sz val="8.0"/>
      </rPr>
      <t xml:space="preserve">/ </t>
    </r>
    <r>
      <rPr>
        <rFont val="Noto Sans CJK SC"/>
        <i/>
        <color rgb="FF7F7F7F"/>
        <sz val="8.0"/>
      </rPr>
      <t xml:space="preserve">국제문화체험 </t>
    </r>
    <r>
      <rPr>
        <rFont val="맑은 고딕"/>
        <i/>
        <color rgb="FF7F7F7F"/>
        <sz val="8.0"/>
      </rPr>
      <t xml:space="preserve">/ </t>
    </r>
    <r>
      <rPr>
        <rFont val="Noto Sans CJK SC"/>
        <i/>
        <color rgb="FF7F7F7F"/>
        <sz val="8.0"/>
      </rPr>
      <t>해외학습</t>
    </r>
    <r>
      <rPr>
        <rFont val="맑은 고딕"/>
        <i/>
        <color rgb="FF7F7F7F"/>
        <sz val="8.0"/>
      </rPr>
      <t>]</t>
    </r>
  </si>
  <si>
    <t>외국어 수업 이수</t>
  </si>
  <si>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수강내역</t>
    </r>
    <r>
      <rPr>
        <rFont val="맑은 고딕"/>
        <i/>
        <color rgb="FF7F7F7F"/>
        <sz val="8.0"/>
      </rPr>
      <t xml:space="preserve">)   |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외국어 능력</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마인드맵</t>
    </r>
    <r>
      <rPr>
        <rFont val="맑은 고딕"/>
        <i/>
        <color rgb="FF7F7F7F"/>
        <sz val="8.0"/>
      </rPr>
      <t>(</t>
    </r>
    <r>
      <rPr>
        <rFont val="Noto Sans CJK SC"/>
        <i/>
        <color rgb="FF7F7F7F"/>
        <sz val="8.0"/>
      </rPr>
      <t>기업 관심</t>
    </r>
    <r>
      <rPr>
        <rFont val="맑은 고딕"/>
        <i/>
        <color rgb="FF7F7F7F"/>
        <sz val="8.0"/>
      </rPr>
      <t>-</t>
    </r>
    <r>
      <rPr>
        <rFont val="Noto Sans CJK SC"/>
        <i/>
        <color rgb="FF7F7F7F"/>
        <sz val="8.0"/>
      </rPr>
      <t>글로벌</t>
    </r>
    <r>
      <rPr>
        <rFont val="맑은 고딕"/>
        <i/>
        <color rgb="FF7F7F7F"/>
        <sz val="8.0"/>
      </rPr>
      <t>)</t>
    </r>
    <r>
      <rPr>
        <rFont val="Noto Sans CJK SC"/>
        <i/>
        <color rgb="FF7F7F7F"/>
        <sz val="8.0"/>
      </rPr>
      <t>에 있으나 기존 데이터셋에 없음</t>
    </r>
  </si>
  <si>
    <t>국제어 강의 이수 과목 수</t>
  </si>
  <si>
    <r>
      <rPr>
        <rFont val="Noto Sans CJK SC"/>
        <color rgb="FF7F7F7F"/>
        <sz val="9.0"/>
      </rPr>
      <t xml:space="preserve">없으면 </t>
    </r>
    <r>
      <rPr>
        <rFont val="맑은 고딕"/>
        <color rgb="FF7F7F7F"/>
        <sz val="9.0"/>
      </rPr>
      <t>0</t>
    </r>
  </si>
  <si>
    <t>국제어 강의 이수 학점</t>
  </si>
  <si>
    <t>강의 언어</t>
  </si>
  <si>
    <t>영어</t>
  </si>
  <si>
    <r>
      <rPr>
        <rFont val="Noto Sans CJK SC"/>
        <color rgb="FF7F7F7F"/>
        <sz val="9.0"/>
      </rPr>
      <t>예</t>
    </r>
    <r>
      <rPr>
        <rFont val="맑은 고딕"/>
        <color rgb="FF7F7F7F"/>
        <sz val="9.0"/>
      </rPr>
      <t xml:space="preserve">: </t>
    </r>
    <r>
      <rPr>
        <rFont val="Noto Sans CJK SC"/>
        <color rgb="FF7F7F7F"/>
        <sz val="9.0"/>
      </rPr>
      <t>영어</t>
    </r>
  </si>
  <si>
    <r>
      <rPr>
        <rFont val="Noto Sans CJK SC"/>
        <b/>
        <color rgb="FFFFFFFF"/>
        <sz val="11.0"/>
      </rPr>
      <t>■ 디지털</t>
    </r>
    <r>
      <rPr>
        <rFont val="맑은 고딕"/>
        <b/>
        <color rgb="FFFFFFFF"/>
        <sz val="11.0"/>
      </rPr>
      <t>·AI</t>
    </r>
  </si>
  <si>
    <r>
      <rPr>
        <rFont val="맑은 고딕"/>
        <b/>
        <color rgb="FF000000"/>
        <sz val="11.0"/>
      </rPr>
      <t>AI</t>
    </r>
    <r>
      <rPr>
        <rFont val="Noto Sans CJK SC"/>
        <b/>
        <color rgb="FF000000"/>
        <sz val="11.0"/>
      </rPr>
      <t>교육 이수내역</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</si>
  <si>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비교과 </t>
    </r>
    <r>
      <rPr>
        <rFont val="맑은 고딕"/>
        <i/>
        <color rgb="FF7F7F7F"/>
        <sz val="8.0"/>
      </rPr>
      <t>· 3</t>
    </r>
    <r>
      <rPr>
        <rFont val="Noto Sans CJK SC"/>
        <i/>
        <color rgb="FF7F7F7F"/>
        <sz val="8.0"/>
      </rPr>
      <t>품</t>
    </r>
    <r>
      <rPr>
        <rFont val="맑은 고딕"/>
        <i/>
        <color rgb="FF7F7F7F"/>
        <sz val="8.0"/>
      </rPr>
      <t xml:space="preserve">(AI)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이수 </t>
    </r>
    <r>
      <rPr>
        <rFont val="맑은 고딕"/>
        <i/>
        <color rgb="FF7F7F7F"/>
        <sz val="8.0"/>
      </rPr>
      <t>'</t>
    </r>
    <r>
      <rPr>
        <rFont val="Noto Sans CJK SC"/>
        <i/>
        <color rgb="FF7F7F7F"/>
        <sz val="8.0"/>
      </rPr>
      <t>시간</t>
    </r>
    <r>
      <rPr>
        <rFont val="맑은 고딕"/>
        <i/>
        <color rgb="FF7F7F7F"/>
        <sz val="8.0"/>
      </rPr>
      <t>'</t>
    </r>
    <r>
      <rPr>
        <rFont val="Noto Sans CJK SC"/>
        <i/>
        <color rgb="FF7F7F7F"/>
        <sz val="8.0"/>
      </rPr>
      <t>까지 받으면 정량화 쉬워짐</t>
    </r>
  </si>
  <si>
    <t>구분</t>
  </si>
  <si>
    <t>교육명</t>
  </si>
  <si>
    <r>
      <rPr>
        <rFont val="Noto Sans CJK SC"/>
        <b/>
        <color rgb="FF000000"/>
        <sz val="9.0"/>
      </rPr>
      <t>이수 시간</t>
    </r>
    <r>
      <rPr>
        <rFont val="맑은 고딕"/>
        <b/>
        <color rgb="FF000000"/>
        <sz val="9.0"/>
      </rPr>
      <t>(h)</t>
    </r>
  </si>
  <si>
    <t>이수 연월</t>
  </si>
  <si>
    <t>이수 여부</t>
  </si>
  <si>
    <r>
      <rPr>
        <rFont val="맑은 고딕"/>
        <i/>
        <color rgb="FF7F7F7F"/>
        <sz val="8.0"/>
      </rPr>
      <t>[</t>
    </r>
    <r>
      <rPr>
        <rFont val="Noto Sans CJK SC"/>
        <i/>
        <color rgb="FF7F7F7F"/>
        <sz val="8.0"/>
      </rPr>
      <t xml:space="preserve">교과 </t>
    </r>
    <r>
      <rPr>
        <rFont val="맑은 고딕"/>
        <i/>
        <color rgb="FF7F7F7F"/>
        <sz val="8.0"/>
      </rPr>
      <t xml:space="preserve">/ </t>
    </r>
    <r>
      <rPr>
        <rFont val="Noto Sans CJK SC"/>
        <i/>
        <color rgb="FF7F7F7F"/>
        <sz val="8.0"/>
      </rPr>
      <t xml:space="preserve">비교과 </t>
    </r>
    <r>
      <rPr>
        <rFont val="맑은 고딕"/>
        <i/>
        <color rgb="FF7F7F7F"/>
        <sz val="8.0"/>
      </rPr>
      <t>/ 3</t>
    </r>
    <r>
      <rPr>
        <rFont val="Noto Sans CJK SC"/>
        <i/>
        <color rgb="FF7F7F7F"/>
        <sz val="8.0"/>
      </rPr>
      <t>품</t>
    </r>
    <r>
      <rPr>
        <rFont val="맑은 고딕"/>
        <i/>
        <color rgb="FF7F7F7F"/>
        <sz val="8.0"/>
      </rPr>
      <t>(AI)]</t>
    </r>
  </si>
  <si>
    <r>
      <rPr>
        <rFont val="맑은 고딕"/>
        <i/>
        <color rgb="FF7F7F7F"/>
        <sz val="8.0"/>
      </rPr>
      <t>[</t>
    </r>
    <r>
      <rPr>
        <rFont val="Noto Sans CJK SC"/>
        <i/>
        <color rgb="FF7F7F7F"/>
        <sz val="8.0"/>
      </rPr>
      <t xml:space="preserve">이수 </t>
    </r>
    <r>
      <rPr>
        <rFont val="맑은 고딕"/>
        <i/>
        <color rgb="FF7F7F7F"/>
        <sz val="8.0"/>
      </rPr>
      <t xml:space="preserve">/ </t>
    </r>
    <r>
      <rPr>
        <rFont val="Noto Sans CJK SC"/>
        <i/>
        <color rgb="FF7F7F7F"/>
        <sz val="8.0"/>
      </rPr>
      <t xml:space="preserve">수강중 </t>
    </r>
    <r>
      <rPr>
        <rFont val="맑은 고딕"/>
        <i/>
        <color rgb="FF7F7F7F"/>
        <sz val="8.0"/>
      </rPr>
      <t xml:space="preserve">/ </t>
    </r>
    <r>
      <rPr>
        <rFont val="Noto Sans CJK SC"/>
        <i/>
        <color rgb="FF7F7F7F"/>
        <sz val="8.0"/>
      </rPr>
      <t>미이수</t>
    </r>
    <r>
      <rPr>
        <rFont val="맑은 고딕"/>
        <i/>
        <color rgb="FF7F7F7F"/>
        <sz val="8.0"/>
      </rPr>
      <t>]</t>
    </r>
  </si>
  <si>
    <t>교과</t>
  </si>
  <si>
    <t>인공지능기초</t>
  </si>
  <si>
    <t>2025-06</t>
  </si>
  <si>
    <t>이수</t>
  </si>
  <si>
    <r>
      <rPr>
        <rFont val="맑은 고딕"/>
        <color rgb="FF1F3B8A"/>
        <sz val="10.0"/>
      </rPr>
      <t>3</t>
    </r>
    <r>
      <rPr>
        <rFont val="Noto Sans CJK SC"/>
        <color rgb="FF1F3B8A"/>
        <sz val="10.0"/>
      </rPr>
      <t>품</t>
    </r>
    <r>
      <rPr>
        <rFont val="맑은 고딕"/>
        <color rgb="FF1F3B8A"/>
        <sz val="10.0"/>
      </rPr>
      <t>(AI)</t>
    </r>
  </si>
  <si>
    <r>
      <rPr>
        <rFont val="Noto Sans CJK SC"/>
        <color rgb="FF1F3B8A"/>
        <sz val="10.0"/>
      </rPr>
      <t xml:space="preserve">생성형 </t>
    </r>
    <r>
      <rPr>
        <rFont val="맑은 고딕"/>
        <color rgb="FF1F3B8A"/>
        <sz val="10.0"/>
      </rPr>
      <t xml:space="preserve">AI </t>
    </r>
    <r>
      <rPr>
        <rFont val="Noto Sans CJK SC"/>
        <color rgb="FF1F3B8A"/>
        <sz val="10.0"/>
      </rPr>
      <t>활용 코딩</t>
    </r>
  </si>
  <si>
    <t>2026-01</t>
  </si>
  <si>
    <r>
      <rPr>
        <rFont val="맑은 고딕"/>
        <b/>
        <color rgb="FF000000"/>
        <sz val="11.0"/>
      </rPr>
      <t xml:space="preserve">AI </t>
    </r>
    <r>
      <rPr>
        <rFont val="Noto Sans CJK SC"/>
        <b/>
        <color rgb="FF000000"/>
        <sz val="11.0"/>
      </rPr>
      <t>프로젝트</t>
    </r>
    <r>
      <rPr>
        <rFont val="맑은 고딕"/>
        <b/>
        <color rgb="FF000000"/>
        <sz val="11.0"/>
      </rPr>
      <t>·</t>
    </r>
    <r>
      <rPr>
        <rFont val="Noto Sans CJK SC"/>
        <b/>
        <color rgb="FF000000"/>
        <sz val="11.0"/>
      </rPr>
      <t>대회</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</si>
  <si>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3</t>
    </r>
    <r>
      <rPr>
        <rFont val="Noto Sans CJK SC"/>
        <i/>
        <color rgb="FF7F7F7F"/>
        <sz val="8.0"/>
      </rPr>
      <t>품</t>
    </r>
    <r>
      <rPr>
        <rFont val="맑은 고딕"/>
        <i/>
        <color rgb="FF7F7F7F"/>
        <sz val="8.0"/>
      </rPr>
      <t xml:space="preserve">(AI)   |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디지털리터러시</t>
    </r>
    <r>
      <rPr>
        <rFont val="맑은 고딕"/>
        <i/>
        <color rgb="FF7F7F7F"/>
        <sz val="8.0"/>
      </rPr>
      <t xml:space="preserve">(AI </t>
    </r>
    <r>
      <rPr>
        <rFont val="Noto Sans CJK SC"/>
        <i/>
        <color rgb="FF7F7F7F"/>
        <sz val="8.0"/>
      </rPr>
      <t>활용</t>
    </r>
    <r>
      <rPr>
        <rFont val="맑은 고딕"/>
        <i/>
        <color rgb="FF7F7F7F"/>
        <sz val="8.0"/>
      </rPr>
      <t xml:space="preserve">) / </t>
    </r>
    <r>
      <rPr>
        <rFont val="Noto Sans CJK SC"/>
        <i/>
        <color rgb="FF7F7F7F"/>
        <sz val="8.0"/>
      </rPr>
      <t xml:space="preserve">문제해결력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공모전 항목과 중복 가산되지 않게 분리</t>
    </r>
  </si>
  <si>
    <r>
      <rPr>
        <rFont val="Noto Sans CJK SC"/>
        <b/>
        <color rgb="FF000000"/>
        <sz val="9.0"/>
      </rPr>
      <t>결과</t>
    </r>
    <r>
      <rPr>
        <rFont val="맑은 고딕"/>
        <b/>
        <color rgb="FF000000"/>
        <sz val="9.0"/>
      </rPr>
      <t>·</t>
    </r>
    <r>
      <rPr>
        <rFont val="Noto Sans CJK SC"/>
        <b/>
        <color rgb="FF000000"/>
        <sz val="9.0"/>
      </rPr>
      <t>산출물</t>
    </r>
  </si>
  <si>
    <r>
      <rPr>
        <rFont val="맑은 고딕"/>
        <i/>
        <color rgb="FF7F7F7F"/>
        <sz val="8.0"/>
      </rPr>
      <t>[AI</t>
    </r>
    <r>
      <rPr>
        <rFont val="Noto Sans CJK SC"/>
        <i/>
        <color rgb="FF7F7F7F"/>
        <sz val="8.0"/>
      </rPr>
      <t xml:space="preserve">캡스톤 </t>
    </r>
    <r>
      <rPr>
        <rFont val="맑은 고딕"/>
        <i/>
        <color rgb="FF7F7F7F"/>
        <sz val="8.0"/>
      </rPr>
      <t>/ AI</t>
    </r>
    <r>
      <rPr>
        <rFont val="Noto Sans CJK SC"/>
        <i/>
        <color rgb="FF7F7F7F"/>
        <sz val="8.0"/>
      </rPr>
      <t xml:space="preserve">대회 </t>
    </r>
    <r>
      <rPr>
        <rFont val="맑은 고딕"/>
        <i/>
        <color rgb="FF7F7F7F"/>
        <sz val="8.0"/>
      </rPr>
      <t>/ AI</t>
    </r>
    <r>
      <rPr>
        <rFont val="Noto Sans CJK SC"/>
        <i/>
        <color rgb="FF7F7F7F"/>
        <sz val="8.0"/>
      </rPr>
      <t xml:space="preserve">공모전 </t>
    </r>
    <r>
      <rPr>
        <rFont val="맑은 고딕"/>
        <i/>
        <color rgb="FF7F7F7F"/>
        <sz val="8.0"/>
      </rPr>
      <t>/ AI</t>
    </r>
    <r>
      <rPr>
        <rFont val="Noto Sans CJK SC"/>
        <i/>
        <color rgb="FF7F7F7F"/>
        <sz val="8.0"/>
      </rPr>
      <t>프로젝트</t>
    </r>
    <r>
      <rPr>
        <rFont val="맑은 고딕"/>
        <i/>
        <color rgb="FF7F7F7F"/>
        <sz val="8.0"/>
      </rPr>
      <t>]</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</si>
  <si>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 xml:space="preserve">지역 </t>
    </r>
    <r>
      <rPr>
        <rFont val="맑은 고딕"/>
        <i/>
        <color rgb="FF7F7F7F"/>
        <sz val="8.0"/>
      </rPr>
      <t xml:space="preserve">/ </t>
    </r>
    <r>
      <rPr>
        <rFont val="Noto Sans CJK SC"/>
        <i/>
        <color rgb="FF7F7F7F"/>
        <sz val="8.0"/>
      </rPr>
      <t xml:space="preserve">전국 </t>
    </r>
    <r>
      <rPr>
        <rFont val="맑은 고딕"/>
        <i/>
        <color rgb="FF7F7F7F"/>
        <sz val="8.0"/>
      </rPr>
      <t xml:space="preserve">/ </t>
    </r>
    <r>
      <rPr>
        <rFont val="Noto Sans CJK SC"/>
        <i/>
        <color rgb="FF7F7F7F"/>
        <sz val="8.0"/>
      </rPr>
      <t>국제</t>
    </r>
    <r>
      <rPr>
        <rFont val="맑은 고딕"/>
        <i/>
        <color rgb="FF7F7F7F"/>
        <sz val="8.0"/>
      </rPr>
      <t>]</t>
    </r>
  </si>
  <si>
    <r>
      <rPr>
        <rFont val="맑은 고딕"/>
        <color rgb="FF1F3B8A"/>
        <sz val="10.0"/>
      </rPr>
      <t>AI</t>
    </r>
    <r>
      <rPr>
        <rFont val="Noto Sans CJK SC"/>
        <color rgb="FF1F3B8A"/>
        <sz val="10.0"/>
      </rPr>
      <t>프로젝트</t>
    </r>
  </si>
  <si>
    <t>강화학습 기반 로봇 보행 제어</t>
  </si>
  <si>
    <r>
      <rPr>
        <rFont val="맑은 고딕"/>
        <color rgb="FF1F3B8A"/>
        <sz val="10.0"/>
      </rPr>
      <t xml:space="preserve">SW </t>
    </r>
    <r>
      <rPr>
        <rFont val="Noto Sans CJK SC"/>
        <color rgb="FF1F3B8A"/>
        <sz val="10.0"/>
      </rPr>
      <t>담당</t>
    </r>
  </si>
  <si>
    <t>시뮬레이션 결과 보고서</t>
  </si>
  <si>
    <t>2026-06</t>
  </si>
  <si>
    <t>협업툴 활용경험</t>
  </si>
  <si>
    <r>
      <rPr>
        <rFont val="Noto Sans CJK SC"/>
        <i/>
        <color rgb="FF7F7F7F"/>
        <sz val="8.0"/>
      </rPr>
      <t>출처</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자기 서술 위주 → 정성 판단 </t>
    </r>
    <r>
      <rPr>
        <rFont val="맑은 고딕"/>
        <i/>
        <color rgb="FF7F7F7F"/>
        <sz val="8.0"/>
      </rPr>
      <t xml:space="preserve">+ </t>
    </r>
    <r>
      <rPr>
        <rFont val="Noto Sans CJK SC"/>
        <i/>
        <color rgb="FF7F7F7F"/>
        <sz val="8.0"/>
      </rPr>
      <t>낮은 가중치 권장</t>
    </r>
  </si>
  <si>
    <t>도구명</t>
  </si>
  <si>
    <t>활용 수준</t>
  </si>
  <si>
    <t>활용 맥락</t>
  </si>
  <si>
    <t>한 칸에 하나</t>
  </si>
  <si>
    <r>
      <rPr>
        <rFont val="맑은 고딕"/>
        <i/>
        <color rgb="FF7F7F7F"/>
        <sz val="8.0"/>
      </rPr>
      <t>[</t>
    </r>
    <r>
      <rPr>
        <rFont val="Noto Sans CJK SC"/>
        <i/>
        <color rgb="FF7F7F7F"/>
        <sz val="8.0"/>
      </rPr>
      <t xml:space="preserve">기초 </t>
    </r>
    <r>
      <rPr>
        <rFont val="맑은 고딕"/>
        <i/>
        <color rgb="FF7F7F7F"/>
        <sz val="8.0"/>
      </rPr>
      <t xml:space="preserve">/ </t>
    </r>
    <r>
      <rPr>
        <rFont val="Noto Sans CJK SC"/>
        <i/>
        <color rgb="FF7F7F7F"/>
        <sz val="8.0"/>
      </rPr>
      <t xml:space="preserve">활용 </t>
    </r>
    <r>
      <rPr>
        <rFont val="맑은 고딕"/>
        <i/>
        <color rgb="FF7F7F7F"/>
        <sz val="8.0"/>
      </rPr>
      <t xml:space="preserve">/ </t>
    </r>
    <r>
      <rPr>
        <rFont val="Noto Sans CJK SC"/>
        <i/>
        <color rgb="FF7F7F7F"/>
        <sz val="8.0"/>
      </rPr>
      <t>능숙</t>
    </r>
    <r>
      <rPr>
        <rFont val="맑은 고딕"/>
        <i/>
        <color rgb="FF7F7F7F"/>
        <sz val="8.0"/>
      </rPr>
      <t>]</t>
    </r>
  </si>
  <si>
    <t>깃허브</t>
  </si>
  <si>
    <t>활용</t>
  </si>
  <si>
    <t>연구실 코드 관리</t>
  </si>
  <si>
    <t>노션</t>
  </si>
  <si>
    <t>기초</t>
  </si>
  <si>
    <t>팀 과제 정리</t>
  </si>
  <si>
    <r>
      <rPr>
        <rFont val="Noto Sans CJK SC"/>
        <b/>
        <color rgb="FFFFFFFF"/>
        <sz val="11.0"/>
      </rPr>
      <t>■ 공동체</t>
    </r>
    <r>
      <rPr>
        <rFont val="맑은 고딕"/>
        <b/>
        <color rgb="FFFFFFFF"/>
        <sz val="11.0"/>
      </rPr>
      <t>·</t>
    </r>
    <r>
      <rPr>
        <rFont val="Noto Sans CJK SC"/>
        <b/>
        <color rgb="FFFFFFFF"/>
        <sz val="11.0"/>
      </rPr>
      <t>리더십</t>
    </r>
  </si>
  <si>
    <r>
      <rPr>
        <rFont val="Noto Sans CJK SC"/>
        <b/>
        <color rgb="FF000000"/>
        <sz val="11.0"/>
      </rPr>
      <t>동아리</t>
    </r>
    <r>
      <rPr>
        <rFont val="맑은 고딕"/>
        <b/>
        <color rgb="FF000000"/>
        <sz val="11.0"/>
      </rPr>
      <t>·</t>
    </r>
    <r>
      <rPr>
        <rFont val="Noto Sans CJK SC"/>
        <b/>
        <color rgb="FF000000"/>
        <sz val="11.0"/>
      </rPr>
      <t>학생회 활동</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</si>
  <si>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직책</t>
    </r>
    <r>
      <rPr>
        <rFont val="맑은 고딕"/>
        <i/>
        <color rgb="FF7F7F7F"/>
        <sz val="8.0"/>
      </rPr>
      <t>(</t>
    </r>
    <r>
      <rPr>
        <rFont val="Noto Sans CJK SC"/>
        <i/>
        <color rgb="FF7F7F7F"/>
        <sz val="8.0"/>
      </rPr>
      <t>회장</t>
    </r>
    <r>
      <rPr>
        <rFont val="맑은 고딕"/>
        <i/>
        <color rgb="FF7F7F7F"/>
        <sz val="8.0"/>
      </rPr>
      <t>·</t>
    </r>
    <r>
      <rPr>
        <rFont val="Noto Sans CJK SC"/>
        <i/>
        <color rgb="FF7F7F7F"/>
        <sz val="8.0"/>
      </rPr>
      <t>부장</t>
    </r>
    <r>
      <rPr>
        <rFont val="맑은 고딕"/>
        <i/>
        <color rgb="FF7F7F7F"/>
        <sz val="8.0"/>
      </rPr>
      <t>·</t>
    </r>
    <r>
      <rPr>
        <rFont val="Noto Sans CJK SC"/>
        <i/>
        <color rgb="FF7F7F7F"/>
        <sz val="8.0"/>
      </rPr>
      <t>총무</t>
    </r>
    <r>
      <rPr>
        <rFont val="맑은 고딕"/>
        <i/>
        <color rgb="FF7F7F7F"/>
        <sz val="8.0"/>
      </rPr>
      <t>·</t>
    </r>
    <r>
      <rPr>
        <rFont val="Noto Sans CJK SC"/>
        <i/>
        <color rgb="FF7F7F7F"/>
        <sz val="8.0"/>
      </rPr>
      <t>부원</t>
    </r>
    <r>
      <rPr>
        <rFont val="맑은 고딕"/>
        <i/>
        <color rgb="FF7F7F7F"/>
        <sz val="8.0"/>
      </rPr>
      <t xml:space="preserve">) × </t>
    </r>
    <r>
      <rPr>
        <rFont val="Noto Sans CJK SC"/>
        <i/>
        <color rgb="FF7F7F7F"/>
        <sz val="8.0"/>
      </rPr>
      <t>기간으로 정량화</t>
    </r>
  </si>
  <si>
    <t>단체명</t>
  </si>
  <si>
    <t>직책</t>
  </si>
  <si>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</si>
  <si>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b/>
        <color rgb="FF000000"/>
        <sz val="9.0"/>
      </rPr>
      <t>단체 규모</t>
    </r>
    <r>
      <rPr>
        <rFont val="맑은 고딕"/>
        <b/>
        <color rgb="FF000000"/>
        <sz val="9.0"/>
      </rPr>
      <t>(</t>
    </r>
    <r>
      <rPr>
        <rFont val="Noto Sans CJK SC"/>
        <b/>
        <color rgb="FF000000"/>
        <sz val="9.0"/>
      </rPr>
      <t>명</t>
    </r>
    <r>
      <rPr>
        <rFont val="맑은 고딕"/>
        <b/>
        <color rgb="FF000000"/>
        <sz val="9.0"/>
      </rPr>
      <t>)</t>
    </r>
  </si>
  <si>
    <r>
      <rPr>
        <rFont val="Noto Sans CJK SC"/>
        <b/>
        <color rgb="FF000000"/>
        <sz val="9.0"/>
      </rPr>
      <t>주요 활동</t>
    </r>
    <r>
      <rPr>
        <rFont val="맑은 고딕"/>
        <b/>
        <color rgb="FF000000"/>
        <sz val="9.0"/>
      </rPr>
      <t>·</t>
    </r>
    <r>
      <rPr>
        <rFont val="Noto Sans CJK SC"/>
        <b/>
        <color rgb="FF000000"/>
        <sz val="9.0"/>
      </rPr>
      <t>성과</t>
    </r>
  </si>
  <si>
    <r>
      <rPr>
        <rFont val="맑은 고딕"/>
        <i/>
        <color rgb="FF7F7F7F"/>
        <sz val="8.0"/>
      </rPr>
      <t>[</t>
    </r>
    <r>
      <rPr>
        <rFont val="Noto Sans CJK SC"/>
        <i/>
        <color rgb="FF7F7F7F"/>
        <sz val="8.0"/>
      </rPr>
      <t xml:space="preserve">동아리 </t>
    </r>
    <r>
      <rPr>
        <rFont val="맑은 고딕"/>
        <i/>
        <color rgb="FF7F7F7F"/>
        <sz val="8.0"/>
      </rPr>
      <t xml:space="preserve">/ </t>
    </r>
    <r>
      <rPr>
        <rFont val="Noto Sans CJK SC"/>
        <i/>
        <color rgb="FF7F7F7F"/>
        <sz val="8.0"/>
      </rPr>
      <t xml:space="preserve">학생회 </t>
    </r>
    <r>
      <rPr>
        <rFont val="맑은 고딕"/>
        <i/>
        <color rgb="FF7F7F7F"/>
        <sz val="8.0"/>
      </rPr>
      <t xml:space="preserve">/ </t>
    </r>
    <r>
      <rPr>
        <rFont val="Noto Sans CJK SC"/>
        <i/>
        <color rgb="FF7F7F7F"/>
        <sz val="8.0"/>
      </rPr>
      <t xml:space="preserve">학회 </t>
    </r>
    <r>
      <rPr>
        <rFont val="맑은 고딕"/>
        <i/>
        <color rgb="FF7F7F7F"/>
        <sz val="8.0"/>
      </rPr>
      <t xml:space="preserve">/ </t>
    </r>
    <r>
      <rPr>
        <rFont val="Noto Sans CJK SC"/>
        <i/>
        <color rgb="FF7F7F7F"/>
        <sz val="8.0"/>
      </rPr>
      <t>기타단체</t>
    </r>
    <r>
      <rPr>
        <rFont val="맑은 고딕"/>
        <i/>
        <color rgb="FF7F7F7F"/>
        <sz val="8.0"/>
      </rPr>
      <t>]</t>
    </r>
  </si>
  <si>
    <r>
      <rPr>
        <rFont val="맑은 고딕"/>
        <i/>
        <color rgb="FF7F7F7F"/>
        <sz val="8.0"/>
      </rPr>
      <t>[</t>
    </r>
    <r>
      <rPr>
        <rFont val="Noto Sans CJK SC"/>
        <i/>
        <color rgb="FF7F7F7F"/>
        <sz val="8.0"/>
      </rPr>
      <t xml:space="preserve">회장 </t>
    </r>
    <r>
      <rPr>
        <rFont val="맑은 고딕"/>
        <i/>
        <color rgb="FF7F7F7F"/>
        <sz val="8.0"/>
      </rPr>
      <t xml:space="preserve">/ </t>
    </r>
    <r>
      <rPr>
        <rFont val="Noto Sans CJK SC"/>
        <i/>
        <color rgb="FF7F7F7F"/>
        <sz val="8.0"/>
      </rPr>
      <t xml:space="preserve">부회장 </t>
    </r>
    <r>
      <rPr>
        <rFont val="맑은 고딕"/>
        <i/>
        <color rgb="FF7F7F7F"/>
        <sz val="8.0"/>
      </rPr>
      <t xml:space="preserve">/ </t>
    </r>
    <r>
      <rPr>
        <rFont val="Noto Sans CJK SC"/>
        <i/>
        <color rgb="FF7F7F7F"/>
        <sz val="8.0"/>
      </rPr>
      <t xml:space="preserve">부장 </t>
    </r>
    <r>
      <rPr>
        <rFont val="맑은 고딕"/>
        <i/>
        <color rgb="FF7F7F7F"/>
        <sz val="8.0"/>
      </rPr>
      <t xml:space="preserve">/ </t>
    </r>
    <r>
      <rPr>
        <rFont val="Noto Sans CJK SC"/>
        <i/>
        <color rgb="FF7F7F7F"/>
        <sz val="8.0"/>
      </rPr>
      <t xml:space="preserve">총무 </t>
    </r>
    <r>
      <rPr>
        <rFont val="맑은 고딕"/>
        <i/>
        <color rgb="FF7F7F7F"/>
        <sz val="8.0"/>
      </rPr>
      <t xml:space="preserve">/ </t>
    </r>
    <r>
      <rPr>
        <rFont val="Noto Sans CJK SC"/>
        <i/>
        <color rgb="FF7F7F7F"/>
        <sz val="8.0"/>
      </rPr>
      <t>부원</t>
    </r>
    <r>
      <rPr>
        <rFont val="맑은 고딕"/>
        <i/>
        <color rgb="FF7F7F7F"/>
        <sz val="8.0"/>
      </rPr>
      <t>]</t>
    </r>
  </si>
  <si>
    <r>
      <rPr>
        <rFont val="맑은 고딕"/>
        <i/>
        <color rgb="FF7F7F7F"/>
        <sz val="8.0"/>
      </rPr>
      <t xml:space="preserve">YYYY-MM / </t>
    </r>
    <r>
      <rPr>
        <rFont val="Noto Sans CJK SC"/>
        <i/>
        <color rgb="FF7F7F7F"/>
        <sz val="8.0"/>
      </rPr>
      <t>진행중</t>
    </r>
  </si>
  <si>
    <t>동아리</t>
  </si>
  <si>
    <t>로봇 제작 동아리</t>
  </si>
  <si>
    <t>부장</t>
  </si>
  <si>
    <t>2024-03</t>
  </si>
  <si>
    <r>
      <rPr>
        <rFont val="Noto Sans CJK SC"/>
        <color rgb="FF1F3B8A"/>
        <sz val="10.0"/>
      </rPr>
      <t>설계팀장</t>
    </r>
    <r>
      <rPr>
        <rFont val="맑은 고딕"/>
        <color rgb="FF1F3B8A"/>
        <sz val="10.0"/>
      </rPr>
      <t xml:space="preserve">, </t>
    </r>
    <r>
      <rPr>
        <rFont val="Noto Sans CJK SC"/>
        <color rgb="FF1F3B8A"/>
        <sz val="10.0"/>
      </rPr>
      <t xml:space="preserve">경진대회 출전 </t>
    </r>
    <r>
      <rPr>
        <rFont val="맑은 고딕"/>
        <color rgb="FF1F3B8A"/>
        <sz val="10.0"/>
      </rPr>
      <t>2</t>
    </r>
    <r>
      <rPr>
        <rFont val="Noto Sans CJK SC"/>
        <color rgb="FF1F3B8A"/>
        <sz val="10.0"/>
      </rPr>
      <t>회</t>
    </r>
  </si>
  <si>
    <t>부원</t>
  </si>
  <si>
    <t>2024-02</t>
  </si>
  <si>
    <t>봉사활동</t>
  </si>
  <si>
    <r>
      <rPr>
        <rFont val="Noto Sans CJK SC"/>
        <i/>
        <color rgb="FF7F7F7F"/>
        <sz val="8.0"/>
      </rPr>
      <t>출처</t>
    </r>
    <r>
      <rPr>
        <rFont val="맑은 고딕"/>
        <i/>
        <color rgb="FF7F7F7F"/>
        <sz val="8.0"/>
      </rPr>
      <t>: 1365 · 3</t>
    </r>
    <r>
      <rPr>
        <rFont val="Noto Sans CJK SC"/>
        <i/>
        <color rgb="FF7F7F7F"/>
        <sz val="8.0"/>
      </rPr>
      <t>품</t>
    </r>
    <r>
      <rPr>
        <rFont val="맑은 고딕"/>
        <i/>
        <color rgb="FF7F7F7F"/>
        <sz val="8.0"/>
      </rPr>
      <t>(</t>
    </r>
    <r>
      <rPr>
        <rFont val="Noto Sans CJK SC"/>
        <i/>
        <color rgb="FF7F7F7F"/>
        <sz val="8.0"/>
      </rPr>
      <t>인성</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문화적수용능력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학년 보정</t>
    </r>
    <r>
      <rPr>
        <rFont val="맑은 고딕"/>
        <i/>
        <color rgb="FF7F7F7F"/>
        <sz val="8.0"/>
      </rPr>
      <t>(</t>
    </r>
    <r>
      <rPr>
        <rFont val="Noto Sans CJK SC"/>
        <i/>
        <color rgb="FF7F7F7F"/>
        <sz val="8.0"/>
      </rPr>
      <t>학기당 시간</t>
    </r>
    <r>
      <rPr>
        <rFont val="맑은 고딕"/>
        <i/>
        <color rgb="FF7F7F7F"/>
        <sz val="8.0"/>
      </rPr>
      <t xml:space="preserve">) </t>
    </r>
    <r>
      <rPr>
        <rFont val="Noto Sans CJK SC"/>
        <i/>
        <color rgb="FF7F7F7F"/>
        <sz val="8.0"/>
      </rPr>
      <t>필요</t>
    </r>
  </si>
  <si>
    <r>
      <rPr>
        <rFont val="Noto Sans CJK SC"/>
        <b/>
        <color rgb="FF000000"/>
        <sz val="10.0"/>
      </rPr>
      <t>총 봉사시간</t>
    </r>
    <r>
      <rPr>
        <rFont val="맑은 고딕"/>
        <b/>
        <color rgb="FF000000"/>
        <sz val="10.0"/>
      </rPr>
      <t>(h)</t>
    </r>
  </si>
  <si>
    <r>
      <rPr>
        <rFont val="맑은 고딕"/>
        <color rgb="FF7F7F7F"/>
        <sz val="9.0"/>
      </rPr>
      <t xml:space="preserve">1365 </t>
    </r>
    <r>
      <rPr>
        <rFont val="Noto Sans CJK SC"/>
        <color rgb="FF7F7F7F"/>
        <sz val="9.0"/>
      </rPr>
      <t>등 인증 시간 합계</t>
    </r>
  </si>
  <si>
    <r>
      <rPr>
        <rFont val="Noto Sans CJK SC"/>
        <b/>
        <color rgb="FF000000"/>
        <sz val="9.0"/>
      </rPr>
      <t>기관</t>
    </r>
    <r>
      <rPr>
        <rFont val="맑은 고딕"/>
        <b/>
        <color rgb="FF000000"/>
        <sz val="9.0"/>
      </rPr>
      <t>·</t>
    </r>
    <r>
      <rPr>
        <rFont val="Noto Sans CJK SC"/>
        <b/>
        <color rgb="FF000000"/>
        <sz val="9.0"/>
      </rPr>
      <t>내용</t>
    </r>
  </si>
  <si>
    <r>
      <rPr>
        <rFont val="Noto Sans CJK SC"/>
        <b/>
        <color rgb="FF000000"/>
        <sz val="9.0"/>
      </rPr>
      <t>시간</t>
    </r>
    <r>
      <rPr>
        <rFont val="맑은 고딕"/>
        <b/>
        <color rgb="FF000000"/>
        <sz val="9.0"/>
      </rPr>
      <t>(h)</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</si>
  <si>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교외</t>
    </r>
    <r>
      <rPr>
        <rFont val="맑은 고딕"/>
        <i/>
        <color rgb="FF7F7F7F"/>
        <sz val="8.0"/>
      </rPr>
      <t>(</t>
    </r>
    <r>
      <rPr>
        <rFont val="Noto Sans CJK SC"/>
        <i/>
        <color rgb="FF7F7F7F"/>
        <sz val="8.0"/>
      </rPr>
      <t>국내</t>
    </r>
    <r>
      <rPr>
        <rFont val="맑은 고딕"/>
        <i/>
        <color rgb="FF7F7F7F"/>
        <sz val="8.0"/>
      </rPr>
      <t xml:space="preserve">) / </t>
    </r>
    <r>
      <rPr>
        <rFont val="Noto Sans CJK SC"/>
        <i/>
        <color rgb="FF7F7F7F"/>
        <sz val="8.0"/>
      </rPr>
      <t xml:space="preserve">국외 </t>
    </r>
    <r>
      <rPr>
        <rFont val="맑은 고딕"/>
        <i/>
        <color rgb="FF7F7F7F"/>
        <sz val="8.0"/>
      </rPr>
      <t xml:space="preserve">/ </t>
    </r>
    <r>
      <rPr>
        <rFont val="Noto Sans CJK SC"/>
        <i/>
        <color rgb="FF7F7F7F"/>
        <sz val="8.0"/>
      </rPr>
      <t>유학생 봉사</t>
    </r>
    <r>
      <rPr>
        <rFont val="맑은 고딕"/>
        <i/>
        <color rgb="FF7F7F7F"/>
        <sz val="8.0"/>
      </rPr>
      <t>]</t>
    </r>
  </si>
  <si>
    <r>
      <rPr>
        <rFont val="Noto Sans CJK SC"/>
        <color rgb="FF1F3B8A"/>
        <sz val="10.0"/>
      </rPr>
      <t>교외</t>
    </r>
    <r>
      <rPr>
        <rFont val="맑은 고딕"/>
        <color rgb="FF1F3B8A"/>
        <sz val="10.0"/>
      </rPr>
      <t>(</t>
    </r>
    <r>
      <rPr>
        <rFont val="Noto Sans CJK SC"/>
        <color rgb="FF1F3B8A"/>
        <sz val="10.0"/>
      </rPr>
      <t>국내</t>
    </r>
    <r>
      <rPr>
        <rFont val="맑은 고딕"/>
        <color rgb="FF1F3B8A"/>
        <sz val="10.0"/>
      </rPr>
      <t>)</t>
    </r>
  </si>
  <si>
    <t>과학관 체험부스 운영</t>
  </si>
  <si>
    <t>2024-05</t>
  </si>
  <si>
    <t>공대 축제 안전요원</t>
  </si>
  <si>
    <t>2025-05</t>
  </si>
  <si>
    <r>
      <rPr>
        <rFont val="Noto Sans CJK SC"/>
        <b/>
        <color rgb="FF000000"/>
        <sz val="11.0"/>
      </rPr>
      <t>멘토링</t>
    </r>
    <r>
      <rPr>
        <rFont val="맑은 고딕"/>
        <b/>
        <color rgb="FF000000"/>
        <sz val="11.0"/>
      </rPr>
      <t>·</t>
    </r>
    <r>
      <rPr>
        <rFont val="Noto Sans CJK SC"/>
        <b/>
        <color rgb="FF000000"/>
        <sz val="11.0"/>
      </rPr>
      <t>학습공동체</t>
    </r>
  </si>
  <si>
    <r>
      <rPr>
        <rFont val="Noto Sans CJK SC"/>
        <i/>
        <color rgb="FF7F7F7F"/>
        <sz val="8.0"/>
      </rPr>
      <t>출처</t>
    </r>
    <r>
      <rPr>
        <rFont val="맑은 고딕"/>
        <i/>
        <color rgb="FF7F7F7F"/>
        <sz val="8.0"/>
      </rPr>
      <t xml:space="preserve">: </t>
    </r>
    <r>
      <rPr>
        <rFont val="Noto Sans CJK SC"/>
        <i/>
        <color rgb="FF7F7F7F"/>
        <sz val="8.0"/>
      </rPr>
      <t xml:space="preserve">교수학습센터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소통능력 </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교수 관심 </t>
    </r>
    <r>
      <rPr>
        <rFont val="맑은 고딕"/>
        <i/>
        <color rgb="FF7F7F7F"/>
        <sz val="8.0"/>
      </rPr>
      <t>'</t>
    </r>
    <r>
      <rPr>
        <rFont val="Noto Sans CJK SC"/>
        <i/>
        <color rgb="FF7F7F7F"/>
        <sz val="8.0"/>
      </rPr>
      <t>소통능력</t>
    </r>
    <r>
      <rPr>
        <rFont val="맑은 고딕"/>
        <i/>
        <color rgb="FF7F7F7F"/>
        <sz val="8.0"/>
      </rPr>
      <t>'</t>
    </r>
    <r>
      <rPr>
        <rFont val="Noto Sans CJK SC"/>
        <i/>
        <color rgb="FF7F7F7F"/>
        <sz val="8.0"/>
      </rPr>
      <t xml:space="preserve">의 </t>
    </r>
    <r>
      <rPr>
        <rFont val="맑은 고딕"/>
        <i/>
        <color rgb="FF7F7F7F"/>
        <sz val="8.0"/>
      </rPr>
      <t>'</t>
    </r>
    <r>
      <rPr>
        <rFont val="Noto Sans CJK SC"/>
        <i/>
        <color rgb="FF7F7F7F"/>
        <sz val="8.0"/>
      </rPr>
      <t>스터디 참여</t>
    </r>
    <r>
      <rPr>
        <rFont val="맑은 고딕"/>
        <i/>
        <color rgb="FF7F7F7F"/>
        <sz val="8.0"/>
      </rPr>
      <t xml:space="preserve">' </t>
    </r>
    <r>
      <rPr>
        <rFont val="Noto Sans CJK SC"/>
        <i/>
        <color rgb="FF7F7F7F"/>
        <sz val="8.0"/>
      </rPr>
      <t>근거 확보</t>
    </r>
  </si>
  <si>
    <t>프로그램명</t>
  </si>
  <si>
    <r>
      <rPr>
        <rFont val="Noto Sans CJK SC"/>
        <b/>
        <color rgb="FF000000"/>
        <sz val="9.0"/>
      </rPr>
      <t>역할</t>
    </r>
    <r>
      <rPr>
        <rFont val="맑은 고딕"/>
        <b/>
        <color rgb="FF000000"/>
        <sz val="9.0"/>
      </rPr>
      <t>·</t>
    </r>
    <r>
      <rPr>
        <rFont val="Noto Sans CJK SC"/>
        <b/>
        <color rgb="FF000000"/>
        <sz val="9.0"/>
      </rPr>
      <t>내용</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</si>
  <si>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</si>
  <si>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i/>
        <color rgb="FF7F7F7F"/>
        <sz val="8.0"/>
      </rPr>
      <t>[</t>
    </r>
    <r>
      <rPr>
        <rFont val="Noto Sans CJK SC"/>
        <i/>
        <color rgb="FF7F7F7F"/>
        <sz val="8.0"/>
      </rPr>
      <t xml:space="preserve">튜터 </t>
    </r>
    <r>
      <rPr>
        <rFont val="맑은 고딕"/>
        <i/>
        <color rgb="FF7F7F7F"/>
        <sz val="8.0"/>
      </rPr>
      <t xml:space="preserve">/ </t>
    </r>
    <r>
      <rPr>
        <rFont val="Noto Sans CJK SC"/>
        <i/>
        <color rgb="FF7F7F7F"/>
        <sz val="8.0"/>
      </rPr>
      <t xml:space="preserve">튜티 </t>
    </r>
    <r>
      <rPr>
        <rFont val="맑은 고딕"/>
        <i/>
        <color rgb="FF7F7F7F"/>
        <sz val="8.0"/>
      </rPr>
      <t xml:space="preserve">/ </t>
    </r>
    <r>
      <rPr>
        <rFont val="Noto Sans CJK SC"/>
        <i/>
        <color rgb="FF7F7F7F"/>
        <sz val="8.0"/>
      </rPr>
      <t xml:space="preserve">멘토 </t>
    </r>
    <r>
      <rPr>
        <rFont val="맑은 고딕"/>
        <i/>
        <color rgb="FF7F7F7F"/>
        <sz val="8.0"/>
      </rPr>
      <t xml:space="preserve">/ </t>
    </r>
    <r>
      <rPr>
        <rFont val="Noto Sans CJK SC"/>
        <i/>
        <color rgb="FF7F7F7F"/>
        <sz val="8.0"/>
      </rPr>
      <t xml:space="preserve">멘티 </t>
    </r>
    <r>
      <rPr>
        <rFont val="맑은 고딕"/>
        <i/>
        <color rgb="FF7F7F7F"/>
        <sz val="8.0"/>
      </rPr>
      <t xml:space="preserve">/ </t>
    </r>
    <r>
      <rPr>
        <rFont val="Noto Sans CJK SC"/>
        <i/>
        <color rgb="FF7F7F7F"/>
        <sz val="8.0"/>
      </rPr>
      <t xml:space="preserve">스터디 </t>
    </r>
    <r>
      <rPr>
        <rFont val="맑은 고딕"/>
        <i/>
        <color rgb="FF7F7F7F"/>
        <sz val="8.0"/>
      </rPr>
      <t xml:space="preserve">/ </t>
    </r>
    <r>
      <rPr>
        <rFont val="Noto Sans CJK SC"/>
        <i/>
        <color rgb="FF7F7F7F"/>
        <sz val="8.0"/>
      </rPr>
      <t>학습공동체</t>
    </r>
    <r>
      <rPr>
        <rFont val="맑은 고딕"/>
        <i/>
        <color rgb="FF7F7F7F"/>
        <sz val="8.0"/>
      </rPr>
      <t>]</t>
    </r>
  </si>
  <si>
    <t>스터디</t>
  </si>
  <si>
    <t>공학수학 스터디</t>
  </si>
  <si>
    <t>참여</t>
  </si>
  <si>
    <t>팀프로젝트 동료평가</t>
  </si>
  <si>
    <r>
      <rPr>
        <rFont val="Noto Sans CJK SC"/>
        <i/>
        <color rgb="FF7F7F7F"/>
        <sz val="8.0"/>
      </rPr>
      <t>출처</t>
    </r>
    <r>
      <rPr>
        <rFont val="맑은 고딕"/>
        <i/>
        <color rgb="FF7F7F7F"/>
        <sz val="8.0"/>
      </rPr>
      <t xml:space="preserve">: LMS(i-Campus)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커뮤니케이션</t>
    </r>
    <r>
      <rPr>
        <rFont val="맑은 고딕"/>
        <i/>
        <color rgb="FF7F7F7F"/>
        <sz val="8.0"/>
      </rPr>
      <t>(</t>
    </r>
    <r>
      <rPr>
        <rFont val="Noto Sans CJK SC"/>
        <i/>
        <color rgb="FF7F7F7F"/>
        <sz val="8.0"/>
      </rPr>
      <t>협업</t>
    </r>
    <r>
      <rPr>
        <rFont val="맑은 고딕"/>
        <i/>
        <color rgb="FF7F7F7F"/>
        <sz val="8.0"/>
      </rPr>
      <t xml:space="preserve">) /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대인관계 역량을 </t>
    </r>
    <r>
      <rPr>
        <rFont val="맑은 고딕"/>
        <i/>
        <color rgb="FF7F7F7F"/>
        <sz val="8.0"/>
      </rPr>
      <t>'</t>
    </r>
    <r>
      <rPr>
        <rFont val="Noto Sans CJK SC"/>
        <i/>
        <color rgb="FF7F7F7F"/>
        <sz val="8.0"/>
      </rPr>
      <t>활동 여부</t>
    </r>
    <r>
      <rPr>
        <rFont val="맑은 고딕"/>
        <i/>
        <color rgb="FF7F7F7F"/>
        <sz val="8.0"/>
      </rPr>
      <t>'</t>
    </r>
    <r>
      <rPr>
        <rFont val="Noto Sans CJK SC"/>
        <i/>
        <color rgb="FF7F7F7F"/>
        <sz val="8.0"/>
      </rPr>
      <t xml:space="preserve">가 아닌 </t>
    </r>
    <r>
      <rPr>
        <rFont val="맑은 고딕"/>
        <i/>
        <color rgb="FF7F7F7F"/>
        <sz val="8.0"/>
      </rPr>
      <t>'</t>
    </r>
    <r>
      <rPr>
        <rFont val="Noto Sans CJK SC"/>
        <i/>
        <color rgb="FF7F7F7F"/>
        <sz val="8.0"/>
      </rPr>
      <t>평판</t>
    </r>
    <r>
      <rPr>
        <rFont val="맑은 고딕"/>
        <i/>
        <color rgb="FF7F7F7F"/>
        <sz val="8.0"/>
      </rPr>
      <t>'</t>
    </r>
    <r>
      <rPr>
        <rFont val="Noto Sans CJK SC"/>
        <i/>
        <color rgb="FF7F7F7F"/>
        <sz val="8.0"/>
      </rPr>
      <t>으로 측정할 수 있는 유일한 근거</t>
    </r>
  </si>
  <si>
    <t>동료평가 점수</t>
  </si>
  <si>
    <t>만점</t>
  </si>
  <si>
    <r>
      <rPr>
        <rFont val="Noto Sans CJK SC"/>
        <b/>
        <color rgb="FF000000"/>
        <sz val="9.0"/>
      </rPr>
      <t>평가 인원</t>
    </r>
    <r>
      <rPr>
        <rFont val="맑은 고딕"/>
        <b/>
        <color rgb="FF000000"/>
        <sz val="9.0"/>
      </rPr>
      <t>(</t>
    </r>
    <r>
      <rPr>
        <rFont val="Noto Sans CJK SC"/>
        <b/>
        <color rgb="FF000000"/>
        <sz val="9.0"/>
      </rPr>
      <t>명</t>
    </r>
    <r>
      <rPr>
        <rFont val="맑은 고딕"/>
        <b/>
        <color rgb="FF000000"/>
        <sz val="9.0"/>
      </rPr>
      <t>)</t>
    </r>
  </si>
  <si>
    <t>코멘트 요약</t>
  </si>
  <si>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</si>
  <si>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Noto Sans CJK SC"/>
        <color rgb="FF1F3B8A"/>
        <sz val="10.0"/>
      </rPr>
      <t>기술 문제 해결 기여 큼</t>
    </r>
    <r>
      <rPr>
        <rFont val="맑은 고딕"/>
        <color rgb="FF1F3B8A"/>
        <sz val="10.0"/>
      </rPr>
      <t xml:space="preserve">, </t>
    </r>
    <r>
      <rPr>
        <rFont val="Noto Sans CJK SC"/>
        <color rgb="FF1F3B8A"/>
        <sz val="10.0"/>
      </rPr>
      <t>일정 공유는 보완 필요</t>
    </r>
  </si>
  <si>
    <r>
      <rPr>
        <rFont val="Noto Sans CJK SC"/>
        <b/>
        <color rgb="FFFFFFFF"/>
        <sz val="11.0"/>
      </rPr>
      <t>■ 자격</t>
    </r>
    <r>
      <rPr>
        <rFont val="맑은 고딕"/>
        <b/>
        <color rgb="FFFFFFFF"/>
        <sz val="11.0"/>
      </rPr>
      <t>·</t>
    </r>
    <r>
      <rPr>
        <rFont val="Noto Sans CJK SC"/>
        <b/>
        <color rgb="FFFFFFFF"/>
        <sz val="11.0"/>
      </rPr>
      <t>인증</t>
    </r>
  </si>
  <si>
    <r>
      <rPr>
        <rFont val="Noto Sans CJK SC"/>
        <b/>
        <color rgb="FF000000"/>
        <sz val="11.0"/>
      </rPr>
      <t>자격증</t>
    </r>
    <r>
      <rPr>
        <rFont val="맑은 고딕"/>
        <b/>
        <color rgb="FF000000"/>
        <sz val="11.0"/>
      </rPr>
      <t>(</t>
    </r>
    <r>
      <rPr>
        <rFont val="Noto Sans CJK SC"/>
        <b/>
        <color rgb="FF000000"/>
        <sz val="11.0"/>
      </rPr>
      <t>어학</t>
    </r>
    <r>
      <rPr>
        <rFont val="맑은 고딕"/>
        <b/>
        <color rgb="FF000000"/>
        <sz val="11.0"/>
      </rPr>
      <t>)</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</si>
  <si>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성적표</t>
    </r>
    <r>
      <rPr>
        <rFont val="맑은 고딕"/>
        <i/>
        <color rgb="FF7F7F7F"/>
        <sz val="8.0"/>
      </rPr>
      <t>) · 3</t>
    </r>
    <r>
      <rPr>
        <rFont val="Noto Sans CJK SC"/>
        <i/>
        <color rgb="FF7F7F7F"/>
        <sz val="8.0"/>
      </rPr>
      <t>품</t>
    </r>
    <r>
      <rPr>
        <rFont val="맑은 고딕"/>
        <i/>
        <color rgb="FF7F7F7F"/>
        <sz val="8.0"/>
      </rPr>
      <t>(</t>
    </r>
    <r>
      <rPr>
        <rFont val="Noto Sans CJK SC"/>
        <i/>
        <color rgb="FF7F7F7F"/>
        <sz val="8.0"/>
      </rPr>
      <t>글로벌</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언어 사용능력</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시험별 공통 척도 환산표 필요</t>
    </r>
  </si>
  <si>
    <t>시험명</t>
  </si>
  <si>
    <t>점수</t>
  </si>
  <si>
    <r>
      <rPr>
        <rFont val="Noto Sans CJK SC"/>
        <b/>
        <color rgb="FF000000"/>
        <sz val="9.0"/>
      </rPr>
      <t>등급</t>
    </r>
    <r>
      <rPr>
        <rFont val="맑은 고딕"/>
        <b/>
        <color rgb="FF000000"/>
        <sz val="9.0"/>
      </rPr>
      <t>·</t>
    </r>
    <r>
      <rPr>
        <rFont val="Noto Sans CJK SC"/>
        <b/>
        <color rgb="FF000000"/>
        <sz val="9.0"/>
      </rPr>
      <t>레벨</t>
    </r>
  </si>
  <si>
    <t>응시일</t>
  </si>
  <si>
    <t>만료일</t>
  </si>
  <si>
    <r>
      <rPr>
        <rFont val="맑은 고딕"/>
        <i/>
        <color rgb="FF7F7F7F"/>
        <sz val="8.0"/>
      </rPr>
      <t xml:space="preserve">[TOEIC / TOEFL iBT / TOEIC Speaking / OPIc / HSK / JPT / JLPT / DELF/DALF / DELE / </t>
    </r>
    <r>
      <rPr>
        <rFont val="Noto Sans CJK SC"/>
        <i/>
        <color rgb="FF7F7F7F"/>
        <sz val="8.0"/>
      </rPr>
      <t>기타</t>
    </r>
    <r>
      <rPr>
        <rFont val="맑은 고딕"/>
        <i/>
        <color rgb="FF7F7F7F"/>
        <sz val="8.0"/>
      </rPr>
      <t>]</t>
    </r>
  </si>
  <si>
    <r>
      <rPr>
        <rFont val="Noto Sans CJK SC"/>
        <i/>
        <color rgb="FF7F7F7F"/>
        <sz val="8.0"/>
      </rPr>
      <t>예</t>
    </r>
    <r>
      <rPr>
        <rFont val="맑은 고딕"/>
        <i/>
        <color rgb="FF7F7F7F"/>
        <sz val="8.0"/>
      </rPr>
      <t>: IH, N1, 5</t>
    </r>
    <r>
      <rPr>
        <rFont val="Noto Sans CJK SC"/>
        <i/>
        <color rgb="FF7F7F7F"/>
        <sz val="8.0"/>
      </rPr>
      <t>급</t>
    </r>
  </si>
  <si>
    <t>TOEIC</t>
  </si>
  <si>
    <t>2025-07-27</t>
  </si>
  <si>
    <t>2027-07-27</t>
  </si>
  <si>
    <r>
      <rPr>
        <rFont val="Noto Sans CJK SC"/>
        <b/>
        <color rgb="FF000000"/>
        <sz val="11.0"/>
      </rPr>
      <t>자격증</t>
    </r>
    <r>
      <rPr>
        <rFont val="맑은 고딕"/>
        <b/>
        <color rgb="FF000000"/>
        <sz val="11.0"/>
      </rPr>
      <t>(</t>
    </r>
    <r>
      <rPr>
        <rFont val="Noto Sans CJK SC"/>
        <b/>
        <color rgb="FF000000"/>
        <sz val="11.0"/>
      </rPr>
      <t>기타</t>
    </r>
    <r>
      <rPr>
        <rFont val="맑은 고딕"/>
        <b/>
        <color rgb="FF000000"/>
        <sz val="11.0"/>
      </rPr>
      <t>/</t>
    </r>
    <r>
      <rPr>
        <rFont val="Noto Sans CJK SC"/>
        <b/>
        <color rgb="FF000000"/>
        <sz val="11.0"/>
      </rPr>
      <t>전공</t>
    </r>
    <r>
      <rPr>
        <rFont val="맑은 고딕"/>
        <b/>
        <color rgb="FF000000"/>
        <sz val="11.0"/>
      </rPr>
      <t>)</t>
    </r>
  </si>
  <si>
    <r>
      <rPr>
        <rFont val="Noto Sans CJK SC"/>
        <i/>
        <color rgb="FF7F7F7F"/>
        <sz val="8.0"/>
      </rPr>
      <t>출처</t>
    </r>
    <r>
      <rPr>
        <rFont val="맑은 고딕"/>
        <i/>
        <color rgb="FF7F7F7F"/>
        <sz val="8.0"/>
      </rPr>
      <t xml:space="preserve">: </t>
    </r>
    <r>
      <rPr>
        <rFont val="Noto Sans CJK SC"/>
        <i/>
        <color rgb="FF7F7F7F"/>
        <sz val="8.0"/>
      </rPr>
      <t xml:space="preserve">학생 등록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-IT </t>
    </r>
    <r>
      <rPr>
        <rFont val="Noto Sans CJK SC"/>
        <i/>
        <color rgb="FF7F7F7F"/>
        <sz val="8.0"/>
      </rPr>
      <t>활용</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자격증별 </t>
    </r>
    <r>
      <rPr>
        <rFont val="맑은 고딕"/>
        <i/>
        <color rgb="FF7F7F7F"/>
        <sz val="8.0"/>
      </rPr>
      <t>'</t>
    </r>
    <r>
      <rPr>
        <rFont val="Noto Sans CJK SC"/>
        <i/>
        <color rgb="FF7F7F7F"/>
        <sz val="8.0"/>
      </rPr>
      <t>등급</t>
    </r>
    <r>
      <rPr>
        <rFont val="맑은 고딕"/>
        <i/>
        <color rgb="FF7F7F7F"/>
        <sz val="8.0"/>
      </rPr>
      <t>·</t>
    </r>
    <r>
      <rPr>
        <rFont val="Noto Sans CJK SC"/>
        <i/>
        <color rgb="FF7F7F7F"/>
        <sz val="8.0"/>
      </rPr>
      <t>난이도</t>
    </r>
    <r>
      <rPr>
        <rFont val="맑은 고딕"/>
        <i/>
        <color rgb="FF7F7F7F"/>
        <sz val="8.0"/>
      </rPr>
      <t xml:space="preserve">' </t>
    </r>
    <r>
      <rPr>
        <rFont val="Noto Sans CJK SC"/>
        <i/>
        <color rgb="FF7F7F7F"/>
        <sz val="8.0"/>
      </rPr>
      <t>매핑표 필요</t>
    </r>
  </si>
  <si>
    <t>자격증명</t>
  </si>
  <si>
    <r>
      <rPr>
        <rFont val="Noto Sans CJK SC"/>
        <b/>
        <color rgb="FF000000"/>
        <sz val="9.0"/>
      </rPr>
      <t>등급</t>
    </r>
    <r>
      <rPr>
        <rFont val="맑은 고딕"/>
        <b/>
        <color rgb="FF000000"/>
        <sz val="9.0"/>
      </rPr>
      <t>·</t>
    </r>
    <r>
      <rPr>
        <rFont val="Noto Sans CJK SC"/>
        <b/>
        <color rgb="FF000000"/>
        <sz val="9.0"/>
      </rPr>
      <t>급수</t>
    </r>
  </si>
  <si>
    <t>발급기관</t>
  </si>
  <si>
    <t>취득일</t>
  </si>
  <si>
    <t>일반기계기사</t>
  </si>
  <si>
    <t>필기 합격</t>
  </si>
  <si>
    <t>한국산업인력공단</t>
  </si>
  <si>
    <t>2026-05-20</t>
  </si>
  <si>
    <t>컴퓨터활용능력</t>
  </si>
  <si>
    <r>
      <rPr>
        <rFont val="맑은 고딕"/>
        <color rgb="FF1F3B8A"/>
        <sz val="10.0"/>
      </rPr>
      <t>2</t>
    </r>
    <r>
      <rPr>
        <rFont val="Noto Sans CJK SC"/>
        <color rgb="FF1F3B8A"/>
        <sz val="10.0"/>
      </rPr>
      <t>급</t>
    </r>
  </si>
  <si>
    <t>대한상공회의소</t>
  </si>
  <si>
    <t>2023-11-10</t>
  </si>
  <si>
    <r>
      <rPr>
        <rFont val="Noto Sans CJK SC"/>
        <b/>
        <color rgb="FF000000"/>
        <sz val="11.0"/>
      </rPr>
      <t>전문직</t>
    </r>
    <r>
      <rPr>
        <rFont val="맑은 고딕"/>
        <b/>
        <color rgb="FF000000"/>
        <sz val="11.0"/>
      </rPr>
      <t>·</t>
    </r>
    <r>
      <rPr>
        <rFont val="Noto Sans CJK SC"/>
        <b/>
        <color rgb="FF000000"/>
        <sz val="11.0"/>
      </rPr>
      <t>공직 시험</t>
    </r>
  </si>
  <si>
    <r>
      <rPr>
        <rFont val="Noto Sans CJK SC"/>
        <i/>
        <color rgb="FF7F7F7F"/>
        <sz val="8.0"/>
      </rPr>
      <t>출처</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t>
    </r>
    <r>
      <rPr>
        <rFont val="Noto Sans CJK SC"/>
        <i/>
        <color rgb="FF7F7F7F"/>
        <sz val="8.0"/>
      </rPr>
      <t>진로개발</t>
    </r>
    <r>
      <rPr>
        <rFont val="맑은 고딕"/>
        <i/>
        <color rgb="FF7F7F7F"/>
        <sz val="8.0"/>
      </rPr>
      <t xml:space="preserve">) </t>
    </r>
    <r>
      <rPr>
        <rFont val="Noto Sans CJK SC"/>
        <i/>
        <color rgb="FF7F7F7F"/>
        <sz val="8.0"/>
      </rPr>
      <t xml:space="preserve">인증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단계</t>
    </r>
    <r>
      <rPr>
        <rFont val="맑은 고딕"/>
        <i/>
        <color rgb="FF7F7F7F"/>
        <sz val="8.0"/>
      </rPr>
      <t>(1</t>
    </r>
    <r>
      <rPr>
        <rFont val="Noto Sans CJK SC"/>
        <i/>
        <color rgb="FF7F7F7F"/>
        <sz val="8.0"/>
      </rPr>
      <t>차</t>
    </r>
    <r>
      <rPr>
        <rFont val="맑은 고딕"/>
        <i/>
        <color rgb="FF7F7F7F"/>
        <sz val="8.0"/>
      </rPr>
      <t>·</t>
    </r>
    <r>
      <rPr>
        <rFont val="Noto Sans CJK SC"/>
        <i/>
        <color rgb="FF7F7F7F"/>
        <sz val="8.0"/>
      </rPr>
      <t>최종</t>
    </r>
    <r>
      <rPr>
        <rFont val="맑은 고딕"/>
        <i/>
        <color rgb="FF7F7F7F"/>
        <sz val="8.0"/>
      </rPr>
      <t xml:space="preserve">) </t>
    </r>
    <r>
      <rPr>
        <rFont val="Noto Sans CJK SC"/>
        <i/>
        <color rgb="FF7F7F7F"/>
        <sz val="8.0"/>
      </rPr>
      <t>구분</t>
    </r>
  </si>
  <si>
    <t>단계</t>
  </si>
  <si>
    <t>연도</t>
  </si>
  <si>
    <r>
      <rPr>
        <rFont val="맑은 고딕"/>
        <i/>
        <color rgb="FF7F7F7F"/>
        <sz val="8.0"/>
      </rPr>
      <t>[</t>
    </r>
    <r>
      <rPr>
        <rFont val="Noto Sans CJK SC"/>
        <i/>
        <color rgb="FF7F7F7F"/>
        <sz val="8.0"/>
      </rPr>
      <t xml:space="preserve">응시 </t>
    </r>
    <r>
      <rPr>
        <rFont val="맑은 고딕"/>
        <i/>
        <color rgb="FF7F7F7F"/>
        <sz val="8.0"/>
      </rPr>
      <t>/ 1</t>
    </r>
    <r>
      <rPr>
        <rFont val="Noto Sans CJK SC"/>
        <i/>
        <color rgb="FF7F7F7F"/>
        <sz val="8.0"/>
      </rPr>
      <t xml:space="preserve">차 합격 </t>
    </r>
    <r>
      <rPr>
        <rFont val="맑은 고딕"/>
        <i/>
        <color rgb="FF7F7F7F"/>
        <sz val="8.0"/>
      </rPr>
      <t>/ 2</t>
    </r>
    <r>
      <rPr>
        <rFont val="Noto Sans CJK SC"/>
        <i/>
        <color rgb="FF7F7F7F"/>
        <sz val="8.0"/>
      </rPr>
      <t xml:space="preserve">차 합격 </t>
    </r>
    <r>
      <rPr>
        <rFont val="맑은 고딕"/>
        <i/>
        <color rgb="FF7F7F7F"/>
        <sz val="8.0"/>
      </rPr>
      <t xml:space="preserve">/ </t>
    </r>
    <r>
      <rPr>
        <rFont val="Noto Sans CJK SC"/>
        <i/>
        <color rgb="FF7F7F7F"/>
        <sz val="8.0"/>
      </rPr>
      <t>최종 합격</t>
    </r>
    <r>
      <rPr>
        <rFont val="맑은 고딕"/>
        <i/>
        <color rgb="FF7F7F7F"/>
        <sz val="8.0"/>
      </rPr>
      <t>]</t>
    </r>
  </si>
  <si>
    <t>YYYY</t>
  </si>
  <si>
    <r>
      <rPr>
        <rFont val="맑은 고딕"/>
        <b/>
        <color rgb="FF000000"/>
        <sz val="11.0"/>
      </rPr>
      <t>3</t>
    </r>
    <r>
      <rPr>
        <rFont val="Noto Sans CJK SC"/>
        <b/>
        <color rgb="FF000000"/>
        <sz val="11.0"/>
      </rPr>
      <t>품인증 취득현황</t>
    </r>
  </si>
  <si>
    <r>
      <rPr>
        <rFont val="Noto Sans CJK SC"/>
        <i/>
        <color rgb="FF7F7F7F"/>
        <sz val="8.0"/>
      </rPr>
      <t>출처</t>
    </r>
    <r>
      <rPr>
        <rFont val="맑은 고딕"/>
        <i/>
        <color rgb="FF7F7F7F"/>
        <sz val="8.0"/>
      </rPr>
      <t>: 3</t>
    </r>
    <r>
      <rPr>
        <rFont val="Noto Sans CJK SC"/>
        <i/>
        <color rgb="FF7F7F7F"/>
        <sz val="8.0"/>
      </rPr>
      <t xml:space="preserve">품인증 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t>
    </r>
    <r>
      <rPr>
        <rFont val="Noto Sans CJK SC"/>
        <i/>
        <color rgb="FF7F7F7F"/>
        <sz val="8.0"/>
      </rPr>
      <t>복수 역량 종합</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 xml:space="preserve">하위 활동과 중복 가산 위험 → 가산점이 아닌 </t>
    </r>
    <r>
      <rPr>
        <rFont val="맑은 고딕"/>
        <i/>
        <color rgb="FF7F7F7F"/>
        <sz val="8.0"/>
      </rPr>
      <t>'</t>
    </r>
    <r>
      <rPr>
        <rFont val="Noto Sans CJK SC"/>
        <i/>
        <color rgb="FF7F7F7F"/>
        <sz val="8.0"/>
      </rPr>
      <t>참고 지표</t>
    </r>
    <r>
      <rPr>
        <rFont val="맑은 고딕"/>
        <i/>
        <color rgb="FF7F7F7F"/>
        <sz val="8.0"/>
      </rPr>
      <t>'</t>
    </r>
    <r>
      <rPr>
        <rFont val="Noto Sans CJK SC"/>
        <i/>
        <color rgb="FF7F7F7F"/>
        <sz val="8.0"/>
      </rPr>
      <t>로 권장</t>
    </r>
  </si>
  <si>
    <t>인성품</t>
  </si>
  <si>
    <t>취득</t>
  </si>
  <si>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</si>
  <si>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t>글로벌품</t>
  </si>
  <si>
    <t>미취득</t>
  </si>
  <si>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</si>
  <si>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t>창의품</t>
  </si>
  <si>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</si>
  <si>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맑은 고딕"/>
        <b/>
        <color rgb="FF000000"/>
        <sz val="10.0"/>
      </rPr>
      <t xml:space="preserve">AI </t>
    </r>
    <r>
      <rPr>
        <rFont val="Noto Sans CJK SC"/>
        <b/>
        <color rgb="FF000000"/>
        <sz val="10.0"/>
      </rPr>
      <t>영역</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</si>
  <si>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</si>
  <si>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t>인턴십 영역</t>
  </si>
  <si>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</si>
  <si>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t>비교과 이수시간</t>
  </si>
  <si>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종합적사고력</t>
    </r>
    <r>
      <rPr>
        <rFont val="맑은 고딕"/>
        <i/>
        <color rgb="FF7F7F7F"/>
        <sz val="8.0"/>
      </rPr>
      <t>(</t>
    </r>
    <r>
      <rPr>
        <rFont val="Noto Sans CJK SC"/>
        <i/>
        <color rgb="FF7F7F7F"/>
        <sz val="8.0"/>
      </rPr>
      <t>융합적 사고</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학년 보정 필요</t>
    </r>
  </si>
  <si>
    <r>
      <rPr>
        <rFont val="Noto Sans CJK SC"/>
        <b/>
        <color rgb="FF000000"/>
        <sz val="10.0"/>
      </rPr>
      <t>누적 이수시간</t>
    </r>
    <r>
      <rPr>
        <rFont val="맑은 고딕"/>
        <b/>
        <color rgb="FF000000"/>
        <sz val="10.0"/>
      </rPr>
      <t>(h)</t>
    </r>
  </si>
  <si>
    <r>
      <rPr>
        <rFont val="Noto Sans CJK SC"/>
        <b/>
        <color rgb="FF000000"/>
        <sz val="10.0"/>
      </rPr>
      <t>기준 시간</t>
    </r>
    <r>
      <rPr>
        <rFont val="맑은 고딕"/>
        <b/>
        <color rgb="FF000000"/>
        <sz val="10.0"/>
      </rPr>
      <t>(h)</t>
    </r>
  </si>
  <si>
    <r>
      <rPr>
        <rFont val="Noto Sans CJK SC"/>
        <color rgb="FF7F7F7F"/>
        <sz val="9.0"/>
      </rPr>
      <t>예</t>
    </r>
    <r>
      <rPr>
        <rFont val="맑은 고딕"/>
        <color rgb="FF7F7F7F"/>
        <sz val="9.0"/>
      </rPr>
      <t>: 90</t>
    </r>
  </si>
  <si>
    <t>집계 기준일</t>
  </si>
  <si>
    <t>2026-09-30</t>
  </si>
  <si>
    <r>
      <rPr>
        <rFont val="Noto Sans CJK SC"/>
        <b/>
        <color rgb="FFFFFFFF"/>
        <sz val="11.0"/>
      </rPr>
      <t>■ 진단</t>
    </r>
    <r>
      <rPr>
        <rFont val="맑은 고딕"/>
        <b/>
        <color rgb="FFFFFFFF"/>
        <sz val="11.0"/>
      </rPr>
      <t>·</t>
    </r>
    <r>
      <rPr>
        <rFont val="Noto Sans CJK SC"/>
        <b/>
        <color rgb="FFFFFFFF"/>
        <sz val="11.0"/>
      </rPr>
      <t>자기평가</t>
    </r>
  </si>
  <si>
    <r>
      <rPr>
        <rFont val="맑은 고딕"/>
        <b/>
        <color rgb="FF000000"/>
        <sz val="11.0"/>
      </rPr>
      <t xml:space="preserve">SSCA </t>
    </r>
    <r>
      <rPr>
        <rFont val="Noto Sans CJK SC"/>
        <b/>
        <color rgb="FF000000"/>
        <sz val="11.0"/>
      </rPr>
      <t>학생성공역량진단</t>
    </r>
  </si>
  <si>
    <r>
      <rPr>
        <rFont val="Noto Sans CJK SC"/>
        <i/>
        <color rgb="FF7F7F7F"/>
        <sz val="8.0"/>
      </rPr>
      <t>출처</t>
    </r>
    <r>
      <rPr>
        <rFont val="맑은 고딕"/>
        <i/>
        <color rgb="FF7F7F7F"/>
        <sz val="8.0"/>
      </rPr>
      <t xml:space="preserve">: </t>
    </r>
    <r>
      <rPr>
        <rFont val="Noto Sans CJK SC"/>
        <i/>
        <color rgb="FF7F7F7F"/>
        <sz val="8.0"/>
      </rPr>
      <t xml:space="preserve">학생성공 게이트웨이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전 역량</t>
    </r>
    <r>
      <rPr>
        <rFont val="맑은 고딕"/>
        <i/>
        <color rgb="FF7F7F7F"/>
        <sz val="8.0"/>
      </rPr>
      <t>(</t>
    </r>
    <r>
      <rPr>
        <rFont val="Noto Sans CJK SC"/>
        <i/>
        <color rgb="FF7F7F7F"/>
        <sz val="8.0"/>
      </rPr>
      <t>자기인식</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 xml:space="preserve">객관 점수에 합산하지 말고 </t>
    </r>
    <r>
      <rPr>
        <rFont val="맑은 고딕"/>
        <i/>
        <color rgb="FF7F7F7F"/>
        <sz val="8.0"/>
      </rPr>
      <t>'</t>
    </r>
    <r>
      <rPr>
        <rFont val="Noto Sans CJK SC"/>
        <i/>
        <color rgb="FF7F7F7F"/>
        <sz val="8.0"/>
      </rPr>
      <t xml:space="preserve">자기평가 </t>
    </r>
    <r>
      <rPr>
        <rFont val="맑은 고딕"/>
        <i/>
        <color rgb="FF7F7F7F"/>
        <sz val="8.0"/>
      </rPr>
      <t xml:space="preserve">vs </t>
    </r>
    <r>
      <rPr>
        <rFont val="Noto Sans CJK SC"/>
        <i/>
        <color rgb="FF7F7F7F"/>
        <sz val="8.0"/>
      </rPr>
      <t>데이터 평가</t>
    </r>
    <r>
      <rPr>
        <rFont val="맑은 고딕"/>
        <i/>
        <color rgb="FF7F7F7F"/>
        <sz val="8.0"/>
      </rPr>
      <t xml:space="preserve">' </t>
    </r>
    <r>
      <rPr>
        <rFont val="Noto Sans CJK SC"/>
        <i/>
        <color rgb="FF7F7F7F"/>
        <sz val="8.0"/>
      </rPr>
      <t>비교용으로 별도 표시</t>
    </r>
  </si>
  <si>
    <t>진단일</t>
  </si>
  <si>
    <t>2026-03-10</t>
  </si>
  <si>
    <t>진단 역량명</t>
  </si>
  <si>
    <t>자기진단 점수</t>
  </si>
  <si>
    <t>결과지 표기 그대로</t>
  </si>
  <si>
    <t>자기관리</t>
  </si>
  <si>
    <t>의사소통</t>
  </si>
  <si>
    <t>문제해결</t>
  </si>
  <si>
    <t>협업</t>
  </si>
  <si>
    <t>글로벌</t>
  </si>
  <si>
    <t>창의</t>
  </si>
  <si>
    <t>학습경험진단</t>
  </si>
  <si>
    <r>
      <rPr>
        <rFont val="Noto Sans CJK SC"/>
        <i/>
        <color rgb="FF7F7F7F"/>
        <sz val="8.0"/>
      </rPr>
      <t>출처</t>
    </r>
    <r>
      <rPr>
        <rFont val="맑은 고딕"/>
        <i/>
        <color rgb="FF7F7F7F"/>
        <sz val="8.0"/>
      </rPr>
      <t xml:space="preserve">: </t>
    </r>
    <r>
      <rPr>
        <rFont val="Noto Sans CJK SC"/>
        <i/>
        <color rgb="FF7F7F7F"/>
        <sz val="8.0"/>
      </rPr>
      <t xml:space="preserve">학생성공 게이트웨이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비고</t>
    </r>
    <r>
      <rPr>
        <rFont val="맑은 고딕"/>
        <i/>
        <color rgb="FF7F7F7F"/>
        <sz val="8.0"/>
      </rPr>
      <t>: SSCA</t>
    </r>
    <r>
      <rPr>
        <rFont val="Noto Sans CJK SC"/>
        <i/>
        <color rgb="FF7F7F7F"/>
        <sz val="8.0"/>
      </rPr>
      <t>와 동일하게 비교용 권장</t>
    </r>
  </si>
  <si>
    <t>종합 점수</t>
  </si>
  <si>
    <t>결과 요약</t>
  </si>
  <si>
    <r>
      <rPr>
        <rFont val="Noto Sans CJK SC"/>
        <color rgb="FF1F3B8A"/>
        <sz val="10.0"/>
      </rPr>
      <t>학습 동기 높음</t>
    </r>
    <r>
      <rPr>
        <rFont val="맑은 고딕"/>
        <color rgb="FF1F3B8A"/>
        <sz val="10.0"/>
      </rPr>
      <t xml:space="preserve">, </t>
    </r>
    <r>
      <rPr>
        <rFont val="Noto Sans CJK SC"/>
        <color rgb="FF1F3B8A"/>
        <sz val="10.0"/>
      </rPr>
      <t>시간관리 보통</t>
    </r>
  </si>
  <si>
    <t>결과지 요약 문구</t>
  </si>
  <si>
    <r>
      <rPr>
        <rFont val="Noto Sans CJK SC"/>
        <b/>
        <color rgb="FF000000"/>
        <sz val="11.0"/>
      </rPr>
      <t>활동 성찰 기록</t>
    </r>
    <r>
      <rPr>
        <rFont val="맑은 고딕"/>
        <b/>
        <color rgb="FF000000"/>
        <sz val="11.0"/>
      </rPr>
      <t>(STAR)</t>
    </r>
  </si>
  <si>
    <r>
      <rPr>
        <rFont val="Noto Sans CJK SC"/>
        <i/>
        <color rgb="FF7F7F7F"/>
        <sz val="8.0"/>
      </rPr>
      <t>출처</t>
    </r>
    <r>
      <rPr>
        <rFont val="맑은 고딕"/>
        <i/>
        <color rgb="FF7F7F7F"/>
        <sz val="8.0"/>
      </rPr>
      <t xml:space="preserve">: </t>
    </r>
    <r>
      <rPr>
        <rFont val="Noto Sans CJK SC"/>
        <i/>
        <color rgb="FF7F7F7F"/>
        <sz val="8.0"/>
      </rPr>
      <t>학생 입력</t>
    </r>
    <r>
      <rPr>
        <rFont val="맑은 고딕"/>
        <i/>
        <color rgb="FF7F7F7F"/>
        <sz val="8.0"/>
      </rPr>
      <t>(</t>
    </r>
    <r>
      <rPr>
        <rFont val="Noto Sans CJK SC"/>
        <i/>
        <color rgb="FF7F7F7F"/>
        <sz val="8.0"/>
      </rPr>
      <t>포트폴리오</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 xml:space="preserve">커뮤니케이션 등 정성 역량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정성 루브릭이 판단할 </t>
    </r>
    <r>
      <rPr>
        <rFont val="맑은 고딕"/>
        <i/>
        <color rgb="FF7F7F7F"/>
        <sz val="8.0"/>
      </rPr>
      <t>'</t>
    </r>
    <r>
      <rPr>
        <rFont val="Noto Sans CJK SC"/>
        <i/>
        <color rgb="FF7F7F7F"/>
        <sz val="8.0"/>
      </rPr>
      <t>질적 근거</t>
    </r>
    <r>
      <rPr>
        <rFont val="맑은 고딕"/>
        <i/>
        <color rgb="FF7F7F7F"/>
        <sz val="8.0"/>
      </rPr>
      <t>'</t>
    </r>
    <r>
      <rPr>
        <rFont val="Noto Sans CJK SC"/>
        <i/>
        <color rgb="FF7F7F7F"/>
        <sz val="8.0"/>
      </rPr>
      <t>가 현재 거의 없음 → 가장 우선 확보 권장</t>
    </r>
  </si>
  <si>
    <r>
      <rPr>
        <rFont val="Noto Sans CJK SC"/>
        <b/>
        <color rgb="FF000000"/>
        <sz val="9.0"/>
      </rPr>
      <t xml:space="preserve">관련 카테고리 </t>
    </r>
    <r>
      <rPr>
        <rFont val="맑은 고딕"/>
        <b/>
        <color rgb="FF000000"/>
        <sz val="9.0"/>
      </rPr>
      <t>No</t>
    </r>
  </si>
  <si>
    <t>활동명</t>
  </si>
  <si>
    <r>
      <rPr>
        <rFont val="Noto Sans CJK SC"/>
        <b/>
        <color rgb="FF000000"/>
        <sz val="9.0"/>
      </rPr>
      <t>상황</t>
    </r>
    <r>
      <rPr>
        <rFont val="맑은 고딕"/>
        <b/>
        <color rgb="FF000000"/>
        <sz val="9.0"/>
      </rPr>
      <t>(S)</t>
    </r>
  </si>
  <si>
    <r>
      <rPr>
        <rFont val="Noto Sans CJK SC"/>
        <b/>
        <color rgb="FF000000"/>
        <sz val="9.0"/>
      </rPr>
      <t>과제</t>
    </r>
    <r>
      <rPr>
        <rFont val="맑은 고딕"/>
        <b/>
        <color rgb="FF000000"/>
        <sz val="9.0"/>
      </rPr>
      <t>·</t>
    </r>
    <r>
      <rPr>
        <rFont val="Noto Sans CJK SC"/>
        <b/>
        <color rgb="FF000000"/>
        <sz val="9.0"/>
      </rPr>
      <t>역할</t>
    </r>
    <r>
      <rPr>
        <rFont val="맑은 고딕"/>
        <b/>
        <color rgb="FF000000"/>
        <sz val="9.0"/>
      </rPr>
      <t>(T)</t>
    </r>
  </si>
  <si>
    <r>
      <rPr>
        <rFont val="Noto Sans CJK SC"/>
        <b/>
        <color rgb="FF000000"/>
        <sz val="9.0"/>
      </rPr>
      <t>행동</t>
    </r>
    <r>
      <rPr>
        <rFont val="맑은 고딕"/>
        <b/>
        <color rgb="FF000000"/>
        <sz val="9.0"/>
      </rPr>
      <t>(A)</t>
    </r>
  </si>
  <si>
    <r>
      <rPr>
        <rFont val="Noto Sans CJK SC"/>
        <b/>
        <color rgb="FF000000"/>
        <sz val="9.0"/>
      </rPr>
      <t>결과</t>
    </r>
    <r>
      <rPr>
        <rFont val="맑은 고딕"/>
        <b/>
        <color rgb="FF000000"/>
        <sz val="9.0"/>
      </rPr>
      <t>(R)</t>
    </r>
  </si>
  <si>
    <r>
      <rPr>
        <rFont val="Noto Sans CJK SC"/>
        <i/>
        <color rgb="FF7F7F7F"/>
        <sz val="8.0"/>
      </rPr>
      <t xml:space="preserve">숫자 </t>
    </r>
    <r>
      <rPr>
        <rFont val="맑은 고딕"/>
        <i/>
        <color rgb="FF7F7F7F"/>
        <sz val="8.0"/>
      </rPr>
      <t>1~34</t>
    </r>
  </si>
  <si>
    <r>
      <rPr>
        <rFont val="Noto Sans CJK SC"/>
        <i/>
        <color rgb="FF7F7F7F"/>
        <sz val="8.0"/>
      </rPr>
      <t>서술</t>
    </r>
    <r>
      <rPr>
        <rFont val="맑은 고딕"/>
        <i/>
        <color rgb="FF7F7F7F"/>
        <sz val="8.0"/>
      </rPr>
      <t>(</t>
    </r>
    <r>
      <rPr>
        <rFont val="Noto Sans CJK SC"/>
        <i/>
        <color rgb="FF7F7F7F"/>
        <sz val="8.0"/>
      </rPr>
      <t>수치 포함 권장</t>
    </r>
    <r>
      <rPr>
        <rFont val="맑은 고딕"/>
        <i/>
        <color rgb="FF7F7F7F"/>
        <sz val="8.0"/>
      </rPr>
      <t>)</t>
    </r>
  </si>
  <si>
    <t>로봇 동아리 설계팀 부장</t>
  </si>
  <si>
    <r>
      <rPr>
        <rFont val="Noto Sans CJK SC"/>
        <color rgb="FF1F3B8A"/>
        <sz val="10.0"/>
      </rPr>
      <t xml:space="preserve">대회 </t>
    </r>
    <r>
      <rPr>
        <rFont val="맑은 고딕"/>
        <color rgb="FF1F3B8A"/>
        <sz val="10.0"/>
      </rPr>
      <t>3</t>
    </r>
    <r>
      <rPr>
        <rFont val="Noto Sans CJK SC"/>
        <color rgb="FF1F3B8A"/>
        <sz val="10.0"/>
      </rPr>
      <t>주 전 구동부 모터가 과열되어 주행이 멈추는 문제 발생</t>
    </r>
  </si>
  <si>
    <t>설계팀 부장으로 원인 분석과 재설계 일정 책임</t>
  </si>
  <si>
    <r>
      <rPr>
        <rFont val="Noto Sans CJK SC"/>
        <color rgb="FF1F3B8A"/>
        <sz val="10.0"/>
      </rPr>
      <t>온도 로그 측정 후 감속비 재계산</t>
    </r>
    <r>
      <rPr>
        <rFont val="맑은 고딕"/>
        <color rgb="FF1F3B8A"/>
        <sz val="10.0"/>
      </rPr>
      <t xml:space="preserve">, </t>
    </r>
    <r>
      <rPr>
        <rFont val="Noto Sans CJK SC"/>
        <color rgb="FF1F3B8A"/>
        <sz val="10.0"/>
      </rPr>
      <t xml:space="preserve">팀원 </t>
    </r>
    <r>
      <rPr>
        <rFont val="맑은 고딕"/>
        <color rgb="FF1F3B8A"/>
        <sz val="10.0"/>
      </rPr>
      <t>4</t>
    </r>
    <r>
      <rPr>
        <rFont val="Noto Sans CJK SC"/>
        <color rgb="FF1F3B8A"/>
        <sz val="10.0"/>
      </rPr>
      <t>명 역할 재배분</t>
    </r>
  </si>
  <si>
    <r>
      <rPr>
        <rFont val="Noto Sans CJK SC"/>
        <color rgb="FF1F3B8A"/>
        <sz val="10.0"/>
      </rPr>
      <t>대회 완주 성공</t>
    </r>
    <r>
      <rPr>
        <rFont val="맑은 고딕"/>
        <color rgb="FF1F3B8A"/>
        <sz val="10.0"/>
      </rPr>
      <t xml:space="preserve">, </t>
    </r>
    <r>
      <rPr>
        <rFont val="Noto Sans CJK SC"/>
        <color rgb="FF1F3B8A"/>
        <sz val="10.0"/>
      </rPr>
      <t>교내 경진대회 우수상</t>
    </r>
  </si>
  <si>
    <t>교수 관찰 코멘트</t>
  </si>
  <si>
    <t>미수집</t>
  </si>
  <si>
    <r>
      <rPr>
        <rFont val="Noto Sans CJK SC"/>
        <i/>
        <color rgb="FF7F7F7F"/>
        <sz val="8.0"/>
      </rPr>
      <t>출처</t>
    </r>
    <r>
      <rPr>
        <rFont val="맑은 고딕"/>
        <i/>
        <color rgb="FF7F7F7F"/>
        <sz val="8.0"/>
      </rPr>
      <t xml:space="preserve">: </t>
    </r>
    <r>
      <rPr>
        <rFont val="Noto Sans CJK SC"/>
        <i/>
        <color rgb="FF7F7F7F"/>
        <sz val="8.0"/>
      </rPr>
      <t xml:space="preserve">교수 입력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교수 관심 역량 전반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입력 부담 고려해 선택 항목으로</t>
    </r>
  </si>
  <si>
    <r>
      <rPr>
        <rFont val="Noto Sans CJK SC"/>
        <b/>
        <color rgb="FF000000"/>
        <sz val="9.0"/>
      </rPr>
      <t>작성자</t>
    </r>
    <r>
      <rPr>
        <rFont val="맑은 고딕"/>
        <b/>
        <color rgb="FF000000"/>
        <sz val="9.0"/>
      </rPr>
      <t>(</t>
    </r>
    <r>
      <rPr>
        <rFont val="Noto Sans CJK SC"/>
        <b/>
        <color rgb="FF000000"/>
        <sz val="9.0"/>
      </rPr>
      <t>직위</t>
    </r>
    <r>
      <rPr>
        <rFont val="맑은 고딕"/>
        <b/>
        <color rgb="FF000000"/>
        <sz val="9.0"/>
      </rPr>
      <t>)</t>
    </r>
  </si>
  <si>
    <t>관계</t>
  </si>
  <si>
    <t>관찰 역량</t>
  </si>
  <si>
    <t>코멘트</t>
  </si>
  <si>
    <t>작성일</t>
  </si>
  <si>
    <r>
      <rPr>
        <rFont val="맑은 고딕"/>
        <i/>
        <color rgb="FF7F7F7F"/>
        <sz val="8.0"/>
      </rPr>
      <t>[</t>
    </r>
    <r>
      <rPr>
        <rFont val="Noto Sans CJK SC"/>
        <i/>
        <color rgb="FF7F7F7F"/>
        <sz val="8.0"/>
      </rPr>
      <t xml:space="preserve">지도교수 </t>
    </r>
    <r>
      <rPr>
        <rFont val="맑은 고딕"/>
        <i/>
        <color rgb="FF7F7F7F"/>
        <sz val="8.0"/>
      </rPr>
      <t xml:space="preserve">/ </t>
    </r>
    <r>
      <rPr>
        <rFont val="Noto Sans CJK SC"/>
        <i/>
        <color rgb="FF7F7F7F"/>
        <sz val="8.0"/>
      </rPr>
      <t>수업 담당교수</t>
    </r>
    <r>
      <rPr>
        <rFont val="맑은 고딕"/>
        <i/>
        <color rgb="FF7F7F7F"/>
        <sz val="8.0"/>
      </rPr>
      <t>]</t>
    </r>
  </si>
</sst>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4.0"/>
      <color rgb="FF2F4A8A"/>
      <name val="Malgun Gothic"/>
    </font>
    <font>
      <sz val="9.0"/>
      <color rgb="FF595959"/>
      <name val="Noto Sans"/>
    </font>
    <font>
      <b/>
      <sz val="9.0"/>
      <color rgb="FF000000"/>
      <name val="Noto Sans"/>
    </font>
    <font>
      <sz val="9.0"/>
      <color rgb="FF000000"/>
      <name val="Noto Sans"/>
    </font>
    <font>
      <sz val="9.0"/>
      <color rgb="FF000000"/>
      <name val="Malgun Gothic"/>
    </font>
    <font>
      <b/>
      <sz val="11.0"/>
      <color rgb="FFFFFFFF"/>
      <name val="Noto Sans"/>
    </font>
    <font/>
    <font>
      <b/>
      <sz val="10.0"/>
      <color rgb="FF000000"/>
      <name val="Noto Sans"/>
    </font>
    <font>
      <sz val="10.0"/>
      <color rgb="FF1F3B8A"/>
      <name val="Malgun Gothic"/>
    </font>
    <font>
      <sz val="9.0"/>
      <color rgb="FF7F7F7F"/>
      <name val="Noto Sans"/>
    </font>
    <font>
      <sz val="10.0"/>
      <color rgb="FF1F3B8A"/>
      <name val="Noto Sans"/>
    </font>
    <font>
      <sz val="9.0"/>
      <color rgb="FF7F7F7F"/>
      <name val="Malgun Gothic"/>
    </font>
    <font>
      <b/>
      <sz val="11.0"/>
      <color rgb="FF2F4A8A"/>
      <name val="Malgun Gothic"/>
    </font>
    <font>
      <b/>
      <sz val="11.0"/>
      <color rgb="FF000000"/>
      <name val="Noto Sans"/>
    </font>
    <font>
      <b/>
      <sz val="10.0"/>
      <color rgb="FF1F3B8A"/>
      <name val="Noto Sans"/>
    </font>
    <font>
      <b/>
      <sz val="9.0"/>
      <color rgb="FFC00000"/>
      <name val="Noto Sans"/>
    </font>
    <font>
      <i/>
      <sz val="8.0"/>
      <color rgb="FF7F7F7F"/>
      <name val="Noto Sans"/>
    </font>
    <font>
      <b/>
      <sz val="9.0"/>
      <color rgb="FF000000"/>
      <name val="Malgun Gothic"/>
    </font>
    <font>
      <i/>
      <sz val="8.0"/>
      <color rgb="FF7F7F7F"/>
      <name val="Malgun Gothic"/>
    </font>
    <font>
      <b/>
      <sz val="11.0"/>
      <color rgb="FF000000"/>
      <name val="Malgun Gothic"/>
    </font>
    <font>
      <b/>
      <sz val="10.0"/>
      <color rgb="FF000000"/>
      <name val="Malgun Gothic"/>
    </font>
  </fonts>
  <fills count="9">
    <fill>
      <patternFill patternType="none"/>
    </fill>
    <fill>
      <patternFill patternType="lightGray"/>
    </fill>
    <fill>
      <patternFill patternType="solid">
        <fgColor rgb="FFEEF7E8"/>
        <bgColor rgb="FFEEF7E8"/>
      </patternFill>
    </fill>
    <fill>
      <patternFill patternType="solid">
        <fgColor rgb="FFFFFFFF"/>
        <bgColor rgb="FFFFFFFF"/>
      </patternFill>
    </fill>
    <fill>
      <patternFill patternType="solid">
        <fgColor rgb="FFDDEBF7"/>
        <bgColor rgb="FFDDEBF7"/>
      </patternFill>
    </fill>
    <fill>
      <patternFill patternType="solid">
        <fgColor rgb="FFFFF2CC"/>
        <bgColor rgb="FFFFF2CC"/>
      </patternFill>
    </fill>
    <fill>
      <patternFill patternType="solid">
        <fgColor rgb="FF2F4A8A"/>
        <bgColor rgb="FF2F4A8A"/>
      </patternFill>
    </fill>
    <fill>
      <patternFill patternType="solid">
        <fgColor rgb="FFD9E1F2"/>
        <bgColor rgb="FFD9E1F2"/>
      </patternFill>
    </fill>
    <fill>
      <patternFill patternType="solid">
        <fgColor rgb="FFF2F2F2"/>
        <bgColor rgb="FFF2F2F2"/>
      </patternFill>
    </fill>
  </fills>
  <borders count="12">
    <border/>
    <border>
      <left style="thin">
        <color rgb="FFBFBFBF"/>
      </left>
      <right style="thin">
        <color rgb="FFBFBFBF"/>
      </right>
      <top style="thin">
        <color rgb="FFBFBFBF"/>
      </top>
      <bottom style="thin">
        <color rgb="FFBFBFBF"/>
      </bottom>
    </border>
    <border>
      <left/>
      <top/>
      <bottom/>
    </border>
    <border>
      <top/>
      <bottom/>
    </border>
    <border>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medium">
        <color rgb="FF2F4A8A"/>
      </top>
      <bottom style="thin">
        <color rgb="FFBFBFBF"/>
      </bottom>
    </border>
    <border>
      <left style="thin">
        <color rgb="FFBFBFBF"/>
      </left>
      <top style="medium">
        <color rgb="FF2F4A8A"/>
      </top>
      <bottom style="thin">
        <color rgb="FFBFBFBF"/>
      </bottom>
    </border>
    <border>
      <top style="medium">
        <color rgb="FF2F4A8A"/>
      </top>
      <bottom style="thin">
        <color rgb="FFBFBFBF"/>
      </bottom>
    </border>
    <border>
      <right style="thin">
        <color rgb="FFBFBFBF"/>
      </right>
      <top style="medium">
        <color rgb="FF2F4A8A"/>
      </top>
      <bottom style="thin">
        <color rgb="FFBFBFBF"/>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horizontal="left" shrinkToFit="0" vertical="center" wrapText="1"/>
    </xf>
    <xf borderId="0" fillId="0" fontId="3" numFmtId="0" xfId="0" applyAlignment="1" applyFont="1">
      <alignment shrinkToFit="0" vertical="bottom" wrapText="0"/>
    </xf>
    <xf borderId="1" fillId="2" fontId="4" numFmtId="0" xfId="0" applyAlignment="1" applyBorder="1" applyFill="1" applyFont="1">
      <alignment horizontal="center" shrinkToFit="0" vertical="center" wrapText="1"/>
    </xf>
    <xf borderId="1" fillId="3" fontId="4" numFmtId="0" xfId="0" applyAlignment="1" applyBorder="1" applyFill="1" applyFont="1">
      <alignment horizontal="center" shrinkToFit="0" vertical="center" wrapText="1"/>
    </xf>
    <xf borderId="1" fillId="4" fontId="5" numFmtId="0" xfId="0" applyAlignment="1" applyBorder="1" applyFill="1" applyFont="1">
      <alignment horizontal="center" shrinkToFit="0" vertical="center" wrapText="1"/>
    </xf>
    <xf borderId="1" fillId="5" fontId="4" numFmtId="0" xfId="0" applyAlignment="1" applyBorder="1" applyFill="1" applyFont="1">
      <alignment horizontal="center" shrinkToFit="0" vertical="center" wrapText="1"/>
    </xf>
    <xf borderId="2" fillId="6" fontId="6" numFmtId="0" xfId="0" applyAlignment="1" applyBorder="1" applyFill="1" applyFont="1">
      <alignment horizontal="left" shrinkToFit="0" vertical="center" wrapText="1"/>
    </xf>
    <xf borderId="3" fillId="0" fontId="7" numFmtId="0" xfId="0" applyBorder="1" applyFont="1"/>
    <xf borderId="4" fillId="0" fontId="7" numFmtId="0" xfId="0" applyBorder="1" applyFont="1"/>
    <xf borderId="1" fillId="7" fontId="3" numFmtId="0" xfId="0" applyAlignment="1" applyBorder="1" applyFill="1" applyFont="1">
      <alignment horizontal="center" shrinkToFit="0" vertical="center" wrapText="1"/>
    </xf>
    <xf borderId="5" fillId="7" fontId="3" numFmtId="0" xfId="0" applyAlignment="1" applyBorder="1" applyFill="1" applyFont="1">
      <alignment horizontal="center" shrinkToFit="0" vertical="center" wrapText="1"/>
    </xf>
    <xf borderId="6" fillId="0" fontId="7" numFmtId="0" xfId="0" applyBorder="1" applyFont="1"/>
    <xf borderId="7" fillId="0" fontId="7" numFmtId="0" xfId="0" applyBorder="1" applyFont="1"/>
    <xf borderId="1" fillId="8" fontId="8" numFmtId="0" xfId="0" applyAlignment="1" applyBorder="1" applyFill="1" applyFont="1">
      <alignment horizontal="left" shrinkToFit="0" vertical="center" wrapText="1"/>
    </xf>
    <xf borderId="1" fillId="2" fontId="9" numFmtId="49" xfId="0" applyAlignment="1" applyBorder="1" applyFill="1" applyFont="1" applyNumberFormat="1">
      <alignment horizontal="left" shrinkToFit="0" vertical="center" wrapText="1"/>
    </xf>
    <xf borderId="1" fillId="0" fontId="10" numFmtId="0" xfId="0" applyAlignment="1" applyBorder="1" applyFont="1">
      <alignment shrinkToFit="0" vertical="bottom" wrapText="0"/>
    </xf>
    <xf borderId="0" fillId="0" fontId="10" numFmtId="0" xfId="0" applyAlignment="1" applyFont="1">
      <alignment shrinkToFit="0" vertical="bottom" wrapText="0"/>
    </xf>
    <xf borderId="1" fillId="2" fontId="11" numFmtId="0" xfId="0" applyAlignment="1" applyBorder="1" applyFill="1" applyFont="1">
      <alignment horizontal="left" shrinkToFit="0" vertical="center" wrapText="1"/>
    </xf>
    <xf borderId="1" fillId="2" fontId="9" numFmtId="0" xfId="0" applyAlignment="1" applyBorder="1" applyFill="1" applyFont="1">
      <alignment horizontal="left" shrinkToFit="0" vertical="center" wrapText="1"/>
    </xf>
    <xf borderId="1" fillId="0" fontId="12" numFmtId="0" xfId="0" applyAlignment="1" applyBorder="1" applyFont="1">
      <alignment shrinkToFit="0" vertical="bottom" wrapText="0"/>
    </xf>
    <xf borderId="0" fillId="0" fontId="12" numFmtId="0" xfId="0" applyAlignment="1" applyFont="1">
      <alignment shrinkToFit="0" vertical="bottom" wrapText="0"/>
    </xf>
    <xf borderId="8" fillId="3" fontId="13" numFmtId="0" xfId="0" applyAlignment="1" applyBorder="1" applyFill="1" applyFont="1">
      <alignment horizontal="center" shrinkToFit="0" vertical="center" wrapText="1"/>
    </xf>
    <xf borderId="9" fillId="3" fontId="14" numFmtId="0" xfId="0" applyAlignment="1" applyBorder="1" applyFill="1" applyFont="1">
      <alignment horizontal="left" shrinkToFit="0" vertical="center" wrapText="1"/>
    </xf>
    <xf borderId="10" fillId="0" fontId="7" numFmtId="0" xfId="0" applyBorder="1" applyFont="1"/>
    <xf borderId="11" fillId="0" fontId="7" numFmtId="0" xfId="0" applyBorder="1" applyFont="1"/>
    <xf borderId="8" fillId="3" fontId="3" numFmtId="0" xfId="0" applyAlignment="1" applyBorder="1" applyFill="1" applyFont="1">
      <alignment horizontal="right" shrinkToFit="0" vertical="center" wrapText="0"/>
    </xf>
    <xf borderId="8" fillId="2" fontId="15" numFmtId="0" xfId="0" applyAlignment="1" applyBorder="1" applyFill="1" applyFont="1">
      <alignment horizontal="center" shrinkToFit="0" vertical="center" wrapText="1"/>
    </xf>
    <xf borderId="9" fillId="3" fontId="16" numFmtId="0" xfId="0" applyAlignment="1" applyBorder="1" applyFill="1" applyFont="1">
      <alignment horizontal="left" shrinkToFit="0" vertical="center" wrapText="1"/>
    </xf>
    <xf borderId="0" fillId="0" fontId="17" numFmtId="0" xfId="0" applyAlignment="1" applyFont="1">
      <alignment horizontal="left" shrinkToFit="0" vertical="center" wrapText="1"/>
    </xf>
    <xf borderId="1" fillId="7" fontId="18" numFmtId="0" xfId="0" applyAlignment="1" applyBorder="1" applyFill="1" applyFont="1">
      <alignment horizontal="center" shrinkToFit="0" vertical="center" wrapText="1"/>
    </xf>
    <xf borderId="1" fillId="0" fontId="17" numFmtId="0" xfId="0" applyAlignment="1" applyBorder="1" applyFont="1">
      <alignment horizontal="center" shrinkToFit="0" vertical="center" wrapText="1"/>
    </xf>
    <xf borderId="1" fillId="0" fontId="19"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8" fillId="4" fontId="13" numFmtId="0" xfId="0" applyAlignment="1" applyBorder="1" applyFill="1" applyFont="1">
      <alignment horizontal="center" shrinkToFit="0" vertical="center" wrapText="1"/>
    </xf>
    <xf borderId="9" fillId="4" fontId="14" numFmtId="0" xfId="0" applyAlignment="1" applyBorder="1" applyFill="1" applyFont="1">
      <alignment horizontal="left" shrinkToFit="0" vertical="center" wrapText="1"/>
    </xf>
    <xf borderId="8" fillId="4" fontId="3" numFmtId="0" xfId="0" applyAlignment="1" applyBorder="1" applyFill="1" applyFont="1">
      <alignment horizontal="right" shrinkToFit="0" vertical="center" wrapText="0"/>
    </xf>
    <xf borderId="9" fillId="4" fontId="16" numFmtId="0" xfId="0" applyAlignment="1" applyBorder="1" applyFill="1" applyFont="1">
      <alignment horizontal="left" shrinkToFit="0" vertical="center" wrapText="1"/>
    </xf>
    <xf borderId="9" fillId="3" fontId="20" numFmtId="0" xfId="0" applyAlignment="1" applyBorder="1" applyFill="1" applyFont="1">
      <alignment horizontal="left" shrinkToFit="0" vertical="center" wrapText="1"/>
    </xf>
    <xf borderId="8" fillId="5" fontId="13" numFmtId="0" xfId="0" applyAlignment="1" applyBorder="1" applyFill="1" applyFont="1">
      <alignment horizontal="center" shrinkToFit="0" vertical="center" wrapText="1"/>
    </xf>
    <xf borderId="9" fillId="5" fontId="14" numFmtId="0" xfId="0" applyAlignment="1" applyBorder="1" applyFill="1" applyFont="1">
      <alignment horizontal="left" shrinkToFit="0" vertical="center" wrapText="1"/>
    </xf>
    <xf borderId="8" fillId="5" fontId="3" numFmtId="0" xfId="0" applyAlignment="1" applyBorder="1" applyFill="1" applyFont="1">
      <alignment horizontal="right" shrinkToFit="0" vertical="center" wrapText="0"/>
    </xf>
    <xf borderId="9" fillId="5" fontId="16" numFmtId="0" xfId="0" applyAlignment="1" applyBorder="1" applyFill="1" applyFont="1">
      <alignment horizontal="left" shrinkToFit="0" vertical="center" wrapText="1"/>
    </xf>
    <xf borderId="1" fillId="2" fontId="11" numFmtId="49" xfId="0" applyAlignment="1" applyBorder="1" applyFill="1" applyFont="1" applyNumberFormat="1">
      <alignment horizontal="left" shrinkToFit="0" vertical="center" wrapText="1"/>
    </xf>
    <xf borderId="9" fillId="4" fontId="20" numFmtId="0" xfId="0" applyAlignment="1" applyBorder="1" applyFill="1" applyFont="1">
      <alignment horizontal="left" shrinkToFit="0" vertical="center" wrapText="1"/>
    </xf>
    <xf borderId="1" fillId="8" fontId="21" numFmtId="0" xfId="0" applyAlignment="1" applyBorder="1" applyFill="1" applyFont="1">
      <alignment horizontal="left" shrinkToFit="0" vertical="center" wrapText="1"/>
    </xf>
  </cellXfs>
  <cellStyles count="1">
    <cellStyle xfId="0" name="Normal" builtinId="0"/>
  </cellStyles>
  <dxfs count="2">
    <dxf>
      <font>
        <b/>
        <color rgb="FF2E7D32"/>
        <name val="Malgun Gothic"/>
      </font>
      <fill>
        <patternFill patternType="none"/>
      </fill>
      <border/>
    </dxf>
    <dxf>
      <font>
        <color rgb="FF7F7F7F"/>
        <name val="Malgun Gothic"/>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2.0"/>
    <col customWidth="1" min="3" max="3" width="20.0"/>
    <col customWidth="1" min="4" max="5" width="17.0"/>
    <col customWidth="1" min="6" max="7" width="15.0"/>
    <col customWidth="1" min="8" max="8" width="17.0"/>
    <col customWidth="1" min="9" max="9" width="30.0"/>
    <col customWidth="1" min="10" max="26" width="8.71"/>
  </cols>
  <sheetData>
    <row r="1" ht="25.5" customHeight="1">
      <c r="A1" s="1" t="s">
        <v>0</v>
      </c>
    </row>
    <row r="2" ht="30.0" customHeight="1">
      <c r="A2" s="2" t="s">
        <v>1</v>
      </c>
    </row>
    <row r="3" ht="15.0" customHeight="1">
      <c r="A3" s="3" t="s">
        <v>2</v>
      </c>
      <c r="B3" s="4" t="s">
        <v>3</v>
      </c>
      <c r="C3" s="5" t="s">
        <v>4</v>
      </c>
      <c r="D3" s="6" t="s">
        <v>5</v>
      </c>
      <c r="E3" s="7" t="s">
        <v>6</v>
      </c>
      <c r="F3" s="2" t="s">
        <v>7</v>
      </c>
    </row>
    <row r="5" ht="21.75" customHeight="1">
      <c r="A5" s="8" t="s">
        <v>8</v>
      </c>
      <c r="B5" s="9"/>
      <c r="C5" s="9"/>
      <c r="D5" s="9"/>
      <c r="E5" s="9"/>
      <c r="F5" s="9"/>
      <c r="G5" s="9"/>
      <c r="H5" s="9"/>
      <c r="I5" s="10"/>
    </row>
    <row r="6" ht="15.0" customHeight="1">
      <c r="B6" s="11" t="s">
        <v>9</v>
      </c>
      <c r="C6" s="11" t="s">
        <v>10</v>
      </c>
      <c r="D6" s="11" t="s">
        <v>11</v>
      </c>
      <c r="E6" s="12" t="s">
        <v>12</v>
      </c>
      <c r="F6" s="13"/>
      <c r="G6" s="13"/>
      <c r="H6" s="13"/>
      <c r="I6" s="14"/>
    </row>
    <row r="7">
      <c r="B7" s="15" t="s">
        <v>13</v>
      </c>
      <c r="C7" s="16" t="s">
        <v>14</v>
      </c>
      <c r="D7" s="17" t="s">
        <v>15</v>
      </c>
      <c r="E7" s="18" t="s">
        <v>16</v>
      </c>
    </row>
    <row r="8">
      <c r="B8" s="15" t="s">
        <v>17</v>
      </c>
      <c r="C8" s="19" t="s">
        <v>18</v>
      </c>
      <c r="D8" s="17" t="s">
        <v>19</v>
      </c>
      <c r="E8" s="18"/>
    </row>
    <row r="9">
      <c r="B9" s="15" t="s">
        <v>20</v>
      </c>
      <c r="C9" s="19" t="s">
        <v>21</v>
      </c>
      <c r="D9" s="17" t="s">
        <v>19</v>
      </c>
      <c r="E9" s="18" t="s">
        <v>22</v>
      </c>
    </row>
    <row r="10">
      <c r="B10" s="15" t="s">
        <v>23</v>
      </c>
      <c r="C10" s="19" t="s">
        <v>24</v>
      </c>
      <c r="D10" s="17" t="s">
        <v>19</v>
      </c>
      <c r="E10" s="18" t="s">
        <v>25</v>
      </c>
    </row>
    <row r="11">
      <c r="B11" s="15" t="s">
        <v>26</v>
      </c>
      <c r="C11" s="20">
        <v>4.0</v>
      </c>
      <c r="D11" s="17" t="s">
        <v>27</v>
      </c>
      <c r="E11" s="18" t="s">
        <v>28</v>
      </c>
    </row>
    <row r="12">
      <c r="B12" s="15" t="s">
        <v>29</v>
      </c>
      <c r="C12" s="20">
        <v>7.0</v>
      </c>
      <c r="D12" s="17" t="s">
        <v>30</v>
      </c>
      <c r="E12" s="18" t="s">
        <v>31</v>
      </c>
    </row>
    <row r="13">
      <c r="B13" s="15" t="s">
        <v>32</v>
      </c>
      <c r="C13" s="19" t="s">
        <v>33</v>
      </c>
      <c r="D13" s="17" t="s">
        <v>34</v>
      </c>
      <c r="E13" s="18" t="s">
        <v>35</v>
      </c>
    </row>
    <row r="14">
      <c r="B14" s="15" t="s">
        <v>36</v>
      </c>
      <c r="C14" s="19" t="s">
        <v>37</v>
      </c>
      <c r="D14" s="17" t="s">
        <v>34</v>
      </c>
      <c r="E14" s="18" t="s">
        <v>38</v>
      </c>
    </row>
    <row r="15">
      <c r="B15" s="15" t="s">
        <v>39</v>
      </c>
      <c r="C15" s="16" t="s">
        <v>40</v>
      </c>
      <c r="D15" s="21" t="s">
        <v>41</v>
      </c>
      <c r="E15" s="18" t="s">
        <v>42</v>
      </c>
    </row>
    <row r="16">
      <c r="B16" s="15" t="s">
        <v>43</v>
      </c>
      <c r="C16" s="19" t="s">
        <v>44</v>
      </c>
      <c r="D16" s="17" t="s">
        <v>34</v>
      </c>
      <c r="E16" s="18"/>
    </row>
    <row r="17">
      <c r="B17" s="15" t="s">
        <v>45</v>
      </c>
      <c r="C17" s="20" t="s">
        <v>46</v>
      </c>
      <c r="D17" s="17" t="s">
        <v>34</v>
      </c>
      <c r="E17" s="22" t="s">
        <v>47</v>
      </c>
    </row>
    <row r="18">
      <c r="B18" s="15" t="s">
        <v>48</v>
      </c>
      <c r="C18" s="16" t="s">
        <v>49</v>
      </c>
      <c r="D18" s="21" t="s">
        <v>50</v>
      </c>
      <c r="E18" s="18" t="s">
        <v>51</v>
      </c>
    </row>
    <row r="19">
      <c r="B19" s="15" t="s">
        <v>52</v>
      </c>
      <c r="C19" s="19" t="s">
        <v>53</v>
      </c>
      <c r="D19" s="17" t="s">
        <v>34</v>
      </c>
      <c r="E19" s="18"/>
    </row>
    <row r="20">
      <c r="B20" s="15" t="s">
        <v>54</v>
      </c>
      <c r="C20" s="20" t="s">
        <v>46</v>
      </c>
      <c r="D20" s="17" t="s">
        <v>34</v>
      </c>
      <c r="E20" s="22" t="s">
        <v>55</v>
      </c>
    </row>
    <row r="21" ht="15.75" customHeight="1"/>
    <row r="22" ht="21.75" customHeight="1">
      <c r="A22" s="8" t="s">
        <v>56</v>
      </c>
      <c r="B22" s="9"/>
      <c r="C22" s="9"/>
      <c r="D22" s="9"/>
      <c r="E22" s="9"/>
      <c r="F22" s="9"/>
      <c r="G22" s="9"/>
      <c r="H22" s="9"/>
      <c r="I22" s="10"/>
    </row>
    <row r="23" ht="21.75" customHeight="1">
      <c r="A23" s="23">
        <v>1.0</v>
      </c>
      <c r="B23" s="24" t="s">
        <v>57</v>
      </c>
      <c r="C23" s="25"/>
      <c r="D23" s="25"/>
      <c r="E23" s="26"/>
      <c r="F23" s="27" t="s">
        <v>58</v>
      </c>
      <c r="G23" s="28" t="s">
        <v>59</v>
      </c>
      <c r="H23" s="29" t="str">
        <f>IF(G23="",IF(COUNTA(C25:C27,B30:G37)&gt;0,"⚠ 상태 미선택(입력값 있음)","상태 미선택 → 미수집 간주"),IF(G23="값 있음",IF(COUNTA(C25:C27,B30:G37)=0,"⚠ 값 있음인데 입력값 없음","✓ 정상"),IF(COUNTA(C25:C27,B30:G37)&gt;0,"⚠ 상태와 입력값 불일치","✓ 정상")))</f>
        <v>✓ 정상</v>
      </c>
      <c r="I23" s="26"/>
    </row>
    <row r="24" ht="24.0" customHeight="1">
      <c r="B24" s="30" t="s">
        <v>60</v>
      </c>
    </row>
    <row r="25" ht="15.75" customHeight="1">
      <c r="B25" s="15" t="s">
        <v>61</v>
      </c>
      <c r="C25" s="20">
        <v>3.68</v>
      </c>
      <c r="D25" s="17" t="s">
        <v>62</v>
      </c>
      <c r="E25" s="18" t="s">
        <v>63</v>
      </c>
    </row>
    <row r="26" ht="15.75" customHeight="1">
      <c r="B26" s="15" t="s">
        <v>64</v>
      </c>
      <c r="C26" s="20">
        <v>3.75</v>
      </c>
      <c r="D26" s="17" t="s">
        <v>65</v>
      </c>
      <c r="E26" s="18" t="s">
        <v>66</v>
      </c>
    </row>
    <row r="27" ht="15.75" customHeight="1">
      <c r="B27" s="15" t="s">
        <v>67</v>
      </c>
      <c r="C27" s="20">
        <v>4.5</v>
      </c>
      <c r="D27" s="17" t="s">
        <v>30</v>
      </c>
      <c r="E27" s="18" t="s">
        <v>68</v>
      </c>
    </row>
    <row r="28" ht="15.75" customHeight="1">
      <c r="A28" s="31" t="s">
        <v>69</v>
      </c>
      <c r="B28" s="11" t="s">
        <v>70</v>
      </c>
      <c r="C28" s="11" t="s">
        <v>71</v>
      </c>
      <c r="D28" s="11" t="s">
        <v>72</v>
      </c>
      <c r="E28" s="11" t="s">
        <v>73</v>
      </c>
      <c r="F28" s="11" t="s">
        <v>74</v>
      </c>
      <c r="G28" s="11" t="s">
        <v>75</v>
      </c>
    </row>
    <row r="29" ht="25.5" customHeight="1">
      <c r="A29" s="32" t="s">
        <v>11</v>
      </c>
      <c r="B29" s="33" t="s">
        <v>76</v>
      </c>
      <c r="C29" s="32" t="s">
        <v>30</v>
      </c>
      <c r="D29" s="32" t="s">
        <v>30</v>
      </c>
      <c r="E29" s="32" t="s">
        <v>30</v>
      </c>
      <c r="F29" s="32" t="s">
        <v>30</v>
      </c>
      <c r="G29" s="32" t="s">
        <v>77</v>
      </c>
    </row>
    <row r="30" ht="15.75" customHeight="1">
      <c r="A30" s="34">
        <v>1.0</v>
      </c>
      <c r="B30" s="16" t="s">
        <v>78</v>
      </c>
      <c r="C30" s="20">
        <v>18.0</v>
      </c>
      <c r="D30" s="20">
        <v>18.0</v>
      </c>
      <c r="E30" s="20">
        <v>3.42</v>
      </c>
      <c r="F30" s="20">
        <v>3.5</v>
      </c>
      <c r="G30" s="20"/>
    </row>
    <row r="31" ht="15.75" customHeight="1">
      <c r="A31" s="34">
        <v>2.0</v>
      </c>
      <c r="B31" s="16" t="s">
        <v>79</v>
      </c>
      <c r="C31" s="20">
        <v>18.0</v>
      </c>
      <c r="D31" s="20">
        <v>18.0</v>
      </c>
      <c r="E31" s="20">
        <v>3.55</v>
      </c>
      <c r="F31" s="20">
        <v>3.6</v>
      </c>
      <c r="G31" s="20"/>
    </row>
    <row r="32" ht="15.75" customHeight="1">
      <c r="A32" s="34">
        <v>3.0</v>
      </c>
      <c r="B32" s="16" t="s">
        <v>80</v>
      </c>
      <c r="C32" s="20">
        <v>18.0</v>
      </c>
      <c r="D32" s="20">
        <v>18.0</v>
      </c>
      <c r="E32" s="20">
        <v>3.7</v>
      </c>
      <c r="F32" s="20">
        <v>3.72</v>
      </c>
      <c r="G32" s="20"/>
    </row>
    <row r="33" ht="15.75" customHeight="1">
      <c r="A33" s="34">
        <v>4.0</v>
      </c>
      <c r="B33" s="16" t="s">
        <v>81</v>
      </c>
      <c r="C33" s="20">
        <v>18.0</v>
      </c>
      <c r="D33" s="20">
        <v>18.0</v>
      </c>
      <c r="E33" s="20">
        <v>3.66</v>
      </c>
      <c r="F33" s="20">
        <v>3.8</v>
      </c>
      <c r="G33" s="20"/>
    </row>
    <row r="34" ht="15.75" customHeight="1">
      <c r="A34" s="34">
        <v>5.0</v>
      </c>
      <c r="B34" s="16" t="s">
        <v>82</v>
      </c>
      <c r="C34" s="20">
        <v>19.0</v>
      </c>
      <c r="D34" s="20">
        <v>19.0</v>
      </c>
      <c r="E34" s="20">
        <v>3.81</v>
      </c>
      <c r="F34" s="20">
        <v>3.85</v>
      </c>
      <c r="G34" s="20"/>
    </row>
    <row r="35" ht="15.75" customHeight="1">
      <c r="A35" s="34">
        <v>6.0</v>
      </c>
      <c r="B35" s="16" t="s">
        <v>83</v>
      </c>
      <c r="C35" s="20">
        <v>18.0</v>
      </c>
      <c r="D35" s="20">
        <v>18.0</v>
      </c>
      <c r="E35" s="20">
        <v>3.79</v>
      </c>
      <c r="F35" s="20">
        <v>3.88</v>
      </c>
      <c r="G35" s="20"/>
    </row>
    <row r="36" ht="15.75" customHeight="1">
      <c r="A36" s="34">
        <v>7.0</v>
      </c>
      <c r="B36" s="16" t="s">
        <v>84</v>
      </c>
      <c r="C36" s="20">
        <v>15.0</v>
      </c>
      <c r="D36" s="20">
        <v>15.0</v>
      </c>
      <c r="E36" s="20">
        <v>3.9</v>
      </c>
      <c r="F36" s="20">
        <v>3.95</v>
      </c>
      <c r="G36" s="20"/>
    </row>
    <row r="37" ht="15.75" customHeight="1">
      <c r="A37" s="34">
        <v>8.0</v>
      </c>
      <c r="B37" s="16"/>
      <c r="C37" s="20"/>
      <c r="D37" s="20"/>
      <c r="E37" s="20"/>
      <c r="F37" s="20"/>
      <c r="G37" s="20"/>
    </row>
    <row r="38" ht="15.75" customHeight="1"/>
    <row r="39" ht="21.75" customHeight="1">
      <c r="A39" s="23">
        <v>2.0</v>
      </c>
      <c r="B39" s="24" t="s">
        <v>85</v>
      </c>
      <c r="C39" s="25"/>
      <c r="D39" s="25"/>
      <c r="E39" s="26"/>
      <c r="F39" s="27" t="s">
        <v>58</v>
      </c>
      <c r="G39" s="28" t="s">
        <v>59</v>
      </c>
      <c r="H39" s="29" t="str">
        <f>IF(G39="",IF(COUNTA(B43:G47)&gt;0,"⚠ 상태 미선택(입력값 있음)","상태 미선택 → 미수집 간주"),IF(G39="값 있음",IF(COUNTA(B43:G47)=0,"⚠ 값 있음인데 입력값 없음","✓ 정상"),IF(COUNTA(B43:G47)&gt;0,"⚠ 상태와 입력값 불일치","✓ 정상")))</f>
        <v>✓ 정상</v>
      </c>
      <c r="I39" s="26"/>
    </row>
    <row r="40" ht="24.0" customHeight="1">
      <c r="B40" s="30" t="s">
        <v>86</v>
      </c>
    </row>
    <row r="41" ht="15.75" customHeight="1">
      <c r="A41" s="31" t="s">
        <v>69</v>
      </c>
      <c r="B41" s="11" t="s">
        <v>87</v>
      </c>
      <c r="C41" s="11" t="s">
        <v>70</v>
      </c>
      <c r="D41" s="11" t="s">
        <v>88</v>
      </c>
      <c r="E41" s="11" t="s">
        <v>89</v>
      </c>
      <c r="F41" s="11" t="s">
        <v>90</v>
      </c>
      <c r="G41" s="11" t="s">
        <v>75</v>
      </c>
    </row>
    <row r="42" ht="37.5" customHeight="1">
      <c r="A42" s="32" t="s">
        <v>11</v>
      </c>
      <c r="B42" s="32" t="s">
        <v>19</v>
      </c>
      <c r="C42" s="33" t="s">
        <v>91</v>
      </c>
      <c r="D42" s="33" t="s">
        <v>92</v>
      </c>
      <c r="E42" s="33" t="s">
        <v>93</v>
      </c>
      <c r="F42" s="32" t="s">
        <v>94</v>
      </c>
      <c r="G42" s="32" t="s">
        <v>19</v>
      </c>
    </row>
    <row r="43" ht="15.75" customHeight="1">
      <c r="A43" s="34">
        <v>1.0</v>
      </c>
      <c r="B43" s="19" t="s">
        <v>95</v>
      </c>
      <c r="C43" s="16" t="s">
        <v>80</v>
      </c>
      <c r="D43" s="19" t="s">
        <v>96</v>
      </c>
      <c r="E43" s="20" t="s">
        <v>97</v>
      </c>
      <c r="F43" s="20">
        <v>96.0</v>
      </c>
      <c r="G43" s="20"/>
    </row>
    <row r="44" ht="15.75" customHeight="1">
      <c r="A44" s="34">
        <v>2.0</v>
      </c>
      <c r="B44" s="19" t="s">
        <v>98</v>
      </c>
      <c r="C44" s="16" t="s">
        <v>82</v>
      </c>
      <c r="D44" s="19" t="s">
        <v>99</v>
      </c>
      <c r="E44" s="20" t="s">
        <v>100</v>
      </c>
      <c r="F44" s="20">
        <v>85.0</v>
      </c>
      <c r="G44" s="20"/>
    </row>
    <row r="45" ht="15.75" customHeight="1">
      <c r="A45" s="34">
        <v>3.0</v>
      </c>
      <c r="B45" s="19" t="s">
        <v>101</v>
      </c>
      <c r="C45" s="16" t="s">
        <v>83</v>
      </c>
      <c r="D45" s="20" t="s">
        <v>102</v>
      </c>
      <c r="E45" s="20" t="s">
        <v>103</v>
      </c>
      <c r="F45" s="20">
        <v>92.0</v>
      </c>
      <c r="G45" s="20"/>
    </row>
    <row r="46" ht="15.75" customHeight="1">
      <c r="A46" s="34">
        <v>4.0</v>
      </c>
      <c r="B46" s="20"/>
      <c r="C46" s="16"/>
      <c r="D46" s="20"/>
      <c r="E46" s="20"/>
      <c r="F46" s="20"/>
      <c r="G46" s="20"/>
    </row>
    <row r="47" ht="15.75" customHeight="1">
      <c r="A47" s="34">
        <v>5.0</v>
      </c>
      <c r="B47" s="20"/>
      <c r="C47" s="16"/>
      <c r="D47" s="20"/>
      <c r="E47" s="20"/>
      <c r="F47" s="20"/>
      <c r="G47" s="20"/>
    </row>
    <row r="48" ht="15.75" customHeight="1"/>
    <row r="49" ht="21.75" customHeight="1">
      <c r="A49" s="23">
        <v>3.0</v>
      </c>
      <c r="B49" s="24" t="s">
        <v>104</v>
      </c>
      <c r="C49" s="25"/>
      <c r="D49" s="25"/>
      <c r="E49" s="26"/>
      <c r="F49" s="27" t="s">
        <v>58</v>
      </c>
      <c r="G49" s="28" t="s">
        <v>59</v>
      </c>
      <c r="H49" s="29" t="str">
        <f>IF(G49="",IF(COUNTA(C51:C52,B55:E58)&gt;0,"⚠ 상태 미선택(입력값 있음)","상태 미선택 → 미수집 간주"),IF(G49="값 있음",IF(COUNTA(C51:C52,B55:E58)=0,"⚠ 값 있음인데 입력값 없음","✓ 정상"),IF(COUNTA(C51:C52,B55:E58)&gt;0,"⚠ 상태와 입력값 불일치","✓ 정상")))</f>
        <v>✓ 정상</v>
      </c>
      <c r="I49" s="26"/>
    </row>
    <row r="50" ht="24.0" customHeight="1">
      <c r="B50" s="30" t="s">
        <v>105</v>
      </c>
    </row>
    <row r="51" ht="15.75" customHeight="1">
      <c r="B51" s="15" t="s">
        <v>106</v>
      </c>
      <c r="C51" s="20">
        <v>124.0</v>
      </c>
      <c r="D51" s="17" t="s">
        <v>30</v>
      </c>
      <c r="E51" s="18" t="s">
        <v>107</v>
      </c>
    </row>
    <row r="52" ht="15.75" customHeight="1">
      <c r="B52" s="15" t="s">
        <v>108</v>
      </c>
      <c r="C52" s="20">
        <v>4.0</v>
      </c>
      <c r="D52" s="17" t="s">
        <v>30</v>
      </c>
      <c r="E52" s="18" t="s">
        <v>109</v>
      </c>
    </row>
    <row r="53" ht="15.75" customHeight="1">
      <c r="A53" s="31" t="s">
        <v>69</v>
      </c>
      <c r="B53" s="11" t="s">
        <v>110</v>
      </c>
      <c r="C53" s="11" t="s">
        <v>111</v>
      </c>
      <c r="D53" s="11" t="s">
        <v>112</v>
      </c>
      <c r="E53" s="11" t="s">
        <v>113</v>
      </c>
    </row>
    <row r="54" ht="25.5" customHeight="1">
      <c r="A54" s="32" t="s">
        <v>11</v>
      </c>
      <c r="B54" s="33" t="s">
        <v>114</v>
      </c>
      <c r="C54" s="32" t="s">
        <v>19</v>
      </c>
      <c r="D54" s="33" t="s">
        <v>115</v>
      </c>
      <c r="E54" s="32" t="s">
        <v>30</v>
      </c>
    </row>
    <row r="55" ht="15.75" customHeight="1">
      <c r="A55" s="34">
        <v>1.0</v>
      </c>
      <c r="B55" s="19" t="s">
        <v>116</v>
      </c>
      <c r="C55" s="19" t="s">
        <v>117</v>
      </c>
      <c r="D55" s="19" t="s">
        <v>118</v>
      </c>
      <c r="E55" s="20">
        <v>106.0</v>
      </c>
    </row>
    <row r="56" ht="15.75" customHeight="1">
      <c r="A56" s="34">
        <v>2.0</v>
      </c>
      <c r="B56" s="19" t="s">
        <v>119</v>
      </c>
      <c r="C56" s="19" t="s">
        <v>120</v>
      </c>
      <c r="D56" s="19" t="s">
        <v>118</v>
      </c>
      <c r="E56" s="20">
        <v>15.0</v>
      </c>
    </row>
    <row r="57" ht="15.75" customHeight="1">
      <c r="A57" s="34">
        <v>3.0</v>
      </c>
      <c r="B57" s="19"/>
      <c r="C57" s="20"/>
      <c r="D57" s="19"/>
      <c r="E57" s="20"/>
    </row>
    <row r="58" ht="15.75" customHeight="1">
      <c r="A58" s="34">
        <v>4.0</v>
      </c>
      <c r="B58" s="19"/>
      <c r="C58" s="20"/>
      <c r="D58" s="19"/>
      <c r="E58" s="20"/>
    </row>
    <row r="59" ht="15.75" customHeight="1"/>
    <row r="60" ht="21.75" customHeight="1">
      <c r="A60" s="35">
        <v>4.0</v>
      </c>
      <c r="B60" s="36" t="s">
        <v>121</v>
      </c>
      <c r="C60" s="25"/>
      <c r="D60" s="25"/>
      <c r="E60" s="26"/>
      <c r="F60" s="37" t="s">
        <v>58</v>
      </c>
      <c r="G60" s="28" t="s">
        <v>59</v>
      </c>
      <c r="H60" s="38" t="str">
        <f>IF(G60="",IF(COUNTA(C62:C64)&gt;0,"⚠ 상태 미선택(입력값 있음)","상태 미선택 → 미수집 간주"),IF(G60="값 있음",IF(COUNTA(C62:C64)=0,"⚠ 값 있음인데 입력값 없음","✓ 정상"),IF(COUNTA(C62:C64)&gt;0,"⚠ 상태와 입력값 불일치","✓ 정상")))</f>
        <v>✓ 정상</v>
      </c>
      <c r="I60" s="26"/>
    </row>
    <row r="61" ht="24.0" customHeight="1">
      <c r="B61" s="30" t="s">
        <v>122</v>
      </c>
    </row>
    <row r="62" ht="15.75" customHeight="1">
      <c r="B62" s="15" t="s">
        <v>123</v>
      </c>
      <c r="C62" s="19" t="s">
        <v>124</v>
      </c>
      <c r="D62" s="17" t="s">
        <v>34</v>
      </c>
      <c r="E62" s="18" t="s">
        <v>125</v>
      </c>
    </row>
    <row r="63" ht="15.75" customHeight="1">
      <c r="B63" s="15" t="s">
        <v>126</v>
      </c>
      <c r="C63" s="19" t="s">
        <v>127</v>
      </c>
      <c r="D63" s="17" t="s">
        <v>19</v>
      </c>
      <c r="E63" s="18" t="s">
        <v>128</v>
      </c>
    </row>
    <row r="64" ht="15.75" customHeight="1">
      <c r="B64" s="15" t="s">
        <v>112</v>
      </c>
      <c r="C64" s="19" t="s">
        <v>118</v>
      </c>
      <c r="D64" s="17" t="s">
        <v>34</v>
      </c>
      <c r="E64" s="22" t="s">
        <v>129</v>
      </c>
    </row>
    <row r="65" ht="15.75" customHeight="1"/>
    <row r="66" ht="21.75" customHeight="1">
      <c r="A66" s="8" t="s">
        <v>130</v>
      </c>
      <c r="B66" s="9"/>
      <c r="C66" s="9"/>
      <c r="D66" s="9"/>
      <c r="E66" s="9"/>
      <c r="F66" s="9"/>
      <c r="G66" s="9"/>
      <c r="H66" s="9"/>
      <c r="I66" s="10"/>
    </row>
    <row r="67" ht="21.75" customHeight="1">
      <c r="A67" s="23">
        <v>5.0</v>
      </c>
      <c r="B67" s="39" t="s">
        <v>131</v>
      </c>
      <c r="C67" s="25"/>
      <c r="D67" s="25"/>
      <c r="E67" s="26"/>
      <c r="F67" s="27" t="s">
        <v>58</v>
      </c>
      <c r="G67" s="28" t="s">
        <v>59</v>
      </c>
      <c r="H67" s="29" t="str">
        <f>IF(G67="",IF(COUNTA(C69:C74)&gt;0,"⚠ 상태 미선택(입력값 있음)","상태 미선택 → 미수집 간주"),IF(G67="값 있음",IF(COUNTA(C69:C74)=0,"⚠ 값 있음인데 입력값 없음","✓ 정상"),IF(COUNTA(C69:C74)&gt;0,"⚠ 상태와 입력값 불일치","✓ 정상")))</f>
        <v>✓ 정상</v>
      </c>
      <c r="I67" s="26"/>
    </row>
    <row r="68" ht="24.0" customHeight="1">
      <c r="B68" s="30" t="s">
        <v>132</v>
      </c>
    </row>
    <row r="69" ht="15.75" customHeight="1">
      <c r="B69" s="15" t="s">
        <v>133</v>
      </c>
      <c r="C69" s="20" t="s">
        <v>134</v>
      </c>
      <c r="D69" s="17" t="s">
        <v>19</v>
      </c>
      <c r="E69" s="18" t="s">
        <v>135</v>
      </c>
    </row>
    <row r="70" ht="15.75" customHeight="1">
      <c r="B70" s="15" t="s">
        <v>136</v>
      </c>
      <c r="C70" s="20">
        <v>94.0</v>
      </c>
      <c r="D70" s="17" t="s">
        <v>137</v>
      </c>
      <c r="E70" s="22" t="s">
        <v>138</v>
      </c>
    </row>
    <row r="71" ht="15.75" customHeight="1">
      <c r="B71" s="15" t="s">
        <v>139</v>
      </c>
      <c r="C71" s="20">
        <v>96.0</v>
      </c>
      <c r="D71" s="17" t="s">
        <v>140</v>
      </c>
      <c r="E71" s="22" t="s">
        <v>141</v>
      </c>
    </row>
    <row r="72" ht="15.75" customHeight="1">
      <c r="B72" s="15" t="s">
        <v>142</v>
      </c>
      <c r="C72" s="20">
        <v>7.2</v>
      </c>
      <c r="D72" s="17" t="s">
        <v>30</v>
      </c>
      <c r="E72" s="18" t="s">
        <v>143</v>
      </c>
    </row>
    <row r="73" ht="15.75" customHeight="1">
      <c r="B73" s="15" t="s">
        <v>144</v>
      </c>
      <c r="C73" s="20">
        <v>41.0</v>
      </c>
      <c r="D73" s="17" t="s">
        <v>30</v>
      </c>
      <c r="E73" s="18" t="s">
        <v>145</v>
      </c>
    </row>
    <row r="74" ht="15.75" customHeight="1">
      <c r="B74" s="15" t="s">
        <v>146</v>
      </c>
      <c r="C74" s="20">
        <v>80.0</v>
      </c>
      <c r="D74" s="17" t="s">
        <v>147</v>
      </c>
      <c r="E74" s="18"/>
    </row>
    <row r="75" ht="15.75" customHeight="1"/>
    <row r="76" ht="21.75" customHeight="1">
      <c r="A76" s="23">
        <v>6.0</v>
      </c>
      <c r="B76" s="24" t="s">
        <v>148</v>
      </c>
      <c r="C76" s="25"/>
      <c r="D76" s="25"/>
      <c r="E76" s="26"/>
      <c r="F76" s="27" t="s">
        <v>58</v>
      </c>
      <c r="G76" s="28" t="s">
        <v>59</v>
      </c>
      <c r="H76" s="29" t="str">
        <f>IF(G76="",IF(COUNTA(C78:C81)&gt;0,"⚠ 상태 미선택(입력값 있음)","상태 미선택 → 미수집 간주"),IF(G76="값 있음",IF(COUNTA(C78:C81)=0,"⚠ 값 있음인데 입력값 없음","✓ 정상"),IF(COUNTA(C78:C81)&gt;0,"⚠ 상태와 입력값 불일치","✓ 정상")))</f>
        <v>✓ 정상</v>
      </c>
      <c r="I76" s="26"/>
    </row>
    <row r="77" ht="24.0" customHeight="1">
      <c r="B77" s="30" t="s">
        <v>149</v>
      </c>
    </row>
    <row r="78" ht="15.75" customHeight="1">
      <c r="B78" s="15" t="s">
        <v>133</v>
      </c>
      <c r="C78" s="19" t="s">
        <v>150</v>
      </c>
      <c r="D78" s="17" t="s">
        <v>19</v>
      </c>
      <c r="E78" s="18" t="s">
        <v>151</v>
      </c>
    </row>
    <row r="79" ht="15.75" customHeight="1">
      <c r="B79" s="15" t="s">
        <v>152</v>
      </c>
      <c r="C79" s="20">
        <v>3.0</v>
      </c>
      <c r="D79" s="17" t="s">
        <v>30</v>
      </c>
      <c r="E79" s="18"/>
    </row>
    <row r="80" ht="15.75" customHeight="1">
      <c r="B80" s="15" t="s">
        <v>153</v>
      </c>
      <c r="C80" s="20">
        <v>2.0</v>
      </c>
      <c r="D80" s="17" t="s">
        <v>30</v>
      </c>
      <c r="E80" s="18"/>
    </row>
    <row r="81" ht="15.75" customHeight="1">
      <c r="B81" s="15" t="s">
        <v>154</v>
      </c>
      <c r="C81" s="19" t="s">
        <v>155</v>
      </c>
      <c r="D81" s="17" t="s">
        <v>19</v>
      </c>
      <c r="E81" s="18" t="s">
        <v>156</v>
      </c>
    </row>
    <row r="82" ht="15.75" customHeight="1"/>
    <row r="83" ht="21.75" customHeight="1">
      <c r="A83" s="40">
        <v>7.0</v>
      </c>
      <c r="B83" s="41" t="s">
        <v>157</v>
      </c>
      <c r="C83" s="25"/>
      <c r="D83" s="25"/>
      <c r="E83" s="26"/>
      <c r="F83" s="42" t="s">
        <v>58</v>
      </c>
      <c r="G83" s="28" t="s">
        <v>59</v>
      </c>
      <c r="H83" s="43" t="str">
        <f>IF(G83="",IF(COUNTA(C85:C88)&gt;0,"⚠ 상태 미선택(입력값 있음)","상태 미선택 → 미수집 간주"),IF(G83="값 있음",IF(COUNTA(C85:C88)=0,"⚠ 값 있음인데 입력값 없음","✓ 정상"),IF(COUNTA(C85:C88)&gt;0,"⚠ 상태와 입력값 불일치","✓ 정상")))</f>
        <v>✓ 정상</v>
      </c>
      <c r="I83" s="26"/>
    </row>
    <row r="84" ht="15.0" customHeight="1">
      <c r="B84" s="30" t="s">
        <v>158</v>
      </c>
    </row>
    <row r="85" ht="15.75" customHeight="1">
      <c r="B85" s="15" t="s">
        <v>133</v>
      </c>
      <c r="C85" s="20" t="s">
        <v>159</v>
      </c>
      <c r="D85" s="17" t="s">
        <v>19</v>
      </c>
      <c r="E85" s="18" t="s">
        <v>160</v>
      </c>
    </row>
    <row r="86" ht="15.75" customHeight="1">
      <c r="B86" s="15" t="s">
        <v>161</v>
      </c>
      <c r="C86" s="20">
        <v>4.0</v>
      </c>
      <c r="D86" s="17" t="s">
        <v>30</v>
      </c>
      <c r="E86" s="18"/>
    </row>
    <row r="87" ht="15.75" customHeight="1">
      <c r="B87" s="15" t="s">
        <v>162</v>
      </c>
      <c r="C87" s="20">
        <v>18.0</v>
      </c>
      <c r="D87" s="17" t="s">
        <v>30</v>
      </c>
      <c r="E87" s="18"/>
    </row>
    <row r="88" ht="15.75" customHeight="1">
      <c r="B88" s="15" t="s">
        <v>163</v>
      </c>
      <c r="C88" s="20">
        <v>6.0</v>
      </c>
      <c r="D88" s="17" t="s">
        <v>30</v>
      </c>
      <c r="E88" s="18"/>
    </row>
    <row r="89" ht="15.75" customHeight="1"/>
    <row r="90" ht="21.75" customHeight="1">
      <c r="A90" s="8" t="s">
        <v>164</v>
      </c>
      <c r="B90" s="9"/>
      <c r="C90" s="9"/>
      <c r="D90" s="9"/>
      <c r="E90" s="9"/>
      <c r="F90" s="9"/>
      <c r="G90" s="9"/>
      <c r="H90" s="9"/>
      <c r="I90" s="10"/>
    </row>
    <row r="91" ht="21.75" customHeight="1">
      <c r="A91" s="23">
        <v>8.0</v>
      </c>
      <c r="B91" s="24" t="s">
        <v>165</v>
      </c>
      <c r="C91" s="25"/>
      <c r="D91" s="25"/>
      <c r="E91" s="26"/>
      <c r="F91" s="27" t="s">
        <v>58</v>
      </c>
      <c r="G91" s="28" t="s">
        <v>59</v>
      </c>
      <c r="H91" s="29" t="str">
        <f>IF(G91="",IF(COUNTA(B95:H98)&gt;0,"⚠ 상태 미선택(입력값 있음)","상태 미선택 → 미수집 간주"),IF(G91="값 있음",IF(COUNTA(B95:H98)=0,"⚠ 값 있음인데 입력값 없음","✓ 정상"),IF(COUNTA(B95:H98)&gt;0,"⚠ 상태와 입력값 불일치","✓ 정상")))</f>
        <v>✓ 정상</v>
      </c>
      <c r="I91" s="26"/>
    </row>
    <row r="92" ht="24.0" customHeight="1">
      <c r="B92" s="30" t="s">
        <v>166</v>
      </c>
    </row>
    <row r="93" ht="15.75" customHeight="1">
      <c r="A93" s="31" t="s">
        <v>69</v>
      </c>
      <c r="B93" s="11" t="s">
        <v>167</v>
      </c>
      <c r="C93" s="11" t="s">
        <v>168</v>
      </c>
      <c r="D93" s="11" t="s">
        <v>169</v>
      </c>
      <c r="E93" s="11" t="s">
        <v>170</v>
      </c>
      <c r="F93" s="11" t="s">
        <v>171</v>
      </c>
      <c r="G93" s="11" t="s">
        <v>172</v>
      </c>
      <c r="H93" s="11" t="s">
        <v>173</v>
      </c>
    </row>
    <row r="94" ht="25.5" customHeight="1">
      <c r="A94" s="32" t="s">
        <v>11</v>
      </c>
      <c r="B94" s="33" t="s">
        <v>174</v>
      </c>
      <c r="C94" s="32" t="s">
        <v>175</v>
      </c>
      <c r="D94" s="32" t="s">
        <v>19</v>
      </c>
      <c r="E94" s="33" t="s">
        <v>41</v>
      </c>
      <c r="F94" s="33" t="s">
        <v>176</v>
      </c>
      <c r="G94" s="32" t="s">
        <v>30</v>
      </c>
      <c r="H94" s="32" t="s">
        <v>19</v>
      </c>
    </row>
    <row r="95" ht="15.75" customHeight="1">
      <c r="A95" s="34">
        <v>1.0</v>
      </c>
      <c r="B95" s="19" t="s">
        <v>177</v>
      </c>
      <c r="C95" s="19" t="s">
        <v>178</v>
      </c>
      <c r="D95" s="19" t="s">
        <v>179</v>
      </c>
      <c r="E95" s="16" t="s">
        <v>180</v>
      </c>
      <c r="F95" s="44" t="s">
        <v>181</v>
      </c>
      <c r="G95" s="20">
        <v>13.0</v>
      </c>
      <c r="H95" s="19" t="s">
        <v>182</v>
      </c>
    </row>
    <row r="96" ht="15.75" customHeight="1">
      <c r="A96" s="34">
        <v>2.0</v>
      </c>
      <c r="B96" s="19"/>
      <c r="C96" s="20"/>
      <c r="D96" s="20"/>
      <c r="E96" s="16"/>
      <c r="F96" s="16"/>
      <c r="G96" s="20"/>
      <c r="H96" s="20"/>
    </row>
    <row r="97" ht="15.75" customHeight="1">
      <c r="A97" s="34">
        <v>3.0</v>
      </c>
      <c r="B97" s="19"/>
      <c r="C97" s="20"/>
      <c r="D97" s="20"/>
      <c r="E97" s="16"/>
      <c r="F97" s="16"/>
      <c r="G97" s="20"/>
      <c r="H97" s="20"/>
    </row>
    <row r="98" ht="15.75" customHeight="1">
      <c r="A98" s="34">
        <v>4.0</v>
      </c>
      <c r="B98" s="19"/>
      <c r="C98" s="20"/>
      <c r="D98" s="20"/>
      <c r="E98" s="16"/>
      <c r="F98" s="16"/>
      <c r="G98" s="20"/>
      <c r="H98" s="20"/>
    </row>
    <row r="99" ht="15.75" customHeight="1"/>
    <row r="100" ht="21.75" customHeight="1">
      <c r="A100" s="23">
        <v>9.0</v>
      </c>
      <c r="B100" s="24" t="s">
        <v>183</v>
      </c>
      <c r="C100" s="25"/>
      <c r="D100" s="25"/>
      <c r="E100" s="26"/>
      <c r="F100" s="27" t="s">
        <v>58</v>
      </c>
      <c r="G100" s="28" t="s">
        <v>59</v>
      </c>
      <c r="H100" s="29" t="str">
        <f>IF(G100="",IF(COUNTA(B104:G106)&gt;0,"⚠ 상태 미선택(입력값 있음)","상태 미선택 → 미수집 간주"),IF(G100="값 있음",IF(COUNTA(B104:G106)=0,"⚠ 값 있음인데 입력값 없음","✓ 정상"),IF(COUNTA(B104:G106)&gt;0,"⚠ 상태와 입력값 불일치","✓ 정상")))</f>
        <v>✓ 정상</v>
      </c>
      <c r="I100" s="26"/>
    </row>
    <row r="101" ht="24.0" customHeight="1">
      <c r="B101" s="30" t="s">
        <v>184</v>
      </c>
    </row>
    <row r="102" ht="15.75" customHeight="1">
      <c r="A102" s="31" t="s">
        <v>69</v>
      </c>
      <c r="B102" s="11" t="s">
        <v>185</v>
      </c>
      <c r="C102" s="11" t="s">
        <v>186</v>
      </c>
      <c r="D102" s="11" t="s">
        <v>187</v>
      </c>
      <c r="E102" s="11" t="s">
        <v>188</v>
      </c>
      <c r="F102" s="11" t="s">
        <v>189</v>
      </c>
      <c r="G102" s="11" t="s">
        <v>190</v>
      </c>
    </row>
    <row r="103" ht="37.5" customHeight="1">
      <c r="A103" s="32" t="s">
        <v>11</v>
      </c>
      <c r="B103" s="33" t="s">
        <v>191</v>
      </c>
      <c r="C103" s="32" t="s">
        <v>19</v>
      </c>
      <c r="D103" s="33" t="s">
        <v>192</v>
      </c>
      <c r="E103" s="33" t="s">
        <v>193</v>
      </c>
      <c r="F103" s="33" t="s">
        <v>194</v>
      </c>
      <c r="G103" s="33" t="s">
        <v>41</v>
      </c>
    </row>
    <row r="104" ht="15.75" customHeight="1">
      <c r="A104" s="34">
        <v>1.0</v>
      </c>
      <c r="B104" s="19" t="s">
        <v>195</v>
      </c>
      <c r="C104" s="20" t="s">
        <v>196</v>
      </c>
      <c r="D104" s="19" t="s">
        <v>197</v>
      </c>
      <c r="E104" s="19" t="s">
        <v>198</v>
      </c>
      <c r="F104" s="19" t="s">
        <v>199</v>
      </c>
      <c r="G104" s="16" t="s">
        <v>200</v>
      </c>
    </row>
    <row r="105" ht="15.75" customHeight="1">
      <c r="A105" s="34">
        <v>2.0</v>
      </c>
      <c r="B105" s="19"/>
      <c r="C105" s="20"/>
      <c r="D105" s="19"/>
      <c r="E105" s="19"/>
      <c r="F105" s="19"/>
      <c r="G105" s="16"/>
    </row>
    <row r="106" ht="15.75" customHeight="1">
      <c r="A106" s="34">
        <v>3.0</v>
      </c>
      <c r="B106" s="19"/>
      <c r="C106" s="20"/>
      <c r="D106" s="19"/>
      <c r="E106" s="19"/>
      <c r="F106" s="19"/>
      <c r="G106" s="16"/>
    </row>
    <row r="107" ht="15.75" customHeight="1"/>
    <row r="108" ht="21.75" customHeight="1">
      <c r="A108" s="35">
        <v>10.0</v>
      </c>
      <c r="B108" s="45" t="s">
        <v>201</v>
      </c>
      <c r="C108" s="25"/>
      <c r="D108" s="25"/>
      <c r="E108" s="26"/>
      <c r="F108" s="37" t="s">
        <v>58</v>
      </c>
      <c r="G108" s="28" t="s">
        <v>202</v>
      </c>
      <c r="H108" s="38" t="str">
        <f>IF(G108="",IF(COUNTA(B112:E114)&gt;0,"⚠ 상태 미선택(입력값 있음)","상태 미선택 → 미수집 간주"),IF(G108="값 있음",IF(COUNTA(B112:E114)=0,"⚠ 값 있음인데 입력값 없음","✓ 정상"),IF(COUNTA(B112:E114)&gt;0,"⚠ 상태와 입력값 불일치","✓ 정상")))</f>
        <v>✓ 정상</v>
      </c>
      <c r="I108" s="26"/>
    </row>
    <row r="109" ht="24.0" customHeight="1">
      <c r="B109" s="30" t="s">
        <v>203</v>
      </c>
    </row>
    <row r="110" ht="15.75" customHeight="1">
      <c r="A110" s="31" t="s">
        <v>69</v>
      </c>
      <c r="B110" s="11" t="s">
        <v>87</v>
      </c>
      <c r="C110" s="11" t="s">
        <v>70</v>
      </c>
      <c r="D110" s="11" t="s">
        <v>204</v>
      </c>
      <c r="E110" s="11" t="s">
        <v>205</v>
      </c>
    </row>
    <row r="111" ht="25.5" customHeight="1">
      <c r="A111" s="32" t="s">
        <v>11</v>
      </c>
      <c r="B111" s="32" t="s">
        <v>19</v>
      </c>
      <c r="C111" s="33" t="s">
        <v>206</v>
      </c>
      <c r="D111" s="32" t="s">
        <v>30</v>
      </c>
      <c r="E111" s="32" t="s">
        <v>19</v>
      </c>
    </row>
    <row r="112" ht="15.75" customHeight="1">
      <c r="A112" s="34">
        <v>1.0</v>
      </c>
      <c r="B112" s="20"/>
      <c r="C112" s="16"/>
      <c r="D112" s="20"/>
      <c r="E112" s="20"/>
    </row>
    <row r="113" ht="15.75" customHeight="1">
      <c r="A113" s="34">
        <v>2.0</v>
      </c>
      <c r="B113" s="20"/>
      <c r="C113" s="16"/>
      <c r="D113" s="20"/>
      <c r="E113" s="20"/>
    </row>
    <row r="114" ht="15.75" customHeight="1">
      <c r="A114" s="34">
        <v>3.0</v>
      </c>
      <c r="B114" s="20"/>
      <c r="C114" s="16"/>
      <c r="D114" s="20"/>
      <c r="E114" s="20"/>
    </row>
    <row r="115" ht="15.75" customHeight="1"/>
    <row r="116" ht="21.75" customHeight="1">
      <c r="A116" s="8" t="s">
        <v>207</v>
      </c>
      <c r="B116" s="9"/>
      <c r="C116" s="9"/>
      <c r="D116" s="9"/>
      <c r="E116" s="9"/>
      <c r="F116" s="9"/>
      <c r="G116" s="9"/>
      <c r="H116" s="9"/>
      <c r="I116" s="10"/>
    </row>
    <row r="117" ht="21.75" customHeight="1">
      <c r="A117" s="23">
        <v>11.0</v>
      </c>
      <c r="B117" s="24" t="s">
        <v>208</v>
      </c>
      <c r="C117" s="25"/>
      <c r="D117" s="25"/>
      <c r="E117" s="26"/>
      <c r="F117" s="27" t="s">
        <v>58</v>
      </c>
      <c r="G117" s="28" t="s">
        <v>59</v>
      </c>
      <c r="H117" s="29" t="str">
        <f>IF(G117="",IF(COUNTA(B121:I123)&gt;0,"⚠ 상태 미선택(입력값 있음)","상태 미선택 → 미수집 간주"),IF(G117="값 있음",IF(COUNTA(B121:I123)=0,"⚠ 값 있음인데 입력값 없음","✓ 정상"),IF(COUNTA(B121:I123)&gt;0,"⚠ 상태와 입력값 불일치","✓ 정상")))</f>
        <v>✓ 정상</v>
      </c>
      <c r="I117" s="26"/>
    </row>
    <row r="118" ht="24.0" customHeight="1">
      <c r="B118" s="30" t="s">
        <v>209</v>
      </c>
    </row>
    <row r="119" ht="15.75" customHeight="1">
      <c r="A119" s="31" t="s">
        <v>69</v>
      </c>
      <c r="B119" s="11" t="s">
        <v>185</v>
      </c>
      <c r="C119" s="11" t="s">
        <v>210</v>
      </c>
      <c r="D119" s="11" t="s">
        <v>211</v>
      </c>
      <c r="E119" s="11" t="s">
        <v>170</v>
      </c>
      <c r="F119" s="11" t="s">
        <v>171</v>
      </c>
      <c r="G119" s="11" t="s">
        <v>212</v>
      </c>
      <c r="H119" s="11" t="s">
        <v>213</v>
      </c>
      <c r="I119" s="31" t="s">
        <v>214</v>
      </c>
    </row>
    <row r="120" ht="25.5" customHeight="1">
      <c r="A120" s="32" t="s">
        <v>11</v>
      </c>
      <c r="B120" s="33" t="s">
        <v>215</v>
      </c>
      <c r="C120" s="32" t="s">
        <v>19</v>
      </c>
      <c r="D120" s="32" t="s">
        <v>19</v>
      </c>
      <c r="E120" s="33" t="s">
        <v>41</v>
      </c>
      <c r="F120" s="33" t="s">
        <v>41</v>
      </c>
      <c r="G120" s="32" t="s">
        <v>30</v>
      </c>
      <c r="H120" s="33" t="s">
        <v>216</v>
      </c>
      <c r="I120" s="33" t="s">
        <v>217</v>
      </c>
    </row>
    <row r="121" ht="15.75" customHeight="1">
      <c r="A121" s="34">
        <v>1.0</v>
      </c>
      <c r="B121" s="19" t="s">
        <v>218</v>
      </c>
      <c r="C121" s="19" t="s">
        <v>219</v>
      </c>
      <c r="D121" s="19" t="s">
        <v>220</v>
      </c>
      <c r="E121" s="16" t="s">
        <v>221</v>
      </c>
      <c r="F121" s="16" t="s">
        <v>222</v>
      </c>
      <c r="G121" s="20">
        <v>2.0</v>
      </c>
      <c r="H121" s="19" t="s">
        <v>223</v>
      </c>
      <c r="I121" s="20" t="s">
        <v>46</v>
      </c>
    </row>
    <row r="122" ht="15.75" customHeight="1">
      <c r="A122" s="34">
        <v>2.0</v>
      </c>
      <c r="B122" s="19"/>
      <c r="C122" s="20"/>
      <c r="D122" s="20"/>
      <c r="E122" s="16"/>
      <c r="F122" s="16"/>
      <c r="G122" s="20"/>
      <c r="H122" s="19"/>
      <c r="I122" s="20"/>
    </row>
    <row r="123" ht="15.75" customHeight="1">
      <c r="A123" s="34">
        <v>3.0</v>
      </c>
      <c r="B123" s="19"/>
      <c r="C123" s="20"/>
      <c r="D123" s="20"/>
      <c r="E123" s="16"/>
      <c r="F123" s="16"/>
      <c r="G123" s="20"/>
      <c r="H123" s="19"/>
      <c r="I123" s="20"/>
    </row>
    <row r="124" ht="15.75" customHeight="1"/>
    <row r="125" ht="21.75" customHeight="1">
      <c r="A125" s="23">
        <v>12.0</v>
      </c>
      <c r="B125" s="24" t="s">
        <v>224</v>
      </c>
      <c r="C125" s="25"/>
      <c r="D125" s="25"/>
      <c r="E125" s="26"/>
      <c r="F125" s="27" t="s">
        <v>58</v>
      </c>
      <c r="G125" s="28" t="s">
        <v>59</v>
      </c>
      <c r="H125" s="29" t="str">
        <f>IF(G125="",IF(COUNTA(B129:F131)&gt;0,"⚠ 상태 미선택(입력값 있음)","상태 미선택 → 미수집 간주"),IF(G125="값 있음",IF(COUNTA(B129:F131)=0,"⚠ 값 있음인데 입력값 없음","✓ 정상"),IF(COUNTA(B129:F131)&gt;0,"⚠ 상태와 입력값 불일치","✓ 정상")))</f>
        <v>✓ 정상</v>
      </c>
      <c r="I125" s="26"/>
    </row>
    <row r="126" ht="24.0" customHeight="1">
      <c r="B126" s="30" t="s">
        <v>225</v>
      </c>
    </row>
    <row r="127" ht="15.75" customHeight="1">
      <c r="A127" s="31" t="s">
        <v>69</v>
      </c>
      <c r="B127" s="11" t="s">
        <v>226</v>
      </c>
      <c r="C127" s="11" t="s">
        <v>227</v>
      </c>
      <c r="D127" s="11" t="s">
        <v>228</v>
      </c>
      <c r="E127" s="11" t="s">
        <v>229</v>
      </c>
      <c r="F127" s="11" t="s">
        <v>230</v>
      </c>
    </row>
    <row r="128" ht="25.5" customHeight="1">
      <c r="A128" s="32" t="s">
        <v>11</v>
      </c>
      <c r="B128" s="32" t="s">
        <v>19</v>
      </c>
      <c r="C128" s="32" t="s">
        <v>19</v>
      </c>
      <c r="D128" s="32" t="s">
        <v>30</v>
      </c>
      <c r="E128" s="32" t="s">
        <v>30</v>
      </c>
      <c r="F128" s="33" t="s">
        <v>231</v>
      </c>
    </row>
    <row r="129" ht="15.75" customHeight="1">
      <c r="A129" s="34">
        <v>1.0</v>
      </c>
      <c r="B129" s="19" t="s">
        <v>232</v>
      </c>
      <c r="C129" s="19" t="s">
        <v>233</v>
      </c>
      <c r="D129" s="20">
        <v>3.0</v>
      </c>
      <c r="E129" s="20">
        <v>16.0</v>
      </c>
      <c r="F129" s="19" t="s">
        <v>234</v>
      </c>
    </row>
    <row r="130" ht="15.75" customHeight="1">
      <c r="A130" s="34">
        <v>2.0</v>
      </c>
      <c r="B130" s="20"/>
      <c r="C130" s="20"/>
      <c r="D130" s="20"/>
      <c r="E130" s="20"/>
      <c r="F130" s="19"/>
    </row>
    <row r="131" ht="15.75" customHeight="1">
      <c r="A131" s="34">
        <v>3.0</v>
      </c>
      <c r="B131" s="20"/>
      <c r="C131" s="20"/>
      <c r="D131" s="20"/>
      <c r="E131" s="20"/>
      <c r="F131" s="19"/>
    </row>
    <row r="132" ht="15.75" customHeight="1"/>
    <row r="133" ht="21.75" customHeight="1">
      <c r="A133" s="40">
        <v>13.0</v>
      </c>
      <c r="B133" s="41" t="s">
        <v>235</v>
      </c>
      <c r="C133" s="25"/>
      <c r="D133" s="25"/>
      <c r="E133" s="26"/>
      <c r="F133" s="42" t="s">
        <v>58</v>
      </c>
      <c r="G133" s="28" t="s">
        <v>59</v>
      </c>
      <c r="H133" s="43" t="str">
        <f>IF(G133="",IF(COUNTA(C135:C138)&gt;0,"⚠ 상태 미선택(입력값 있음)","상태 미선택 → 미수집 간주"),IF(G133="값 있음",IF(COUNTA(C135:C138)=0,"⚠ 값 있음인데 입력값 없음","✓ 정상"),IF(COUNTA(C135:C138)&gt;0,"⚠ 상태와 입력값 불일치","✓ 정상")))</f>
        <v>✓ 정상</v>
      </c>
      <c r="I133" s="26"/>
    </row>
    <row r="134" ht="24.0" customHeight="1">
      <c r="B134" s="30" t="s">
        <v>236</v>
      </c>
    </row>
    <row r="135" ht="15.75" customHeight="1">
      <c r="B135" s="15" t="s">
        <v>237</v>
      </c>
      <c r="C135" s="20">
        <v>2.0</v>
      </c>
      <c r="D135" s="17" t="s">
        <v>30</v>
      </c>
      <c r="E135" s="18"/>
    </row>
    <row r="136" ht="15.75" customHeight="1">
      <c r="B136" s="15" t="s">
        <v>238</v>
      </c>
      <c r="C136" s="20" t="s">
        <v>46</v>
      </c>
      <c r="D136" s="17" t="s">
        <v>34</v>
      </c>
      <c r="E136" s="22" t="s">
        <v>217</v>
      </c>
    </row>
    <row r="137" ht="15.75" customHeight="1">
      <c r="B137" s="15" t="s">
        <v>239</v>
      </c>
      <c r="C137" s="19" t="s">
        <v>240</v>
      </c>
      <c r="D137" s="17" t="s">
        <v>19</v>
      </c>
      <c r="E137" s="18"/>
    </row>
    <row r="138" ht="30.0" customHeight="1">
      <c r="B138" s="15" t="s">
        <v>241</v>
      </c>
      <c r="C138" s="19" t="s">
        <v>242</v>
      </c>
      <c r="D138" s="17" t="s">
        <v>243</v>
      </c>
      <c r="E138" s="22" t="s">
        <v>244</v>
      </c>
    </row>
    <row r="139" ht="15.75" customHeight="1"/>
    <row r="140" ht="21.75" customHeight="1">
      <c r="A140" s="8" t="s">
        <v>245</v>
      </c>
      <c r="B140" s="9"/>
      <c r="C140" s="9"/>
      <c r="D140" s="9"/>
      <c r="E140" s="9"/>
      <c r="F140" s="9"/>
      <c r="G140" s="9"/>
      <c r="H140" s="9"/>
      <c r="I140" s="10"/>
    </row>
    <row r="141" ht="21.75" customHeight="1">
      <c r="A141" s="23">
        <v>14.0</v>
      </c>
      <c r="B141" s="24" t="s">
        <v>246</v>
      </c>
      <c r="C141" s="25"/>
      <c r="D141" s="25"/>
      <c r="E141" s="26"/>
      <c r="F141" s="27" t="s">
        <v>58</v>
      </c>
      <c r="G141" s="28" t="s">
        <v>59</v>
      </c>
      <c r="H141" s="29" t="str">
        <f>IF(G141="",IF(COUNTA(B145:H149)&gt;0,"⚠ 상태 미선택(입력값 있음)","상태 미선택 → 미수집 간주"),IF(G141="값 있음",IF(COUNTA(B145:H149)=0,"⚠ 값 있음인데 입력값 없음","✓ 정상"),IF(COUNTA(B145:H149)&gt;0,"⚠ 상태와 입력값 불일치","✓ 정상")))</f>
        <v>✓ 정상</v>
      </c>
      <c r="I141" s="26"/>
    </row>
    <row r="142" ht="24.0" customHeight="1">
      <c r="B142" s="30" t="s">
        <v>247</v>
      </c>
    </row>
    <row r="143" ht="15.75" customHeight="1">
      <c r="A143" s="31" t="s">
        <v>69</v>
      </c>
      <c r="B143" s="11" t="s">
        <v>248</v>
      </c>
      <c r="C143" s="11" t="s">
        <v>249</v>
      </c>
      <c r="D143" s="11" t="s">
        <v>250</v>
      </c>
      <c r="E143" s="11" t="s">
        <v>251</v>
      </c>
      <c r="F143" s="11" t="s">
        <v>252</v>
      </c>
      <c r="G143" s="11" t="s">
        <v>253</v>
      </c>
      <c r="H143" s="11" t="s">
        <v>254</v>
      </c>
    </row>
    <row r="144" ht="25.5" customHeight="1">
      <c r="A144" s="32" t="s">
        <v>11</v>
      </c>
      <c r="B144" s="32" t="s">
        <v>19</v>
      </c>
      <c r="C144" s="32" t="s">
        <v>19</v>
      </c>
      <c r="D144" s="33" t="s">
        <v>255</v>
      </c>
      <c r="E144" s="33" t="s">
        <v>256</v>
      </c>
      <c r="F144" s="33" t="s">
        <v>257</v>
      </c>
      <c r="G144" s="32" t="s">
        <v>19</v>
      </c>
      <c r="H144" s="33" t="s">
        <v>41</v>
      </c>
    </row>
    <row r="145" ht="15.75" customHeight="1">
      <c r="A145" s="34">
        <v>1.0</v>
      </c>
      <c r="B145" s="19" t="s">
        <v>258</v>
      </c>
      <c r="C145" s="19" t="s">
        <v>21</v>
      </c>
      <c r="D145" s="19" t="s">
        <v>197</v>
      </c>
      <c r="E145" s="19" t="s">
        <v>259</v>
      </c>
      <c r="F145" s="19" t="s">
        <v>260</v>
      </c>
      <c r="G145" s="19" t="s">
        <v>261</v>
      </c>
      <c r="H145" s="16" t="s">
        <v>262</v>
      </c>
    </row>
    <row r="146" ht="15.75" customHeight="1">
      <c r="A146" s="34">
        <v>2.0</v>
      </c>
      <c r="B146" s="19" t="s">
        <v>263</v>
      </c>
      <c r="C146" s="19" t="s">
        <v>264</v>
      </c>
      <c r="D146" s="19" t="s">
        <v>265</v>
      </c>
      <c r="E146" s="19" t="s">
        <v>266</v>
      </c>
      <c r="F146" s="19" t="s">
        <v>260</v>
      </c>
      <c r="G146" s="19" t="s">
        <v>267</v>
      </c>
      <c r="H146" s="16" t="s">
        <v>268</v>
      </c>
    </row>
    <row r="147" ht="15.75" customHeight="1">
      <c r="A147" s="34">
        <v>3.0</v>
      </c>
      <c r="B147" s="20"/>
      <c r="C147" s="20"/>
      <c r="D147" s="19"/>
      <c r="E147" s="19"/>
      <c r="F147" s="19"/>
      <c r="G147" s="20"/>
      <c r="H147" s="16"/>
    </row>
    <row r="148" ht="15.75" customHeight="1">
      <c r="A148" s="34">
        <v>4.0</v>
      </c>
      <c r="B148" s="20"/>
      <c r="C148" s="20"/>
      <c r="D148" s="19"/>
      <c r="E148" s="19"/>
      <c r="F148" s="19"/>
      <c r="G148" s="20"/>
      <c r="H148" s="16"/>
    </row>
    <row r="149" ht="15.75" customHeight="1">
      <c r="A149" s="34">
        <v>5.0</v>
      </c>
      <c r="B149" s="20"/>
      <c r="C149" s="20"/>
      <c r="D149" s="19"/>
      <c r="E149" s="19"/>
      <c r="F149" s="19"/>
      <c r="G149" s="20"/>
      <c r="H149" s="16"/>
    </row>
    <row r="150" ht="15.75" customHeight="1"/>
    <row r="151" ht="21.75" customHeight="1">
      <c r="A151" s="23">
        <v>15.0</v>
      </c>
      <c r="B151" s="24" t="s">
        <v>269</v>
      </c>
      <c r="C151" s="25"/>
      <c r="D151" s="25"/>
      <c r="E151" s="26"/>
      <c r="F151" s="27" t="s">
        <v>58</v>
      </c>
      <c r="G151" s="28" t="s">
        <v>202</v>
      </c>
      <c r="H151" s="29" t="str">
        <f>IF(G151="",IF(COUNTA(B155:E156)&gt;0,"⚠ 상태 미선택(입력값 있음)","상태 미선택 → 미수집 간주"),IF(G151="값 있음",IF(COUNTA(B155:E156)=0,"⚠ 값 있음인데 입력값 없음","✓ 정상"),IF(COUNTA(B155:E156)&gt;0,"⚠ 상태와 입력값 불일치","✓ 정상")))</f>
        <v>✓ 정상</v>
      </c>
      <c r="I151" s="26"/>
    </row>
    <row r="152" ht="15.0" customHeight="1">
      <c r="B152" s="30" t="s">
        <v>270</v>
      </c>
    </row>
    <row r="153" ht="15.75" customHeight="1">
      <c r="A153" s="31" t="s">
        <v>69</v>
      </c>
      <c r="B153" s="11" t="s">
        <v>185</v>
      </c>
      <c r="C153" s="11" t="s">
        <v>271</v>
      </c>
      <c r="D153" s="11" t="s">
        <v>251</v>
      </c>
      <c r="E153" s="11" t="s">
        <v>254</v>
      </c>
    </row>
    <row r="154" ht="25.5" customHeight="1">
      <c r="A154" s="32" t="s">
        <v>11</v>
      </c>
      <c r="B154" s="33" t="s">
        <v>272</v>
      </c>
      <c r="C154" s="32" t="s">
        <v>19</v>
      </c>
      <c r="D154" s="32" t="s">
        <v>19</v>
      </c>
      <c r="E154" s="33" t="s">
        <v>41</v>
      </c>
    </row>
    <row r="155" ht="15.75" customHeight="1">
      <c r="A155" s="34">
        <v>1.0</v>
      </c>
      <c r="B155" s="20"/>
      <c r="C155" s="20"/>
      <c r="D155" s="20"/>
      <c r="E155" s="16"/>
    </row>
    <row r="156" ht="15.75" customHeight="1">
      <c r="A156" s="34">
        <v>2.0</v>
      </c>
      <c r="B156" s="20"/>
      <c r="C156" s="20"/>
      <c r="D156" s="20"/>
      <c r="E156" s="16"/>
    </row>
    <row r="157" ht="15.75" customHeight="1"/>
    <row r="158" ht="21.75" customHeight="1">
      <c r="A158" s="35">
        <v>16.0</v>
      </c>
      <c r="B158" s="36" t="s">
        <v>273</v>
      </c>
      <c r="C158" s="25"/>
      <c r="D158" s="25"/>
      <c r="E158" s="26"/>
      <c r="F158" s="37" t="s">
        <v>58</v>
      </c>
      <c r="G158" s="28" t="s">
        <v>202</v>
      </c>
      <c r="H158" s="38" t="str">
        <f>IF(G158="",IF(COUNTA(B162:G163)&gt;0,"⚠ 상태 미선택(입력값 있음)","상태 미선택 → 미수집 간주"),IF(G158="값 있음",IF(COUNTA(B162:G163)=0,"⚠ 값 있음인데 입력값 없음","✓ 정상"),IF(COUNTA(B162:G163)&gt;0,"⚠ 상태와 입력값 불일치","✓ 정상")))</f>
        <v>✓ 정상</v>
      </c>
      <c r="I158" s="26"/>
    </row>
    <row r="159" ht="24.0" customHeight="1">
      <c r="B159" s="30" t="s">
        <v>274</v>
      </c>
    </row>
    <row r="160" ht="15.75" customHeight="1">
      <c r="A160" s="31" t="s">
        <v>69</v>
      </c>
      <c r="B160" s="11" t="s">
        <v>185</v>
      </c>
      <c r="C160" s="11" t="s">
        <v>275</v>
      </c>
      <c r="D160" s="11" t="s">
        <v>188</v>
      </c>
      <c r="E160" s="11" t="s">
        <v>276</v>
      </c>
      <c r="F160" s="11" t="s">
        <v>254</v>
      </c>
      <c r="G160" s="11" t="s">
        <v>277</v>
      </c>
    </row>
    <row r="161" ht="25.5" customHeight="1">
      <c r="A161" s="32" t="s">
        <v>11</v>
      </c>
      <c r="B161" s="33" t="s">
        <v>278</v>
      </c>
      <c r="C161" s="32" t="s">
        <v>19</v>
      </c>
      <c r="D161" s="33" t="s">
        <v>279</v>
      </c>
      <c r="E161" s="32" t="s">
        <v>19</v>
      </c>
      <c r="F161" s="33" t="s">
        <v>41</v>
      </c>
      <c r="G161" s="33" t="s">
        <v>280</v>
      </c>
    </row>
    <row r="162" ht="15.75" customHeight="1">
      <c r="A162" s="34">
        <v>1.0</v>
      </c>
      <c r="B162" s="20"/>
      <c r="C162" s="20"/>
      <c r="D162" s="20"/>
      <c r="E162" s="20"/>
      <c r="F162" s="16"/>
      <c r="G162" s="20"/>
    </row>
    <row r="163" ht="15.75" customHeight="1">
      <c r="A163" s="34">
        <v>2.0</v>
      </c>
      <c r="B163" s="20"/>
      <c r="C163" s="20"/>
      <c r="D163" s="20"/>
      <c r="E163" s="20"/>
      <c r="F163" s="16"/>
      <c r="G163" s="20"/>
    </row>
    <row r="164" ht="15.75" customHeight="1"/>
    <row r="165" ht="21.75" customHeight="1">
      <c r="A165" s="8" t="s">
        <v>281</v>
      </c>
      <c r="B165" s="9"/>
      <c r="C165" s="9"/>
      <c r="D165" s="9"/>
      <c r="E165" s="9"/>
      <c r="F165" s="9"/>
      <c r="G165" s="9"/>
      <c r="H165" s="9"/>
      <c r="I165" s="10"/>
    </row>
    <row r="166" ht="21.75" customHeight="1">
      <c r="A166" s="23">
        <v>17.0</v>
      </c>
      <c r="B166" s="24" t="s">
        <v>282</v>
      </c>
      <c r="C166" s="25"/>
      <c r="D166" s="25"/>
      <c r="E166" s="26"/>
      <c r="F166" s="27" t="s">
        <v>58</v>
      </c>
      <c r="G166" s="28" t="s">
        <v>202</v>
      </c>
      <c r="H166" s="29" t="str">
        <f>IF(G166="",IF(COUNTA(B170:G172)&gt;0,"⚠ 상태 미선택(입력값 있음)","상태 미선택 → 미수집 간주"),IF(G166="값 있음",IF(COUNTA(B170:G172)=0,"⚠ 값 있음인데 입력값 없음","✓ 정상"),IF(COUNTA(B170:G172)&gt;0,"⚠ 상태와 입력값 불일치","✓ 정상")))</f>
        <v>✓ 정상</v>
      </c>
      <c r="I166" s="26"/>
    </row>
    <row r="167" ht="24.0" customHeight="1">
      <c r="B167" s="30" t="s">
        <v>283</v>
      </c>
    </row>
    <row r="168" ht="15.75" customHeight="1">
      <c r="A168" s="31" t="s">
        <v>69</v>
      </c>
      <c r="B168" s="11" t="s">
        <v>185</v>
      </c>
      <c r="C168" s="11" t="s">
        <v>284</v>
      </c>
      <c r="D168" s="11" t="s">
        <v>285</v>
      </c>
      <c r="E168" s="11" t="s">
        <v>286</v>
      </c>
      <c r="F168" s="11" t="s">
        <v>287</v>
      </c>
      <c r="G168" s="31" t="s">
        <v>288</v>
      </c>
    </row>
    <row r="169" ht="37.5" customHeight="1">
      <c r="A169" s="32" t="s">
        <v>11</v>
      </c>
      <c r="B169" s="33" t="s">
        <v>289</v>
      </c>
      <c r="C169" s="32" t="s">
        <v>19</v>
      </c>
      <c r="D169" s="32" t="s">
        <v>19</v>
      </c>
      <c r="E169" s="32" t="s">
        <v>30</v>
      </c>
      <c r="F169" s="33" t="s">
        <v>41</v>
      </c>
      <c r="G169" s="33" t="s">
        <v>217</v>
      </c>
    </row>
    <row r="170" ht="15.75" customHeight="1">
      <c r="A170" s="34">
        <v>1.0</v>
      </c>
      <c r="B170" s="20"/>
      <c r="C170" s="20"/>
      <c r="D170" s="20"/>
      <c r="E170" s="20"/>
      <c r="F170" s="16"/>
      <c r="G170" s="20"/>
    </row>
    <row r="171" ht="15.75" customHeight="1">
      <c r="A171" s="34">
        <v>2.0</v>
      </c>
      <c r="B171" s="20"/>
      <c r="C171" s="20"/>
      <c r="D171" s="20"/>
      <c r="E171" s="20"/>
      <c r="F171" s="16"/>
      <c r="G171" s="20"/>
    </row>
    <row r="172" ht="15.75" customHeight="1">
      <c r="A172" s="34">
        <v>3.0</v>
      </c>
      <c r="B172" s="20"/>
      <c r="C172" s="20"/>
      <c r="D172" s="20"/>
      <c r="E172" s="20"/>
      <c r="F172" s="16"/>
      <c r="G172" s="20"/>
    </row>
    <row r="173" ht="15.75" customHeight="1"/>
    <row r="174" ht="21.75" customHeight="1">
      <c r="A174" s="35">
        <v>18.0</v>
      </c>
      <c r="B174" s="36" t="s">
        <v>290</v>
      </c>
      <c r="C174" s="25"/>
      <c r="D174" s="25"/>
      <c r="E174" s="26"/>
      <c r="F174" s="37" t="s">
        <v>58</v>
      </c>
      <c r="G174" s="28" t="s">
        <v>59</v>
      </c>
      <c r="H174" s="38" t="str">
        <f>IF(G174="",IF(COUNTA(C176:C178)&gt;0,"⚠ 상태 미선택(입력값 있음)","상태 미선택 → 미수집 간주"),IF(G174="값 있음",IF(COUNTA(C176:C178)=0,"⚠ 값 있음인데 입력값 없음","✓ 정상"),IF(COUNTA(C176:C178)&gt;0,"⚠ 상태와 입력값 불일치","✓ 정상")))</f>
        <v>✓ 정상</v>
      </c>
      <c r="I174" s="26"/>
    </row>
    <row r="175" ht="24.0" customHeight="1">
      <c r="B175" s="30" t="s">
        <v>291</v>
      </c>
    </row>
    <row r="176" ht="15.75" customHeight="1">
      <c r="B176" s="15" t="s">
        <v>292</v>
      </c>
      <c r="C176" s="20">
        <v>2.0</v>
      </c>
      <c r="D176" s="17" t="s">
        <v>30</v>
      </c>
      <c r="E176" s="18" t="s">
        <v>293</v>
      </c>
    </row>
    <row r="177" ht="15.75" customHeight="1">
      <c r="B177" s="15" t="s">
        <v>294</v>
      </c>
      <c r="C177" s="20">
        <v>6.0</v>
      </c>
      <c r="D177" s="17" t="s">
        <v>30</v>
      </c>
      <c r="E177" s="18"/>
    </row>
    <row r="178" ht="15.75" customHeight="1">
      <c r="B178" s="15" t="s">
        <v>295</v>
      </c>
      <c r="C178" s="19" t="s">
        <v>296</v>
      </c>
      <c r="D178" s="17" t="s">
        <v>19</v>
      </c>
      <c r="E178" s="18" t="s">
        <v>297</v>
      </c>
    </row>
    <row r="179" ht="15.75" customHeight="1"/>
    <row r="180" ht="21.75" customHeight="1">
      <c r="A180" s="8" t="s">
        <v>298</v>
      </c>
      <c r="B180" s="9"/>
      <c r="C180" s="9"/>
      <c r="D180" s="9"/>
      <c r="E180" s="9"/>
      <c r="F180" s="9"/>
      <c r="G180" s="9"/>
      <c r="H180" s="9"/>
      <c r="I180" s="10"/>
    </row>
    <row r="181" ht="21.75" customHeight="1">
      <c r="A181" s="23">
        <v>19.0</v>
      </c>
      <c r="B181" s="39" t="s">
        <v>299</v>
      </c>
      <c r="C181" s="25"/>
      <c r="D181" s="25"/>
      <c r="E181" s="26"/>
      <c r="F181" s="27" t="s">
        <v>58</v>
      </c>
      <c r="G181" s="28" t="s">
        <v>59</v>
      </c>
      <c r="H181" s="29" t="str">
        <f>IF(G181="",IF(COUNTA(B185:F188)&gt;0,"⚠ 상태 미선택(입력값 있음)","상태 미선택 → 미수집 간주"),IF(G181="값 있음",IF(COUNTA(B185:F188)=0,"⚠ 값 있음인데 입력값 없음","✓ 정상"),IF(COUNTA(B185:F188)&gt;0,"⚠ 상태와 입력값 불일치","✓ 정상")))</f>
        <v>✓ 정상</v>
      </c>
      <c r="I181" s="26"/>
    </row>
    <row r="182" ht="24.0" customHeight="1">
      <c r="B182" s="30" t="s">
        <v>300</v>
      </c>
    </row>
    <row r="183" ht="15.75" customHeight="1">
      <c r="A183" s="31" t="s">
        <v>69</v>
      </c>
      <c r="B183" s="11" t="s">
        <v>301</v>
      </c>
      <c r="C183" s="11" t="s">
        <v>302</v>
      </c>
      <c r="D183" s="11" t="s">
        <v>303</v>
      </c>
      <c r="E183" s="11" t="s">
        <v>304</v>
      </c>
      <c r="F183" s="11" t="s">
        <v>305</v>
      </c>
    </row>
    <row r="184" ht="25.5" customHeight="1">
      <c r="A184" s="32" t="s">
        <v>11</v>
      </c>
      <c r="B184" s="33" t="s">
        <v>306</v>
      </c>
      <c r="C184" s="32" t="s">
        <v>19</v>
      </c>
      <c r="D184" s="32" t="s">
        <v>30</v>
      </c>
      <c r="E184" s="33" t="s">
        <v>41</v>
      </c>
      <c r="F184" s="33" t="s">
        <v>307</v>
      </c>
    </row>
    <row r="185" ht="15.75" customHeight="1">
      <c r="A185" s="34">
        <v>1.0</v>
      </c>
      <c r="B185" s="19" t="s">
        <v>308</v>
      </c>
      <c r="C185" s="19" t="s">
        <v>309</v>
      </c>
      <c r="D185" s="20">
        <v>45.0</v>
      </c>
      <c r="E185" s="16" t="s">
        <v>310</v>
      </c>
      <c r="F185" s="19" t="s">
        <v>311</v>
      </c>
    </row>
    <row r="186" ht="15.75" customHeight="1">
      <c r="A186" s="34">
        <v>2.0</v>
      </c>
      <c r="B186" s="20" t="s">
        <v>312</v>
      </c>
      <c r="C186" s="19" t="s">
        <v>313</v>
      </c>
      <c r="D186" s="20">
        <v>10.0</v>
      </c>
      <c r="E186" s="16" t="s">
        <v>314</v>
      </c>
      <c r="F186" s="19" t="s">
        <v>311</v>
      </c>
    </row>
    <row r="187" ht="15.75" customHeight="1">
      <c r="A187" s="34">
        <v>3.0</v>
      </c>
      <c r="B187" s="20"/>
      <c r="C187" s="20"/>
      <c r="D187" s="20"/>
      <c r="E187" s="16"/>
      <c r="F187" s="19"/>
    </row>
    <row r="188" ht="15.75" customHeight="1">
      <c r="A188" s="34">
        <v>4.0</v>
      </c>
      <c r="B188" s="20"/>
      <c r="C188" s="20"/>
      <c r="D188" s="20"/>
      <c r="E188" s="16"/>
      <c r="F188" s="19"/>
    </row>
    <row r="189" ht="15.75" customHeight="1"/>
    <row r="190" ht="21.75" customHeight="1">
      <c r="A190" s="35">
        <v>20.0</v>
      </c>
      <c r="B190" s="45" t="s">
        <v>315</v>
      </c>
      <c r="C190" s="25"/>
      <c r="D190" s="25"/>
      <c r="E190" s="26"/>
      <c r="F190" s="37" t="s">
        <v>58</v>
      </c>
      <c r="G190" s="28" t="s">
        <v>59</v>
      </c>
      <c r="H190" s="38" t="str">
        <f>IF(G190="",IF(COUNTA(B194:G196)&gt;0,"⚠ 상태 미선택(입력값 있음)","상태 미선택 → 미수집 간주"),IF(G190="값 있음",IF(COUNTA(B194:G196)=0,"⚠ 값 있음인데 입력값 없음","✓ 정상"),IF(COUNTA(B194:G196)&gt;0,"⚠ 상태와 입력값 불일치","✓ 정상")))</f>
        <v>✓ 정상</v>
      </c>
      <c r="I190" s="26"/>
    </row>
    <row r="191" ht="24.0" customHeight="1">
      <c r="B191" s="30" t="s">
        <v>316</v>
      </c>
    </row>
    <row r="192" ht="15.75" customHeight="1">
      <c r="A192" s="31" t="s">
        <v>69</v>
      </c>
      <c r="B192" s="11" t="s">
        <v>185</v>
      </c>
      <c r="C192" s="11" t="s">
        <v>275</v>
      </c>
      <c r="D192" s="11" t="s">
        <v>253</v>
      </c>
      <c r="E192" s="11" t="s">
        <v>317</v>
      </c>
      <c r="F192" s="11" t="s">
        <v>250</v>
      </c>
      <c r="G192" s="11" t="s">
        <v>254</v>
      </c>
    </row>
    <row r="193" ht="25.5" customHeight="1">
      <c r="A193" s="32" t="s">
        <v>11</v>
      </c>
      <c r="B193" s="33" t="s">
        <v>318</v>
      </c>
      <c r="C193" s="32" t="s">
        <v>19</v>
      </c>
      <c r="D193" s="32" t="s">
        <v>19</v>
      </c>
      <c r="E193" s="32" t="s">
        <v>19</v>
      </c>
      <c r="F193" s="33" t="s">
        <v>319</v>
      </c>
      <c r="G193" s="33" t="s">
        <v>41</v>
      </c>
    </row>
    <row r="194" ht="15.75" customHeight="1">
      <c r="A194" s="34">
        <v>1.0</v>
      </c>
      <c r="B194" s="20" t="s">
        <v>320</v>
      </c>
      <c r="C194" s="19" t="s">
        <v>321</v>
      </c>
      <c r="D194" s="20" t="s">
        <v>322</v>
      </c>
      <c r="E194" s="19" t="s">
        <v>323</v>
      </c>
      <c r="F194" s="19" t="s">
        <v>197</v>
      </c>
      <c r="G194" s="16" t="s">
        <v>324</v>
      </c>
    </row>
    <row r="195" ht="15.75" customHeight="1">
      <c r="A195" s="34">
        <v>2.0</v>
      </c>
      <c r="B195" s="20"/>
      <c r="C195" s="20"/>
      <c r="D195" s="20"/>
      <c r="E195" s="20"/>
      <c r="F195" s="19"/>
      <c r="G195" s="16"/>
    </row>
    <row r="196" ht="15.75" customHeight="1">
      <c r="A196" s="34">
        <v>3.0</v>
      </c>
      <c r="B196" s="20"/>
      <c r="C196" s="20"/>
      <c r="D196" s="20"/>
      <c r="E196" s="20"/>
      <c r="F196" s="19"/>
      <c r="G196" s="16"/>
    </row>
    <row r="197" ht="15.75" customHeight="1"/>
    <row r="198" ht="21.75" customHeight="1">
      <c r="A198" s="23">
        <v>21.0</v>
      </c>
      <c r="B198" s="24" t="s">
        <v>325</v>
      </c>
      <c r="C198" s="25"/>
      <c r="D198" s="25"/>
      <c r="E198" s="26"/>
      <c r="F198" s="27" t="s">
        <v>58</v>
      </c>
      <c r="G198" s="28" t="s">
        <v>59</v>
      </c>
      <c r="H198" s="29" t="str">
        <f>IF(G198="",IF(COUNTA(B202:D205)&gt;0,"⚠ 상태 미선택(입력값 있음)","상태 미선택 → 미수집 간주"),IF(G198="값 있음",IF(COUNTA(B202:D205)=0,"⚠ 값 있음인데 입력값 없음","✓ 정상"),IF(COUNTA(B202:D205)&gt;0,"⚠ 상태와 입력값 불일치","✓ 정상")))</f>
        <v>✓ 정상</v>
      </c>
      <c r="I198" s="26"/>
    </row>
    <row r="199" ht="24.0" customHeight="1">
      <c r="B199" s="30" t="s">
        <v>326</v>
      </c>
    </row>
    <row r="200" ht="15.75" customHeight="1">
      <c r="A200" s="31" t="s">
        <v>69</v>
      </c>
      <c r="B200" s="11" t="s">
        <v>327</v>
      </c>
      <c r="C200" s="11" t="s">
        <v>328</v>
      </c>
      <c r="D200" s="11" t="s">
        <v>329</v>
      </c>
    </row>
    <row r="201" ht="15.0" customHeight="1">
      <c r="A201" s="32" t="s">
        <v>11</v>
      </c>
      <c r="B201" s="32" t="s">
        <v>330</v>
      </c>
      <c r="C201" s="33" t="s">
        <v>331</v>
      </c>
      <c r="D201" s="32" t="s">
        <v>243</v>
      </c>
    </row>
    <row r="202" ht="36.0" customHeight="1">
      <c r="A202" s="34">
        <v>1.0</v>
      </c>
      <c r="B202" s="19" t="s">
        <v>332</v>
      </c>
      <c r="C202" s="19" t="s">
        <v>333</v>
      </c>
      <c r="D202" s="19" t="s">
        <v>334</v>
      </c>
    </row>
    <row r="203" ht="36.0" customHeight="1">
      <c r="A203" s="34">
        <v>2.0</v>
      </c>
      <c r="B203" s="19" t="s">
        <v>335</v>
      </c>
      <c r="C203" s="19" t="s">
        <v>336</v>
      </c>
      <c r="D203" s="19" t="s">
        <v>337</v>
      </c>
    </row>
    <row r="204" ht="36.0" customHeight="1">
      <c r="A204" s="34">
        <v>3.0</v>
      </c>
      <c r="B204" s="20"/>
      <c r="C204" s="19"/>
      <c r="D204" s="20"/>
    </row>
    <row r="205" ht="36.0" customHeight="1">
      <c r="A205" s="34">
        <v>4.0</v>
      </c>
      <c r="B205" s="20"/>
      <c r="C205" s="19"/>
      <c r="D205" s="20"/>
    </row>
    <row r="206" ht="15.75" customHeight="1"/>
    <row r="207" ht="21.75" customHeight="1">
      <c r="A207" s="8" t="s">
        <v>338</v>
      </c>
      <c r="B207" s="9"/>
      <c r="C207" s="9"/>
      <c r="D207" s="9"/>
      <c r="E207" s="9"/>
      <c r="F207" s="9"/>
      <c r="G207" s="9"/>
      <c r="H207" s="9"/>
      <c r="I207" s="10"/>
    </row>
    <row r="208" ht="21.75" customHeight="1">
      <c r="A208" s="23">
        <v>22.0</v>
      </c>
      <c r="B208" s="24" t="s">
        <v>339</v>
      </c>
      <c r="C208" s="25"/>
      <c r="D208" s="25"/>
      <c r="E208" s="26"/>
      <c r="F208" s="27" t="s">
        <v>58</v>
      </c>
      <c r="G208" s="28" t="s">
        <v>59</v>
      </c>
      <c r="H208" s="29" t="str">
        <f>IF(G208="",IF(COUNTA(B212:I215)&gt;0,"⚠ 상태 미선택(입력값 있음)","상태 미선택 → 미수집 간주"),IF(G208="값 있음",IF(COUNTA(B212:I215)=0,"⚠ 값 있음인데 입력값 없음","✓ 정상"),IF(COUNTA(B212:I215)&gt;0,"⚠ 상태와 입력값 불일치","✓ 정상")))</f>
        <v>✓ 정상</v>
      </c>
      <c r="I208" s="26"/>
    </row>
    <row r="209" ht="24.0" customHeight="1">
      <c r="B209" s="30" t="s">
        <v>340</v>
      </c>
    </row>
    <row r="210" ht="15.75" customHeight="1">
      <c r="A210" s="31" t="s">
        <v>69</v>
      </c>
      <c r="B210" s="11" t="s">
        <v>185</v>
      </c>
      <c r="C210" s="11" t="s">
        <v>341</v>
      </c>
      <c r="D210" s="11" t="s">
        <v>342</v>
      </c>
      <c r="E210" s="11" t="s">
        <v>170</v>
      </c>
      <c r="F210" s="11" t="s">
        <v>171</v>
      </c>
      <c r="G210" s="11" t="s">
        <v>343</v>
      </c>
      <c r="H210" s="11" t="s">
        <v>344</v>
      </c>
      <c r="I210" s="11" t="s">
        <v>345</v>
      </c>
    </row>
    <row r="211" ht="25.5" customHeight="1">
      <c r="A211" s="32" t="s">
        <v>11</v>
      </c>
      <c r="B211" s="33" t="s">
        <v>346</v>
      </c>
      <c r="C211" s="32" t="s">
        <v>19</v>
      </c>
      <c r="D211" s="33" t="s">
        <v>347</v>
      </c>
      <c r="E211" s="33" t="s">
        <v>41</v>
      </c>
      <c r="F211" s="33" t="s">
        <v>348</v>
      </c>
      <c r="G211" s="32" t="s">
        <v>30</v>
      </c>
      <c r="H211" s="32" t="s">
        <v>30</v>
      </c>
      <c r="I211" s="32" t="s">
        <v>19</v>
      </c>
    </row>
    <row r="212" ht="15.75" customHeight="1">
      <c r="A212" s="34">
        <v>1.0</v>
      </c>
      <c r="B212" s="19" t="s">
        <v>349</v>
      </c>
      <c r="C212" s="19" t="s">
        <v>350</v>
      </c>
      <c r="D212" s="19" t="s">
        <v>351</v>
      </c>
      <c r="E212" s="16" t="s">
        <v>352</v>
      </c>
      <c r="F212" s="16" t="s">
        <v>222</v>
      </c>
      <c r="G212" s="20">
        <v>12.0</v>
      </c>
      <c r="H212" s="20">
        <v>30.0</v>
      </c>
      <c r="I212" s="19" t="s">
        <v>353</v>
      </c>
    </row>
    <row r="213" ht="15.75" customHeight="1">
      <c r="A213" s="34">
        <v>2.0</v>
      </c>
      <c r="B213" s="19" t="s">
        <v>349</v>
      </c>
      <c r="C213" s="19" t="s">
        <v>350</v>
      </c>
      <c r="D213" s="19" t="s">
        <v>354</v>
      </c>
      <c r="E213" s="16" t="s">
        <v>40</v>
      </c>
      <c r="F213" s="16" t="s">
        <v>355</v>
      </c>
      <c r="G213" s="20">
        <v>12.0</v>
      </c>
      <c r="H213" s="20">
        <v>30.0</v>
      </c>
      <c r="I213" s="20"/>
    </row>
    <row r="214" ht="15.75" customHeight="1">
      <c r="A214" s="34">
        <v>3.0</v>
      </c>
      <c r="B214" s="19"/>
      <c r="C214" s="20"/>
      <c r="D214" s="19"/>
      <c r="E214" s="16"/>
      <c r="F214" s="16"/>
      <c r="G214" s="20"/>
      <c r="H214" s="20"/>
      <c r="I214" s="20"/>
    </row>
    <row r="215" ht="15.75" customHeight="1">
      <c r="A215" s="34">
        <v>4.0</v>
      </c>
      <c r="B215" s="19"/>
      <c r="C215" s="20"/>
      <c r="D215" s="19"/>
      <c r="E215" s="16"/>
      <c r="F215" s="16"/>
      <c r="G215" s="20"/>
      <c r="H215" s="20"/>
      <c r="I215" s="20"/>
    </row>
    <row r="216" ht="15.75" customHeight="1"/>
    <row r="217" ht="21.75" customHeight="1">
      <c r="A217" s="23">
        <v>23.0</v>
      </c>
      <c r="B217" s="24" t="s">
        <v>356</v>
      </c>
      <c r="C217" s="25"/>
      <c r="D217" s="25"/>
      <c r="E217" s="26"/>
      <c r="F217" s="27" t="s">
        <v>58</v>
      </c>
      <c r="G217" s="28" t="s">
        <v>59</v>
      </c>
      <c r="H217" s="29" t="str">
        <f>IF(G217="",IF(COUNTA(C219,B222:E225)&gt;0,"⚠ 상태 미선택(입력값 있음)","상태 미선택 → 미수집 간주"),IF(G217="값 있음",IF(COUNTA(C219,B222:E225)=0,"⚠ 값 있음인데 입력값 없음","✓ 정상"),IF(COUNTA(C219,B222:E225)&gt;0,"⚠ 상태와 입력값 불일치","✓ 정상")))</f>
        <v>✓ 정상</v>
      </c>
      <c r="I217" s="26"/>
    </row>
    <row r="218" ht="24.0" customHeight="1">
      <c r="B218" s="30" t="s">
        <v>357</v>
      </c>
    </row>
    <row r="219" ht="15.75" customHeight="1">
      <c r="B219" s="15" t="s">
        <v>358</v>
      </c>
      <c r="C219" s="20">
        <v>36.0</v>
      </c>
      <c r="D219" s="17" t="s">
        <v>30</v>
      </c>
      <c r="E219" s="22" t="s">
        <v>359</v>
      </c>
    </row>
    <row r="220" ht="15.75" customHeight="1">
      <c r="A220" s="31" t="s">
        <v>69</v>
      </c>
      <c r="B220" s="11" t="s">
        <v>301</v>
      </c>
      <c r="C220" s="11" t="s">
        <v>360</v>
      </c>
      <c r="D220" s="11" t="s">
        <v>361</v>
      </c>
      <c r="E220" s="11" t="s">
        <v>254</v>
      </c>
    </row>
    <row r="221" ht="25.5" customHeight="1">
      <c r="A221" s="32" t="s">
        <v>11</v>
      </c>
      <c r="B221" s="33" t="s">
        <v>362</v>
      </c>
      <c r="C221" s="32" t="s">
        <v>19</v>
      </c>
      <c r="D221" s="32" t="s">
        <v>30</v>
      </c>
      <c r="E221" s="33" t="s">
        <v>41</v>
      </c>
    </row>
    <row r="222" ht="15.75" customHeight="1">
      <c r="A222" s="34">
        <v>1.0</v>
      </c>
      <c r="B222" s="19" t="s">
        <v>363</v>
      </c>
      <c r="C222" s="19" t="s">
        <v>364</v>
      </c>
      <c r="D222" s="20">
        <v>20.0</v>
      </c>
      <c r="E222" s="16" t="s">
        <v>365</v>
      </c>
    </row>
    <row r="223" ht="15.75" customHeight="1">
      <c r="A223" s="34">
        <v>2.0</v>
      </c>
      <c r="B223" s="19" t="s">
        <v>197</v>
      </c>
      <c r="C223" s="19" t="s">
        <v>366</v>
      </c>
      <c r="D223" s="20">
        <v>16.0</v>
      </c>
      <c r="E223" s="16" t="s">
        <v>367</v>
      </c>
    </row>
    <row r="224" ht="15.75" customHeight="1">
      <c r="A224" s="34">
        <v>3.0</v>
      </c>
      <c r="B224" s="19"/>
      <c r="C224" s="20"/>
      <c r="D224" s="20"/>
      <c r="E224" s="16"/>
    </row>
    <row r="225" ht="15.75" customHeight="1">
      <c r="A225" s="34">
        <v>4.0</v>
      </c>
      <c r="B225" s="19"/>
      <c r="C225" s="20"/>
      <c r="D225" s="20"/>
      <c r="E225" s="16"/>
    </row>
    <row r="226" ht="15.75" customHeight="1"/>
    <row r="227" ht="21.75" customHeight="1">
      <c r="A227" s="40">
        <v>24.0</v>
      </c>
      <c r="B227" s="41" t="s">
        <v>368</v>
      </c>
      <c r="C227" s="25"/>
      <c r="D227" s="25"/>
      <c r="E227" s="26"/>
      <c r="F227" s="42" t="s">
        <v>58</v>
      </c>
      <c r="G227" s="28" t="s">
        <v>59</v>
      </c>
      <c r="H227" s="43" t="str">
        <f>IF(G227="",IF(COUNTA(B231:E233)&gt;0,"⚠ 상태 미선택(입력값 있음)","상태 미선택 → 미수집 간주"),IF(G227="값 있음",IF(COUNTA(B231:E233)=0,"⚠ 값 있음인데 입력값 없음","✓ 정상"),IF(COUNTA(B231:E233)&gt;0,"⚠ 상태와 입력값 불일치","✓ 정상")))</f>
        <v>✓ 정상</v>
      </c>
      <c r="I227" s="26"/>
    </row>
    <row r="228" ht="15.0" customHeight="1">
      <c r="B228" s="30" t="s">
        <v>369</v>
      </c>
    </row>
    <row r="229" ht="15.75" customHeight="1">
      <c r="A229" s="31" t="s">
        <v>69</v>
      </c>
      <c r="B229" s="11" t="s">
        <v>185</v>
      </c>
      <c r="C229" s="11" t="s">
        <v>370</v>
      </c>
      <c r="D229" s="11" t="s">
        <v>371</v>
      </c>
      <c r="E229" s="11" t="s">
        <v>372</v>
      </c>
    </row>
    <row r="230" ht="25.5" customHeight="1">
      <c r="A230" s="32" t="s">
        <v>11</v>
      </c>
      <c r="B230" s="33" t="s">
        <v>373</v>
      </c>
      <c r="C230" s="32" t="s">
        <v>19</v>
      </c>
      <c r="D230" s="32" t="s">
        <v>19</v>
      </c>
      <c r="E230" s="32" t="s">
        <v>30</v>
      </c>
    </row>
    <row r="231" ht="15.75" customHeight="1">
      <c r="A231" s="34">
        <v>1.0</v>
      </c>
      <c r="B231" s="19" t="s">
        <v>374</v>
      </c>
      <c r="C231" s="19" t="s">
        <v>375</v>
      </c>
      <c r="D231" s="19" t="s">
        <v>376</v>
      </c>
      <c r="E231" s="20">
        <v>3.0</v>
      </c>
    </row>
    <row r="232" ht="15.75" customHeight="1">
      <c r="A232" s="34">
        <v>2.0</v>
      </c>
      <c r="B232" s="19"/>
      <c r="C232" s="20"/>
      <c r="D232" s="20"/>
      <c r="E232" s="20"/>
    </row>
    <row r="233" ht="15.75" customHeight="1">
      <c r="A233" s="34">
        <v>3.0</v>
      </c>
      <c r="B233" s="19"/>
      <c r="C233" s="20"/>
      <c r="D233" s="20"/>
      <c r="E233" s="20"/>
    </row>
    <row r="234" ht="15.75" customHeight="1"/>
    <row r="235" ht="21.75" customHeight="1">
      <c r="A235" s="40">
        <v>25.0</v>
      </c>
      <c r="B235" s="41" t="s">
        <v>377</v>
      </c>
      <c r="C235" s="25"/>
      <c r="D235" s="25"/>
      <c r="E235" s="26"/>
      <c r="F235" s="42" t="s">
        <v>58</v>
      </c>
      <c r="G235" s="28" t="s">
        <v>59</v>
      </c>
      <c r="H235" s="43" t="str">
        <f>IF(G235="",IF(COUNTA(B239:G242)&gt;0,"⚠ 상태 미선택(입력값 있음)","상태 미선택 → 미수집 간주"),IF(G235="값 있음",IF(COUNTA(B239:G242)=0,"⚠ 값 있음인데 입력값 없음","✓ 정상"),IF(COUNTA(B239:G242)&gt;0,"⚠ 상태와 입력값 불일치","✓ 정상")))</f>
        <v>✓ 정상</v>
      </c>
      <c r="I235" s="26"/>
    </row>
    <row r="236" ht="24.0" customHeight="1">
      <c r="B236" s="30" t="s">
        <v>378</v>
      </c>
    </row>
    <row r="237" ht="15.75" customHeight="1">
      <c r="A237" s="31" t="s">
        <v>69</v>
      </c>
      <c r="B237" s="11" t="s">
        <v>87</v>
      </c>
      <c r="C237" s="11" t="s">
        <v>70</v>
      </c>
      <c r="D237" s="11" t="s">
        <v>379</v>
      </c>
      <c r="E237" s="11" t="s">
        <v>380</v>
      </c>
      <c r="F237" s="11" t="s">
        <v>381</v>
      </c>
      <c r="G237" s="11" t="s">
        <v>382</v>
      </c>
    </row>
    <row r="238" ht="25.5" customHeight="1">
      <c r="A238" s="32" t="s">
        <v>11</v>
      </c>
      <c r="B238" s="32" t="s">
        <v>19</v>
      </c>
      <c r="C238" s="33" t="s">
        <v>383</v>
      </c>
      <c r="D238" s="32" t="s">
        <v>30</v>
      </c>
      <c r="E238" s="32" t="s">
        <v>30</v>
      </c>
      <c r="F238" s="32" t="s">
        <v>30</v>
      </c>
      <c r="G238" s="32" t="s">
        <v>19</v>
      </c>
    </row>
    <row r="239" ht="15.75" customHeight="1">
      <c r="A239" s="34">
        <v>1.0</v>
      </c>
      <c r="B239" s="19" t="s">
        <v>101</v>
      </c>
      <c r="C239" s="16" t="s">
        <v>83</v>
      </c>
      <c r="D239" s="20">
        <v>4.2</v>
      </c>
      <c r="E239" s="20">
        <v>5.0</v>
      </c>
      <c r="F239" s="20">
        <v>4.0</v>
      </c>
      <c r="G239" s="19" t="s">
        <v>384</v>
      </c>
    </row>
    <row r="240" ht="15.75" customHeight="1">
      <c r="A240" s="34">
        <v>2.0</v>
      </c>
      <c r="B240" s="20"/>
      <c r="C240" s="16"/>
      <c r="D240" s="20"/>
      <c r="E240" s="20"/>
      <c r="F240" s="20"/>
      <c r="G240" s="20"/>
    </row>
    <row r="241" ht="15.75" customHeight="1">
      <c r="A241" s="34">
        <v>3.0</v>
      </c>
      <c r="B241" s="20"/>
      <c r="C241" s="16"/>
      <c r="D241" s="20"/>
      <c r="E241" s="20"/>
      <c r="F241" s="20"/>
      <c r="G241" s="20"/>
    </row>
    <row r="242" ht="15.75" customHeight="1">
      <c r="A242" s="34">
        <v>4.0</v>
      </c>
      <c r="B242" s="20"/>
      <c r="C242" s="16"/>
      <c r="D242" s="20"/>
      <c r="E242" s="20"/>
      <c r="F242" s="20"/>
      <c r="G242" s="20"/>
    </row>
    <row r="243" ht="15.75" customHeight="1"/>
    <row r="244" ht="21.75" customHeight="1">
      <c r="A244" s="8" t="s">
        <v>385</v>
      </c>
      <c r="B244" s="9"/>
      <c r="C244" s="9"/>
      <c r="D244" s="9"/>
      <c r="E244" s="9"/>
      <c r="F244" s="9"/>
      <c r="G244" s="9"/>
      <c r="H244" s="9"/>
      <c r="I244" s="10"/>
    </row>
    <row r="245" ht="21.75" customHeight="1">
      <c r="A245" s="23">
        <v>26.0</v>
      </c>
      <c r="B245" s="24" t="s">
        <v>386</v>
      </c>
      <c r="C245" s="25"/>
      <c r="D245" s="25"/>
      <c r="E245" s="26"/>
      <c r="F245" s="27" t="s">
        <v>58</v>
      </c>
      <c r="G245" s="28" t="s">
        <v>59</v>
      </c>
      <c r="H245" s="29" t="str">
        <f>IF(G245="",IF(COUNTA(B249:F252)&gt;0,"⚠ 상태 미선택(입력값 있음)","상태 미선택 → 미수집 간주"),IF(G245="값 있음",IF(COUNTA(B249:F252)=0,"⚠ 값 있음인데 입력값 없음","✓ 정상"),IF(COUNTA(B249:F252)&gt;0,"⚠ 상태와 입력값 불일치","✓ 정상")))</f>
        <v>✓ 정상</v>
      </c>
      <c r="I245" s="26"/>
    </row>
    <row r="246" ht="24.0" customHeight="1">
      <c r="B246" s="30" t="s">
        <v>387</v>
      </c>
    </row>
    <row r="247" ht="15.75" customHeight="1">
      <c r="A247" s="31" t="s">
        <v>69</v>
      </c>
      <c r="B247" s="11" t="s">
        <v>388</v>
      </c>
      <c r="C247" s="11" t="s">
        <v>389</v>
      </c>
      <c r="D247" s="11" t="s">
        <v>390</v>
      </c>
      <c r="E247" s="11" t="s">
        <v>391</v>
      </c>
      <c r="F247" s="11" t="s">
        <v>392</v>
      </c>
    </row>
    <row r="248" ht="37.5" customHeight="1">
      <c r="A248" s="32" t="s">
        <v>11</v>
      </c>
      <c r="B248" s="33" t="s">
        <v>393</v>
      </c>
      <c r="C248" s="32" t="s">
        <v>30</v>
      </c>
      <c r="D248" s="32" t="s">
        <v>394</v>
      </c>
      <c r="E248" s="33" t="s">
        <v>50</v>
      </c>
      <c r="F248" s="33" t="s">
        <v>50</v>
      </c>
    </row>
    <row r="249" ht="15.75" customHeight="1">
      <c r="A249" s="34">
        <v>1.0</v>
      </c>
      <c r="B249" s="20" t="s">
        <v>395</v>
      </c>
      <c r="C249" s="20">
        <v>780.0</v>
      </c>
      <c r="D249" s="20"/>
      <c r="E249" s="16" t="s">
        <v>396</v>
      </c>
      <c r="F249" s="16" t="s">
        <v>397</v>
      </c>
    </row>
    <row r="250" ht="15.75" customHeight="1">
      <c r="A250" s="34">
        <v>2.0</v>
      </c>
      <c r="B250" s="20"/>
      <c r="C250" s="20"/>
      <c r="D250" s="20"/>
      <c r="E250" s="16"/>
      <c r="F250" s="16"/>
    </row>
    <row r="251" ht="15.75" customHeight="1">
      <c r="A251" s="34">
        <v>3.0</v>
      </c>
      <c r="B251" s="20"/>
      <c r="C251" s="20"/>
      <c r="D251" s="20"/>
      <c r="E251" s="16"/>
      <c r="F251" s="16"/>
    </row>
    <row r="252" ht="15.75" customHeight="1">
      <c r="A252" s="34">
        <v>4.0</v>
      </c>
      <c r="B252" s="20"/>
      <c r="C252" s="20"/>
      <c r="D252" s="20"/>
      <c r="E252" s="16"/>
      <c r="F252" s="16"/>
    </row>
    <row r="253" ht="15.75" customHeight="1"/>
    <row r="254" ht="21.75" customHeight="1">
      <c r="A254" s="23">
        <v>27.0</v>
      </c>
      <c r="B254" s="24" t="s">
        <v>398</v>
      </c>
      <c r="C254" s="25"/>
      <c r="D254" s="25"/>
      <c r="E254" s="26"/>
      <c r="F254" s="27" t="s">
        <v>58</v>
      </c>
      <c r="G254" s="28" t="s">
        <v>59</v>
      </c>
      <c r="H254" s="29" t="str">
        <f>IF(G254="",IF(COUNTA(B258:E262)&gt;0,"⚠ 상태 미선택(입력값 있음)","상태 미선택 → 미수집 간주"),IF(G254="값 있음",IF(COUNTA(B258:E262)=0,"⚠ 값 있음인데 입력값 없음","✓ 정상"),IF(COUNTA(B258:E262)&gt;0,"⚠ 상태와 입력값 불일치","✓ 정상")))</f>
        <v>✓ 정상</v>
      </c>
      <c r="I254" s="26"/>
    </row>
    <row r="255" ht="24.0" customHeight="1">
      <c r="B255" s="30" t="s">
        <v>399</v>
      </c>
    </row>
    <row r="256" ht="15.75" customHeight="1">
      <c r="A256" s="31" t="s">
        <v>69</v>
      </c>
      <c r="B256" s="11" t="s">
        <v>400</v>
      </c>
      <c r="C256" s="11" t="s">
        <v>401</v>
      </c>
      <c r="D256" s="11" t="s">
        <v>402</v>
      </c>
      <c r="E256" s="11" t="s">
        <v>403</v>
      </c>
    </row>
    <row r="257" ht="15.0" customHeight="1">
      <c r="A257" s="32" t="s">
        <v>11</v>
      </c>
      <c r="B257" s="32" t="s">
        <v>19</v>
      </c>
      <c r="C257" s="32" t="s">
        <v>19</v>
      </c>
      <c r="D257" s="32" t="s">
        <v>19</v>
      </c>
      <c r="E257" s="33" t="s">
        <v>50</v>
      </c>
    </row>
    <row r="258" ht="15.75" customHeight="1">
      <c r="A258" s="34">
        <v>1.0</v>
      </c>
      <c r="B258" s="19" t="s">
        <v>404</v>
      </c>
      <c r="C258" s="19" t="s">
        <v>405</v>
      </c>
      <c r="D258" s="19" t="s">
        <v>406</v>
      </c>
      <c r="E258" s="16" t="s">
        <v>407</v>
      </c>
    </row>
    <row r="259" ht="15.75" customHeight="1">
      <c r="A259" s="34">
        <v>2.0</v>
      </c>
      <c r="B259" s="19" t="s">
        <v>408</v>
      </c>
      <c r="C259" s="20" t="s">
        <v>409</v>
      </c>
      <c r="D259" s="19" t="s">
        <v>410</v>
      </c>
      <c r="E259" s="16" t="s">
        <v>411</v>
      </c>
    </row>
    <row r="260" ht="15.75" customHeight="1">
      <c r="A260" s="34">
        <v>3.0</v>
      </c>
      <c r="B260" s="20"/>
      <c r="C260" s="20"/>
      <c r="D260" s="20"/>
      <c r="E260" s="16"/>
    </row>
    <row r="261" ht="15.75" customHeight="1">
      <c r="A261" s="34">
        <v>4.0</v>
      </c>
      <c r="B261" s="20"/>
      <c r="C261" s="20"/>
      <c r="D261" s="20"/>
      <c r="E261" s="16"/>
    </row>
    <row r="262" ht="15.75" customHeight="1">
      <c r="A262" s="34">
        <v>5.0</v>
      </c>
      <c r="B262" s="20"/>
      <c r="C262" s="20"/>
      <c r="D262" s="20"/>
      <c r="E262" s="16"/>
    </row>
    <row r="263" ht="15.75" customHeight="1"/>
    <row r="264" ht="21.75" customHeight="1">
      <c r="A264" s="35">
        <v>28.0</v>
      </c>
      <c r="B264" s="36" t="s">
        <v>412</v>
      </c>
      <c r="C264" s="25"/>
      <c r="D264" s="25"/>
      <c r="E264" s="26"/>
      <c r="F264" s="37" t="s">
        <v>58</v>
      </c>
      <c r="G264" s="28" t="s">
        <v>202</v>
      </c>
      <c r="H264" s="38" t="str">
        <f>IF(G264="",IF(COUNTA(B268:D269)&gt;0,"⚠ 상태 미선택(입력값 있음)","상태 미선택 → 미수집 간주"),IF(G264="값 있음",IF(COUNTA(B268:D269)=0,"⚠ 값 있음인데 입력값 없음","✓ 정상"),IF(COUNTA(B268:D269)&gt;0,"⚠ 상태와 입력값 불일치","✓ 정상")))</f>
        <v>✓ 정상</v>
      </c>
      <c r="I264" s="26"/>
    </row>
    <row r="265" ht="15.0" customHeight="1">
      <c r="B265" s="30" t="s">
        <v>413</v>
      </c>
    </row>
    <row r="266" ht="15.75" customHeight="1">
      <c r="A266" s="31" t="s">
        <v>69</v>
      </c>
      <c r="B266" s="11" t="s">
        <v>388</v>
      </c>
      <c r="C266" s="11" t="s">
        <v>414</v>
      </c>
      <c r="D266" s="11" t="s">
        <v>415</v>
      </c>
    </row>
    <row r="267" ht="25.5" customHeight="1">
      <c r="A267" s="32" t="s">
        <v>11</v>
      </c>
      <c r="B267" s="32" t="s">
        <v>19</v>
      </c>
      <c r="C267" s="33" t="s">
        <v>416</v>
      </c>
      <c r="D267" s="33" t="s">
        <v>417</v>
      </c>
    </row>
    <row r="268" ht="15.75" customHeight="1">
      <c r="A268" s="34">
        <v>1.0</v>
      </c>
      <c r="B268" s="20"/>
      <c r="C268" s="20"/>
      <c r="D268" s="16"/>
    </row>
    <row r="269" ht="15.75" customHeight="1">
      <c r="A269" s="34">
        <v>2.0</v>
      </c>
      <c r="B269" s="20"/>
      <c r="C269" s="20"/>
      <c r="D269" s="16"/>
    </row>
    <row r="270" ht="15.75" customHeight="1"/>
    <row r="271" ht="21.75" customHeight="1">
      <c r="A271" s="35">
        <v>29.0</v>
      </c>
      <c r="B271" s="45" t="s">
        <v>418</v>
      </c>
      <c r="C271" s="25"/>
      <c r="D271" s="25"/>
      <c r="E271" s="26"/>
      <c r="F271" s="37" t="s">
        <v>58</v>
      </c>
      <c r="G271" s="28" t="s">
        <v>59</v>
      </c>
      <c r="H271" s="38" t="str">
        <f>IF(G271="",IF(COUNTA(C273:C277)&gt;0,"⚠ 상태 미선택(입력값 있음)","상태 미선택 → 미수집 간주"),IF(G271="값 있음",IF(COUNTA(C273:C277)=0,"⚠ 값 있음인데 입력값 없음","✓ 정상"),IF(COUNTA(C273:C277)&gt;0,"⚠ 상태와 입력값 불일치","✓ 정상")))</f>
        <v>✓ 정상</v>
      </c>
      <c r="I271" s="26"/>
    </row>
    <row r="272" ht="24.0" customHeight="1">
      <c r="B272" s="30" t="s">
        <v>419</v>
      </c>
    </row>
    <row r="273" ht="15.75" customHeight="1">
      <c r="B273" s="15" t="s">
        <v>420</v>
      </c>
      <c r="C273" s="19" t="s">
        <v>421</v>
      </c>
      <c r="D273" s="17" t="s">
        <v>34</v>
      </c>
      <c r="E273" s="22" t="s">
        <v>422</v>
      </c>
    </row>
    <row r="274" ht="15.75" customHeight="1">
      <c r="B274" s="15" t="s">
        <v>423</v>
      </c>
      <c r="C274" s="19" t="s">
        <v>424</v>
      </c>
      <c r="D274" s="17" t="s">
        <v>34</v>
      </c>
      <c r="E274" s="22" t="s">
        <v>425</v>
      </c>
    </row>
    <row r="275" ht="15.75" customHeight="1">
      <c r="B275" s="15" t="s">
        <v>426</v>
      </c>
      <c r="C275" s="19" t="s">
        <v>421</v>
      </c>
      <c r="D275" s="17" t="s">
        <v>34</v>
      </c>
      <c r="E275" s="22" t="s">
        <v>427</v>
      </c>
    </row>
    <row r="276" ht="15.75" customHeight="1">
      <c r="B276" s="46" t="s">
        <v>428</v>
      </c>
      <c r="C276" s="19" t="s">
        <v>181</v>
      </c>
      <c r="D276" s="17" t="s">
        <v>34</v>
      </c>
      <c r="E276" s="22" t="s">
        <v>429</v>
      </c>
    </row>
    <row r="277" ht="15.75" customHeight="1">
      <c r="B277" s="15" t="s">
        <v>430</v>
      </c>
      <c r="C277" s="19" t="s">
        <v>421</v>
      </c>
      <c r="D277" s="17" t="s">
        <v>34</v>
      </c>
      <c r="E277" s="22" t="s">
        <v>431</v>
      </c>
    </row>
    <row r="278" ht="15.75" customHeight="1"/>
    <row r="279" ht="21.75" customHeight="1">
      <c r="A279" s="35">
        <v>30.0</v>
      </c>
      <c r="B279" s="36" t="s">
        <v>432</v>
      </c>
      <c r="C279" s="25"/>
      <c r="D279" s="25"/>
      <c r="E279" s="26"/>
      <c r="F279" s="37" t="s">
        <v>58</v>
      </c>
      <c r="G279" s="28" t="s">
        <v>59</v>
      </c>
      <c r="H279" s="38" t="str">
        <f>IF(G279="",IF(COUNTA(C281:C283)&gt;0,"⚠ 상태 미선택(입력값 있음)","상태 미선택 → 미수집 간주"),IF(G279="값 있음",IF(COUNTA(C281:C283)=0,"⚠ 값 있음인데 입력값 없음","✓ 정상"),IF(COUNTA(C281:C283)&gt;0,"⚠ 상태와 입력값 불일치","✓ 정상")))</f>
        <v>✓ 정상</v>
      </c>
      <c r="I279" s="26"/>
    </row>
    <row r="280" ht="15.0" customHeight="1">
      <c r="B280" s="30" t="s">
        <v>433</v>
      </c>
    </row>
    <row r="281" ht="15.75" customHeight="1">
      <c r="B281" s="15" t="s">
        <v>434</v>
      </c>
      <c r="C281" s="20">
        <v>94.0</v>
      </c>
      <c r="D281" s="17" t="s">
        <v>30</v>
      </c>
      <c r="E281" s="18"/>
    </row>
    <row r="282" ht="15.75" customHeight="1">
      <c r="B282" s="15" t="s">
        <v>435</v>
      </c>
      <c r="C282" s="20">
        <v>90.0</v>
      </c>
      <c r="D282" s="17" t="s">
        <v>30</v>
      </c>
      <c r="E282" s="18" t="s">
        <v>436</v>
      </c>
    </row>
    <row r="283" ht="15.75" customHeight="1">
      <c r="B283" s="15" t="s">
        <v>437</v>
      </c>
      <c r="C283" s="16" t="s">
        <v>438</v>
      </c>
      <c r="D283" s="21" t="s">
        <v>50</v>
      </c>
      <c r="E283" s="18"/>
    </row>
    <row r="284" ht="15.75" customHeight="1"/>
    <row r="285" ht="21.75" customHeight="1">
      <c r="A285" s="8" t="s">
        <v>439</v>
      </c>
      <c r="B285" s="9"/>
      <c r="C285" s="9"/>
      <c r="D285" s="9"/>
      <c r="E285" s="9"/>
      <c r="F285" s="9"/>
      <c r="G285" s="9"/>
      <c r="H285" s="9"/>
      <c r="I285" s="10"/>
    </row>
    <row r="286" ht="21.75" customHeight="1">
      <c r="A286" s="35">
        <v>31.0</v>
      </c>
      <c r="B286" s="45" t="s">
        <v>440</v>
      </c>
      <c r="C286" s="25"/>
      <c r="D286" s="25"/>
      <c r="E286" s="26"/>
      <c r="F286" s="37" t="s">
        <v>58</v>
      </c>
      <c r="G286" s="28" t="s">
        <v>59</v>
      </c>
      <c r="H286" s="38" t="str">
        <f>IF(G286="",IF(COUNTA(C288,B291:D296)&gt;0,"⚠ 상태 미선택(입력값 있음)","상태 미선택 → 미수집 간주"),IF(G286="값 있음",IF(COUNTA(C288,B291:D296)=0,"⚠ 값 있음인데 입력값 없음","✓ 정상"),IF(COUNTA(C288,B291:D296)&gt;0,"⚠ 상태와 입력값 불일치","✓ 정상")))</f>
        <v>✓ 정상</v>
      </c>
      <c r="I286" s="26"/>
    </row>
    <row r="287" ht="24.0" customHeight="1">
      <c r="B287" s="30" t="s">
        <v>441</v>
      </c>
    </row>
    <row r="288" ht="15.75" customHeight="1">
      <c r="B288" s="15" t="s">
        <v>442</v>
      </c>
      <c r="C288" s="16" t="s">
        <v>443</v>
      </c>
      <c r="D288" s="21" t="s">
        <v>50</v>
      </c>
      <c r="E288" s="18"/>
    </row>
    <row r="289" ht="15.75" customHeight="1">
      <c r="A289" s="31" t="s">
        <v>69</v>
      </c>
      <c r="B289" s="11" t="s">
        <v>444</v>
      </c>
      <c r="C289" s="11" t="s">
        <v>445</v>
      </c>
      <c r="D289" s="11" t="s">
        <v>380</v>
      </c>
    </row>
    <row r="290" ht="15.0" customHeight="1">
      <c r="A290" s="32" t="s">
        <v>11</v>
      </c>
      <c r="B290" s="32" t="s">
        <v>446</v>
      </c>
      <c r="C290" s="32" t="s">
        <v>30</v>
      </c>
      <c r="D290" s="32" t="s">
        <v>30</v>
      </c>
    </row>
    <row r="291" ht="15.75" customHeight="1">
      <c r="A291" s="34">
        <v>1.0</v>
      </c>
      <c r="B291" s="19" t="s">
        <v>447</v>
      </c>
      <c r="C291" s="20">
        <v>3.8</v>
      </c>
      <c r="D291" s="20">
        <v>5.0</v>
      </c>
    </row>
    <row r="292" ht="15.75" customHeight="1">
      <c r="A292" s="34">
        <v>2.0</v>
      </c>
      <c r="B292" s="19" t="s">
        <v>448</v>
      </c>
      <c r="C292" s="20">
        <v>3.5</v>
      </c>
      <c r="D292" s="20">
        <v>5.0</v>
      </c>
    </row>
    <row r="293" ht="15.75" customHeight="1">
      <c r="A293" s="34">
        <v>3.0</v>
      </c>
      <c r="B293" s="19" t="s">
        <v>449</v>
      </c>
      <c r="C293" s="20">
        <v>4.3</v>
      </c>
      <c r="D293" s="20">
        <v>5.0</v>
      </c>
    </row>
    <row r="294" ht="15.75" customHeight="1">
      <c r="A294" s="34">
        <v>4.0</v>
      </c>
      <c r="B294" s="19" t="s">
        <v>450</v>
      </c>
      <c r="C294" s="20">
        <v>4.0</v>
      </c>
      <c r="D294" s="20">
        <v>5.0</v>
      </c>
    </row>
    <row r="295" ht="15.75" customHeight="1">
      <c r="A295" s="34">
        <v>5.0</v>
      </c>
      <c r="B295" s="19" t="s">
        <v>451</v>
      </c>
      <c r="C295" s="20">
        <v>3.0</v>
      </c>
      <c r="D295" s="20">
        <v>5.0</v>
      </c>
    </row>
    <row r="296" ht="15.75" customHeight="1">
      <c r="A296" s="34">
        <v>6.0</v>
      </c>
      <c r="B296" s="19" t="s">
        <v>452</v>
      </c>
      <c r="C296" s="20">
        <v>4.1</v>
      </c>
      <c r="D296" s="20">
        <v>5.0</v>
      </c>
    </row>
    <row r="297" ht="15.75" customHeight="1"/>
    <row r="298" ht="21.75" customHeight="1">
      <c r="A298" s="35">
        <v>32.0</v>
      </c>
      <c r="B298" s="36" t="s">
        <v>453</v>
      </c>
      <c r="C298" s="25"/>
      <c r="D298" s="25"/>
      <c r="E298" s="26"/>
      <c r="F298" s="37" t="s">
        <v>58</v>
      </c>
      <c r="G298" s="28" t="s">
        <v>59</v>
      </c>
      <c r="H298" s="38" t="str">
        <f>IF(G298="",IF(COUNTA(C300:C303)&gt;0,"⚠ 상태 미선택(입력값 있음)","상태 미선택 → 미수집 간주"),IF(G298="값 있음",IF(COUNTA(C300:C303)=0,"⚠ 값 있음인데 입력값 없음","✓ 정상"),IF(COUNTA(C300:C303)&gt;0,"⚠ 상태와 입력값 불일치","✓ 정상")))</f>
        <v>✓ 정상</v>
      </c>
      <c r="I298" s="26"/>
    </row>
    <row r="299" ht="15.0" customHeight="1">
      <c r="B299" s="30" t="s">
        <v>454</v>
      </c>
    </row>
    <row r="300" ht="15.75" customHeight="1">
      <c r="B300" s="15" t="s">
        <v>442</v>
      </c>
      <c r="C300" s="16" t="s">
        <v>443</v>
      </c>
      <c r="D300" s="21" t="s">
        <v>50</v>
      </c>
      <c r="E300" s="18"/>
    </row>
    <row r="301" ht="15.75" customHeight="1">
      <c r="B301" s="15" t="s">
        <v>455</v>
      </c>
      <c r="C301" s="20">
        <v>72.0</v>
      </c>
      <c r="D301" s="17" t="s">
        <v>30</v>
      </c>
      <c r="E301" s="18"/>
    </row>
    <row r="302" ht="15.75" customHeight="1">
      <c r="B302" s="15" t="s">
        <v>380</v>
      </c>
      <c r="C302" s="20">
        <v>100.0</v>
      </c>
      <c r="D302" s="17" t="s">
        <v>30</v>
      </c>
      <c r="E302" s="18"/>
    </row>
    <row r="303" ht="30.0" customHeight="1">
      <c r="B303" s="15" t="s">
        <v>456</v>
      </c>
      <c r="C303" s="19" t="s">
        <v>457</v>
      </c>
      <c r="D303" s="17" t="s">
        <v>19</v>
      </c>
      <c r="E303" s="18" t="s">
        <v>458</v>
      </c>
    </row>
    <row r="304" ht="15.75" customHeight="1"/>
    <row r="305" ht="21.75" customHeight="1">
      <c r="A305" s="40">
        <v>33.0</v>
      </c>
      <c r="B305" s="41" t="s">
        <v>459</v>
      </c>
      <c r="C305" s="25"/>
      <c r="D305" s="25"/>
      <c r="E305" s="26"/>
      <c r="F305" s="42" t="s">
        <v>58</v>
      </c>
      <c r="G305" s="28" t="s">
        <v>59</v>
      </c>
      <c r="H305" s="43" t="str">
        <f>IF(G305="",IF(COUNTA(B309:G311)&gt;0,"⚠ 상태 미선택(입력값 있음)","상태 미선택 → 미수집 간주"),IF(G305="값 있음",IF(COUNTA(B309:G311)=0,"⚠ 값 있음인데 입력값 없음","✓ 정상"),IF(COUNTA(B309:G311)&gt;0,"⚠ 상태와 입력값 불일치","✓ 정상")))</f>
        <v>✓ 정상</v>
      </c>
      <c r="I305" s="26"/>
    </row>
    <row r="306" ht="24.0" customHeight="1">
      <c r="B306" s="30" t="s">
        <v>460</v>
      </c>
    </row>
    <row r="307" ht="15.75" customHeight="1">
      <c r="A307" s="31" t="s">
        <v>69</v>
      </c>
      <c r="B307" s="11" t="s">
        <v>461</v>
      </c>
      <c r="C307" s="11" t="s">
        <v>462</v>
      </c>
      <c r="D307" s="11" t="s">
        <v>463</v>
      </c>
      <c r="E307" s="11" t="s">
        <v>464</v>
      </c>
      <c r="F307" s="11" t="s">
        <v>465</v>
      </c>
      <c r="G307" s="11" t="s">
        <v>466</v>
      </c>
    </row>
    <row r="308" ht="15.0" customHeight="1">
      <c r="A308" s="32" t="s">
        <v>11</v>
      </c>
      <c r="B308" s="32" t="s">
        <v>467</v>
      </c>
      <c r="C308" s="32" t="s">
        <v>19</v>
      </c>
      <c r="D308" s="32" t="s">
        <v>243</v>
      </c>
      <c r="E308" s="32" t="s">
        <v>243</v>
      </c>
      <c r="F308" s="32" t="s">
        <v>243</v>
      </c>
      <c r="G308" s="32" t="s">
        <v>468</v>
      </c>
    </row>
    <row r="309" ht="60.0" customHeight="1">
      <c r="A309" s="34">
        <v>1.0</v>
      </c>
      <c r="B309" s="20">
        <v>22.0</v>
      </c>
      <c r="C309" s="19" t="s">
        <v>469</v>
      </c>
      <c r="D309" s="19" t="s">
        <v>470</v>
      </c>
      <c r="E309" s="19" t="s">
        <v>471</v>
      </c>
      <c r="F309" s="19" t="s">
        <v>472</v>
      </c>
      <c r="G309" s="19" t="s">
        <v>473</v>
      </c>
    </row>
    <row r="310" ht="60.0" customHeight="1">
      <c r="A310" s="34">
        <v>2.0</v>
      </c>
      <c r="B310" s="20"/>
      <c r="C310" s="20"/>
      <c r="D310" s="20"/>
      <c r="E310" s="20"/>
      <c r="F310" s="20"/>
      <c r="G310" s="20"/>
    </row>
    <row r="311" ht="60.0" customHeight="1">
      <c r="A311" s="34">
        <v>3.0</v>
      </c>
      <c r="B311" s="20"/>
      <c r="C311" s="20"/>
      <c r="D311" s="20"/>
      <c r="E311" s="20"/>
      <c r="F311" s="20"/>
      <c r="G311" s="20"/>
    </row>
    <row r="312" ht="15.75" customHeight="1"/>
    <row r="313" ht="21.75" customHeight="1">
      <c r="A313" s="40">
        <v>34.0</v>
      </c>
      <c r="B313" s="41" t="s">
        <v>474</v>
      </c>
      <c r="C313" s="25"/>
      <c r="D313" s="25"/>
      <c r="E313" s="26"/>
      <c r="F313" s="42" t="s">
        <v>58</v>
      </c>
      <c r="G313" s="28" t="s">
        <v>475</v>
      </c>
      <c r="H313" s="43" t="str">
        <f>IF(G313="",IF(COUNTA(B317:F318)&gt;0,"⚠ 상태 미선택(입력값 있음)","상태 미선택 → 미수집 간주"),IF(G313="값 있음",IF(COUNTA(B317:F318)=0,"⚠ 값 있음인데 입력값 없음","✓ 정상"),IF(COUNTA(B317:F318)&gt;0,"⚠ 상태와 입력값 불일치","✓ 정상")))</f>
        <v>✓ 정상</v>
      </c>
      <c r="I313" s="26"/>
    </row>
    <row r="314" ht="15.0" customHeight="1">
      <c r="B314" s="30" t="s">
        <v>476</v>
      </c>
    </row>
    <row r="315" ht="15.75" customHeight="1">
      <c r="A315" s="31" t="s">
        <v>69</v>
      </c>
      <c r="B315" s="11" t="s">
        <v>477</v>
      </c>
      <c r="C315" s="11" t="s">
        <v>478</v>
      </c>
      <c r="D315" s="11" t="s">
        <v>479</v>
      </c>
      <c r="E315" s="11" t="s">
        <v>480</v>
      </c>
      <c r="F315" s="11" t="s">
        <v>481</v>
      </c>
    </row>
    <row r="316" ht="15.0" customHeight="1">
      <c r="A316" s="32" t="s">
        <v>11</v>
      </c>
      <c r="B316" s="32" t="s">
        <v>19</v>
      </c>
      <c r="C316" s="33" t="s">
        <v>482</v>
      </c>
      <c r="D316" s="32" t="s">
        <v>19</v>
      </c>
      <c r="E316" s="32" t="s">
        <v>243</v>
      </c>
      <c r="F316" s="33" t="s">
        <v>50</v>
      </c>
    </row>
    <row r="317" ht="36.0" customHeight="1">
      <c r="A317" s="34">
        <v>1.0</v>
      </c>
      <c r="B317" s="20"/>
      <c r="C317" s="20"/>
      <c r="D317" s="20"/>
      <c r="E317" s="20"/>
      <c r="F317" s="16"/>
    </row>
    <row r="318" ht="36.0" customHeight="1">
      <c r="A318" s="34">
        <v>2.0</v>
      </c>
      <c r="B318" s="20"/>
      <c r="C318" s="20"/>
      <c r="D318" s="20"/>
      <c r="E318" s="20"/>
      <c r="F318" s="16"/>
    </row>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4">
    <mergeCell ref="A1:I1"/>
    <mergeCell ref="A2:I2"/>
    <mergeCell ref="F3:I3"/>
    <mergeCell ref="A5:I5"/>
    <mergeCell ref="E6:I6"/>
    <mergeCell ref="E7:I7"/>
    <mergeCell ref="E8:I8"/>
    <mergeCell ref="E9:I9"/>
    <mergeCell ref="E10:I10"/>
    <mergeCell ref="E11:I11"/>
    <mergeCell ref="E12:I12"/>
    <mergeCell ref="E13:I13"/>
    <mergeCell ref="E14:I14"/>
    <mergeCell ref="E15:I15"/>
    <mergeCell ref="E16:I16"/>
    <mergeCell ref="E17:I17"/>
    <mergeCell ref="E18:I18"/>
    <mergeCell ref="E19:I19"/>
    <mergeCell ref="E20:I20"/>
    <mergeCell ref="A22:I22"/>
    <mergeCell ref="H23:I23"/>
    <mergeCell ref="B23:E23"/>
    <mergeCell ref="B24:I24"/>
    <mergeCell ref="E25:I25"/>
    <mergeCell ref="E26:I26"/>
    <mergeCell ref="E27:I27"/>
    <mergeCell ref="H39:I39"/>
    <mergeCell ref="B40:I40"/>
    <mergeCell ref="B39:E39"/>
    <mergeCell ref="B49:E49"/>
    <mergeCell ref="H49:I49"/>
    <mergeCell ref="B50:I50"/>
    <mergeCell ref="E51:I51"/>
    <mergeCell ref="E52:I52"/>
    <mergeCell ref="H60:I60"/>
    <mergeCell ref="B60:E60"/>
    <mergeCell ref="B61:I61"/>
    <mergeCell ref="E62:I62"/>
    <mergeCell ref="E63:I63"/>
    <mergeCell ref="E64:I64"/>
    <mergeCell ref="A66:I66"/>
    <mergeCell ref="H67:I67"/>
    <mergeCell ref="B67:E67"/>
    <mergeCell ref="B68:I68"/>
    <mergeCell ref="E69:I69"/>
    <mergeCell ref="E70:I70"/>
    <mergeCell ref="E71:I71"/>
    <mergeCell ref="E72:I72"/>
    <mergeCell ref="E73:I73"/>
    <mergeCell ref="E74:I74"/>
    <mergeCell ref="B76:E76"/>
    <mergeCell ref="H76:I76"/>
    <mergeCell ref="B77:I77"/>
    <mergeCell ref="E78:I78"/>
    <mergeCell ref="E79:I79"/>
    <mergeCell ref="E80:I80"/>
    <mergeCell ref="E81:I81"/>
    <mergeCell ref="B83:E83"/>
    <mergeCell ref="H83:I83"/>
    <mergeCell ref="B84:I84"/>
    <mergeCell ref="E85:I85"/>
    <mergeCell ref="E86:I86"/>
    <mergeCell ref="E87:I87"/>
    <mergeCell ref="E88:I88"/>
    <mergeCell ref="A90:I90"/>
    <mergeCell ref="B91:E91"/>
    <mergeCell ref="H91:I91"/>
    <mergeCell ref="B92:I92"/>
    <mergeCell ref="H100:I100"/>
    <mergeCell ref="B101:I101"/>
    <mergeCell ref="B100:E100"/>
    <mergeCell ref="B108:E108"/>
    <mergeCell ref="H108:I108"/>
    <mergeCell ref="B109:I109"/>
    <mergeCell ref="A116:I116"/>
    <mergeCell ref="H117:I117"/>
    <mergeCell ref="B118:I118"/>
    <mergeCell ref="B117:E117"/>
    <mergeCell ref="B125:E125"/>
    <mergeCell ref="H125:I125"/>
    <mergeCell ref="B126:I126"/>
    <mergeCell ref="B133:E133"/>
    <mergeCell ref="H133:I133"/>
    <mergeCell ref="B134:I134"/>
    <mergeCell ref="E135:I135"/>
    <mergeCell ref="E136:I136"/>
    <mergeCell ref="E137:I137"/>
    <mergeCell ref="E138:I138"/>
    <mergeCell ref="A140:I140"/>
    <mergeCell ref="H141:I141"/>
    <mergeCell ref="B142:I142"/>
    <mergeCell ref="B141:E141"/>
    <mergeCell ref="B151:E151"/>
    <mergeCell ref="H151:I151"/>
    <mergeCell ref="B152:I152"/>
    <mergeCell ref="B158:E158"/>
    <mergeCell ref="H158:I158"/>
    <mergeCell ref="B159:I159"/>
    <mergeCell ref="B264:E264"/>
    <mergeCell ref="B265:I265"/>
    <mergeCell ref="B271:E271"/>
    <mergeCell ref="H271:I271"/>
    <mergeCell ref="B272:I272"/>
    <mergeCell ref="E273:I273"/>
    <mergeCell ref="E274:I274"/>
    <mergeCell ref="E275:I275"/>
    <mergeCell ref="E276:I276"/>
    <mergeCell ref="E277:I277"/>
    <mergeCell ref="B279:E279"/>
    <mergeCell ref="H279:I279"/>
    <mergeCell ref="B280:I280"/>
    <mergeCell ref="E281:I281"/>
    <mergeCell ref="B305:E305"/>
    <mergeCell ref="H305:I305"/>
    <mergeCell ref="B306:I306"/>
    <mergeCell ref="B313:E313"/>
    <mergeCell ref="H313:I313"/>
    <mergeCell ref="B314:I314"/>
    <mergeCell ref="B298:E298"/>
    <mergeCell ref="H298:I298"/>
    <mergeCell ref="B299:I299"/>
    <mergeCell ref="E300:I300"/>
    <mergeCell ref="E301:I301"/>
    <mergeCell ref="E302:I302"/>
    <mergeCell ref="E303:I303"/>
    <mergeCell ref="A165:I165"/>
    <mergeCell ref="B166:E166"/>
    <mergeCell ref="H166:I166"/>
    <mergeCell ref="B167:I167"/>
    <mergeCell ref="B174:E174"/>
    <mergeCell ref="H174:I174"/>
    <mergeCell ref="B175:I175"/>
    <mergeCell ref="E176:I176"/>
    <mergeCell ref="E177:I177"/>
    <mergeCell ref="E178:I178"/>
    <mergeCell ref="A180:I180"/>
    <mergeCell ref="B181:E181"/>
    <mergeCell ref="H181:I181"/>
    <mergeCell ref="B182:I182"/>
    <mergeCell ref="B190:E190"/>
    <mergeCell ref="H190:I190"/>
    <mergeCell ref="B191:I191"/>
    <mergeCell ref="B198:E198"/>
    <mergeCell ref="H198:I198"/>
    <mergeCell ref="B199:I199"/>
    <mergeCell ref="A207:I207"/>
    <mergeCell ref="B208:E208"/>
    <mergeCell ref="H208:I208"/>
    <mergeCell ref="B209:I209"/>
    <mergeCell ref="B217:E217"/>
    <mergeCell ref="H217:I217"/>
    <mergeCell ref="B218:I218"/>
    <mergeCell ref="E219:I219"/>
    <mergeCell ref="B227:E227"/>
    <mergeCell ref="H227:I227"/>
    <mergeCell ref="B228:I228"/>
    <mergeCell ref="B235:E235"/>
    <mergeCell ref="H235:I235"/>
    <mergeCell ref="B236:I236"/>
    <mergeCell ref="A244:I244"/>
    <mergeCell ref="B245:E245"/>
    <mergeCell ref="H245:I245"/>
    <mergeCell ref="B246:I246"/>
    <mergeCell ref="B254:E254"/>
    <mergeCell ref="H254:I254"/>
    <mergeCell ref="B255:I255"/>
    <mergeCell ref="H264:I264"/>
    <mergeCell ref="E282:I282"/>
    <mergeCell ref="E283:I283"/>
    <mergeCell ref="A285:I285"/>
    <mergeCell ref="B286:E286"/>
    <mergeCell ref="H286:I286"/>
    <mergeCell ref="B287:I287"/>
    <mergeCell ref="E288:I288"/>
  </mergeCells>
  <conditionalFormatting sqref="H5:H1000">
    <cfRule type="expression" dxfId="0" priority="1">
      <formula>LEFT(H5,1)="✓"</formula>
    </cfRule>
  </conditionalFormatting>
  <conditionalFormatting sqref="H5:H1000">
    <cfRule type="expression" dxfId="1" priority="2">
      <formula>LEFT(H5,2)="상태"</formula>
    </cfRule>
  </conditionalFormatting>
  <dataValidations>
    <dataValidation type="list" allowBlank="1" showInputMessage="1" showErrorMessage="1" prompt="허용값 아님 - 목록에서 선택해 주세요: 논문,보고서,학술발표자료" sqref="B104:B106">
      <formula1>"논문,보고서,학술발표자료"</formula1>
    </dataValidation>
    <dataValidation type="list" allowBlank="1" showInputMessage="1" showErrorMessage="1" prompt="허용값 아님 - 목록에서 선택해 주세요: 신청,이수중,이수완료" sqref="D55:D58">
      <formula1>"신청,이수중,이수완료"</formula1>
    </dataValidation>
    <dataValidation type="list" allowBlank="1" showInputMessage="1" showErrorMessage="1" prompt="허용값 아님 - 목록에서 선택해 주세요: 교과,비교과,3품(AI)" sqref="B185:B188">
      <formula1>"교과,비교과,3품(AI)"</formula1>
    </dataValidation>
    <dataValidation type="list" allowBlank="1" showInputMessage="1" showErrorMessage="1" prompt="허용값 아님 - 목록에서 선택해 주세요: 참가,입선,장려,우수,최우수,대상" sqref="E145:E149">
      <formula1>"참가,입선,장려,우수,최우수,대상"</formula1>
    </dataValidation>
    <dataValidation type="list" allowBlank="1" showInputMessage="1" showErrorMessage="1" prompt="허용값 아님 - 목록에서 선택해 주세요: TOEIC,TOEFL iBT,TOEIC Speaking,OPIc,HSK,JPT,JLPT,DELF/DALF,DELE,기타" sqref="B249:B252">
      <formula1>"TOEIC,TOEFL iBT,TOEIC Speaking,OPIc,HSK,JPT,JLPT,DELF/DALF,DELE,기타"</formula1>
    </dataValidation>
    <dataValidation type="list" allowBlank="1" showInputMessage="1" showErrorMessage="1" prompt="허용값 아님 - 목록에서 선택해 주세요: Y,N" sqref="C17 C20 I121:I123 C136 G170:G172">
      <formula1>"Y,N"</formula1>
    </dataValidation>
    <dataValidation type="list" allowBlank="1" showInputMessage="1" showErrorMessage="1" prompt="허용값 아님 - 목록에서 선택해 주세요: 지도교수,수업 담당교수" sqref="C317:C318">
      <formula1>"지도교수,수업 담당교수"</formula1>
    </dataValidation>
    <dataValidation type="list" allowBlank="1" showInputMessage="1" showErrorMessage="1" prompt="허용값 아님 - 목록에서 선택해 주세요: 튜터,튜티,멘토,멘티,스터디,학습공동체" sqref="B231:B233">
      <formula1>"튜터,튜티,멘토,멘티,스터디,학습공동체"</formula1>
    </dataValidation>
    <dataValidation type="list" allowBlank="1" showInputMessage="1" showErrorMessage="1" prompt="허용값 아님 - 목록에서 선택해 주세요: 학부,석사,박사,석박통합" sqref="C13">
      <formula1>"학부,석사,박사,석박통합"</formula1>
    </dataValidation>
    <dataValidation type="list" allowBlank="1" showInputMessage="1" showErrorMessage="1" prompt="허용값 아님 - 목록에서 선택해 주세요: 출원,등록" sqref="D162:D163">
      <formula1>"출원,등록"</formula1>
    </dataValidation>
    <dataValidation type="list" allowBlank="1" showInputMessage="1" showErrorMessage="1" prompt="허용값 아님 - 목록에서 선택해 주세요: 특허,실용신안,디자인,SW등록" sqref="B162:B163">
      <formula1>"특허,실용신안,디자인,SW등록"</formula1>
    </dataValidation>
    <dataValidation type="list" allowBlank="1" showInputMessage="1" showErrorMessage="1" prompt="허용값 아님 - 목록에서 선택해 주세요: 값 있음,활동 없음,미수집,해당 없음" sqref="G23 G39 G49 G60 G67 G76 G83 G91 G100 G108 G117 G125 G133 G141 G151 G158 G166 G174 G181 G190 G198 G208 G217 G227 G235 G245 G254 G264 G271 G279 G286 G298 G305 G313">
      <formula1>"값 있음,활동 없음,미수집,해당 없음"</formula1>
    </dataValidation>
    <dataValidation type="list" allowBlank="1" showInputMessage="1" showErrorMessage="1" prompt="허용값 아님 - 목록에서 선택해 주세요: 주전공,복수전공,부전공,연계전공,융합전공,심화전공" sqref="B55:B58">
      <formula1>"주전공,복수전공,부전공,연계전공,융합전공,심화전공"</formula1>
    </dataValidation>
    <dataValidation type="list" allowBlank="1" showInputMessage="1" showErrorMessage="1" prompt="허용값 아님 - 목록에서 선택해 주세요: 교내,교외(국내),국외,유학생 봉사" sqref="B222:B225">
      <formula1>"교내,교외(국내),국외,유학생 봉사"</formula1>
    </dataValidation>
    <dataValidation type="list" allowBlank="1" showInputMessage="1" showErrorMessage="1" prompt="허용값 아님 - 목록에서 선택해 주세요: 이수중,이수완료,미이수,포기" sqref="C64">
      <formula1>"이수중,이수완료,미이수,포기"</formula1>
    </dataValidation>
    <dataValidation type="list" allowBlank="1" showInputMessage="1" showErrorMessage="1" prompt="허용값 아님 - 목록에서 선택해 주세요: 관련,일부 관련,무관" sqref="H121:H123">
      <formula1>"관련,일부 관련,무관"</formula1>
    </dataValidation>
    <dataValidation type="list" allowBlank="1" showInputMessage="1" showErrorMessage="1" prompt="허용값 아님 - 목록에서 선택해 주세요: 시스템 연동,학생 직접 입력,혼합" sqref="C19">
      <formula1>"시스템 연동,학생 직접 입력,혼합"</formula1>
    </dataValidation>
    <dataValidation type="list" allowBlank="1" showInputMessage="1" showErrorMessage="1" prompt="허용값 아님 - 목록에서 선택해 주세요: 국제학술지,국내학술지,국제학술대회,국내학술대회,교내" sqref="D104:D106">
      <formula1>"국제학술지,국내학술지,국제학술대회,국내학술대회,교내"</formula1>
    </dataValidation>
    <dataValidation type="list" allowBlank="1" showInputMessage="1" showErrorMessage="1" prompt="허용값 아님 - 목록에서 선택해 주세요: 게재,게재승인,투고,작성중" sqref="E104:E106">
      <formula1>"게재,게재승인,투고,작성중"</formula1>
    </dataValidation>
    <dataValidation type="list" allowBlank="1" showInputMessage="1" showErrorMessage="1" prompt="허용값 아님 - 목록에서 선택해 주세요: 이수,수강중,미이수" sqref="F185:F188">
      <formula1>"이수,수강중,미이수"</formula1>
    </dataValidation>
    <dataValidation type="list" allowBlank="1" showInputMessage="1" showErrorMessage="1" prompt="허용값 아님 - 목록에서 선택해 주세요: 신입학,편입학,재입학" sqref="C14">
      <formula1>"신입학,편입학,재입학"</formula1>
    </dataValidation>
    <dataValidation type="list" allowBlank="1" showInputMessage="1" showErrorMessage="1" prompt="허용값 아님 - 목록에서 선택해 주세요: 창업교과목,창업경진대회,사업자등록,창업동아리" sqref="B155:B156">
      <formula1>"창업교과목,창업경진대회,사업자등록,창업동아리"</formula1>
    </dataValidation>
    <dataValidation type="list" allowBlank="1" showInputMessage="1" showErrorMessage="1" prompt="허용값 아님 - 목록에서 선택해 주세요: 고용보험,재직·경력증명,없음" sqref="F129:F131">
      <formula1>"고용보험,재직·경력증명,없음"</formula1>
    </dataValidation>
    <dataValidation type="list" allowBlank="1" showInputMessage="1" showErrorMessage="1" prompt="허용값 아님 - 목록에서 선택해 주세요: 발표형,토론형,과제·보고서형,PBL형" sqref="D43:D47">
      <formula1>"발표형,토론형,과제·보고서형,PBL형"</formula1>
    </dataValidation>
    <dataValidation type="list" allowBlank="1" showInputMessage="1" showErrorMessage="1" prompt="허용값 아님 - 목록에서 선택해 주세요: A+,A0,B+,B0,C+,C0,D+,D0,F,P" sqref="E43:E47">
      <formula1>"A+,A0,B+,B0,C+,C0,D+,D0,F,P"</formula1>
    </dataValidation>
    <dataValidation type="list" allowBlank="1" showInputMessage="1" showErrorMessage="1" prompt="허용값 아님 - 목록에서 선택해 주세요: 교환학생,어학연수,해외봉사,국제연구,국제문화체험,해외학습" sqref="B170:B172">
      <formula1>"교환학생,어학연수,해외봉사,국제연구,국제문화체험,해외학습"</formula1>
    </dataValidation>
    <dataValidation type="list" allowBlank="1" showInputMessage="1" showErrorMessage="1" prompt="허용값 아님 - 목록에서 선택해 주세요: 대상,비대상" sqref="C62">
      <formula1>"대상,비대상"</formula1>
    </dataValidation>
    <dataValidation type="list" allowBlank="1" showInputMessage="1" showErrorMessage="1" prompt="허용값 아님 - 목록에서 선택해 주세요: 기초,활용,능숙" sqref="C202:C205">
      <formula1>"기초,활용,능숙"</formula1>
    </dataValidation>
    <dataValidation type="list" allowBlank="1" showInputMessage="1" showErrorMessage="1" prompt="허용값 아님 - 목록에서 선택해 주세요: 학부연구생,URP,학회,연구실 인턴,팀연구프로젝트" sqref="B95:B98">
      <formula1>"학부연구생,URP,학회,연구실 인턴,팀연구프로젝트"</formula1>
    </dataValidation>
    <dataValidation type="list" allowBlank="1" showInputMessage="1" showErrorMessage="1" prompt="허용값 아님 - 목록에서 선택해 주세요: AI캡스톤,AI대회,AI공모전,AI프로젝트" sqref="B194:B196">
      <formula1>"AI캡스톤,AI대회,AI공모전,AI프로젝트"</formula1>
    </dataValidation>
    <dataValidation type="list" allowBlank="1" showInputMessage="1" showErrorMessage="1" prompt="허용값 아님 - 목록에서 선택해 주세요: 재학,휴학,수료" sqref="C16">
      <formula1>"재학,휴학,수료"</formula1>
    </dataValidation>
    <dataValidation type="list" allowBlank="1" showInputMessage="1" showErrorMessage="1" prompt="허용값 아님 - 목록에서 선택해 주세요: 동아리,학생회,학회,기타단체" sqref="B212:B215">
      <formula1>"동아리,학생회,학회,기타단체"</formula1>
    </dataValidation>
    <dataValidation type="list" allowBlank="1" showInputMessage="1" showErrorMessage="1" prompt="허용값 아님 - 목록에서 선택해 주세요: 교내,지역,전국,국제" sqref="D145:D149 F194:F196">
      <formula1>"교내,지역,전국,국제"</formula1>
    </dataValidation>
    <dataValidation type="list" allowBlank="1" showInputMessage="1" showErrorMessage="1" prompt="허용값 아님 - 목록에서 선택해 주세요: 인턴십,현장실습,연구체험,문제해결프로젝트" sqref="B121:B123">
      <formula1>"인턴십,현장실습,연구체험,문제해결프로젝트"</formula1>
    </dataValidation>
    <dataValidation type="list" allowBlank="1" showInputMessage="1" showErrorMessage="1" prompt="허용값 아님 - 목록에서 선택해 주세요: 개인,팀" sqref="F145:F149">
      <formula1>"개인,팀"</formula1>
    </dataValidation>
    <dataValidation type="list" allowBlank="1" showInputMessage="1" showErrorMessage="1" prompt="허용값 아님 - 목록에서 선택해 주세요: 단독,공동" sqref="G162:G163">
      <formula1>"단독,공동"</formula1>
    </dataValidation>
    <dataValidation type="list" allowBlank="1" showInputMessage="1" showErrorMessage="1" prompt="허용값 아님 - 목록에서 선택해 주세요: 회장,부회장,부장,총무,부원" sqref="D212:D215">
      <formula1>"회장,부회장,부장,총무,부원"</formula1>
    </dataValidation>
    <dataValidation type="list" allowBlank="1" showInputMessage="1" showErrorMessage="1" prompt="허용값 아님 - 목록에서 선택해 주세요: 단독,제1저자,공동저자" sqref="F104:F106">
      <formula1>"단독,제1저자,공동저자"</formula1>
    </dataValidation>
    <dataValidation type="list" allowBlank="1" showInputMessage="1" showErrorMessage="1" prompt="허용값 아님 - 목록에서 선택해 주세요: 취득,진행중,미취득" sqref="C273:C277">
      <formula1>"취득,진행중,미취득"</formula1>
    </dataValidation>
    <dataValidation type="list" allowBlank="1" showInputMessage="1" showErrorMessage="1" prompt="허용값 아님 - 목록에서 선택해 주세요: 응시,1차 합격,2차 합격,최종 합격" sqref="C268:C269">
      <formula1>"응시,1차 합격,2차 합격,최종 합격"</formula1>
    </dataValidation>
  </dataValidations>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2026-10-01T05:17:56Z</dcterms:created>
  <dc:creator>openpyxl</dc:creator>
</cp:coreProperties>
</file>

<file path=docProps/custom.xml><?xml version="1.0" encoding="utf-8"?>
<Properties xmlns="http://schemas.openxmlformats.org/officeDocument/2006/custom-properties" xmlns:vt="http://schemas.openxmlformats.org/officeDocument/2006/docPropsVTypes"/>
</file>